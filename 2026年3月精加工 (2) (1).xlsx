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01"/>
  </bookViews>
  <sheets>
    <sheet name="曾庆伟" sheetId="65" r:id="rId1"/>
    <sheet name="王福雪" sheetId="119" r:id="rId2"/>
    <sheet name="向玲" sheetId="306" r:id="rId3"/>
    <sheet name="陆康" sheetId="34" r:id="rId4"/>
    <sheet name="曹林" sheetId="329" r:id="rId5"/>
    <sheet name="陈文香" sheetId="35" r:id="rId6"/>
    <sheet name="冯永惠" sheetId="15" r:id="rId7"/>
    <sheet name="张吉成" sheetId="114" r:id="rId8"/>
    <sheet name="徐小花" sheetId="72" r:id="rId9"/>
    <sheet name="黄玉春" sheetId="25" r:id="rId10"/>
    <sheet name="黄玉青" sheetId="28" r:id="rId11"/>
    <sheet name="杨永会" sheetId="31" r:id="rId12"/>
    <sheet name="瞿晓香" sheetId="330" r:id="rId13"/>
    <sheet name="徐皋" sheetId="331" r:id="rId14"/>
    <sheet name="沈龙杰" sheetId="73" r:id="rId15"/>
    <sheet name="杨艺博" sheetId="303" r:id="rId16"/>
    <sheet name="徐新妹" sheetId="276" r:id="rId17"/>
    <sheet name="尚能群" sheetId="281" r:id="rId18"/>
    <sheet name="谭术林" sheetId="307" r:id="rId19"/>
    <sheet name="张海蝶" sheetId="282" r:id="rId20"/>
    <sheet name="尚伦英" sheetId="317" r:id="rId21"/>
    <sheet name="尚红梅" sheetId="325" r:id="rId22"/>
    <sheet name="许彩旋" sheetId="283" r:id="rId23"/>
    <sheet name="熊龙华" sheetId="298" r:id="rId24"/>
    <sheet name="吴鹏飞" sheetId="300" r:id="rId25"/>
    <sheet name="宋小冬" sheetId="304" r:id="rId26"/>
    <sheet name="宋小春" sheetId="323" r:id="rId27"/>
    <sheet name="李雪" sheetId="321" r:id="rId28"/>
    <sheet name="黄浩东" sheetId="314" r:id="rId29"/>
    <sheet name="成本核算表" sheetId="315" r:id="rId30"/>
    <sheet name="需新增" sheetId="312" r:id="rId31"/>
    <sheet name="Sheet31" sheetId="327" r:id="rId32"/>
  </sheets>
  <definedNames>
    <definedName name="_xlnm._FilterDatabase" localSheetId="24" hidden="1">吴鹏飞!$A$1:$Q$240</definedName>
    <definedName name="_xlnm._FilterDatabase" localSheetId="29" hidden="1">成本核算表!$A$2:$R$216</definedName>
    <definedName name="_xlnm.Print_Area" localSheetId="29">成本核算表!$T$12</definedName>
    <definedName name="_xlnm._FilterDatabase" localSheetId="0" hidden="1">曾庆伟!#REF!</definedName>
    <definedName name="_xlnm._FilterDatabase" localSheetId="1" hidden="1">王福雪!$A$1:$O$243</definedName>
    <definedName name="_xlnm._FilterDatabase" localSheetId="2" hidden="1">向玲!$A$1:$O$188</definedName>
    <definedName name="_xlnm._FilterDatabase" localSheetId="3" hidden="1">陆康!$A$1:$O$210</definedName>
    <definedName name="_xlnm._FilterDatabase" localSheetId="4" hidden="1">曹林!$A$1:$O$185</definedName>
    <definedName name="_xlnm._FilterDatabase" localSheetId="5" hidden="1">陈文香!$A$1:$N$199</definedName>
    <definedName name="_xlnm._FilterDatabase" localSheetId="6" hidden="1">冯永惠!$A$1:$O$329</definedName>
    <definedName name="_xlnm._FilterDatabase" localSheetId="7" hidden="1">张吉成!$A$1:$O$277</definedName>
    <definedName name="_xlnm._FilterDatabase" localSheetId="8" hidden="1">徐小花!$A$1:$O$207</definedName>
    <definedName name="_xlnm._FilterDatabase" localSheetId="9" hidden="1">黄玉春!$A$1:$N$229</definedName>
    <definedName name="_xlnm._FilterDatabase" localSheetId="10" hidden="1">黄玉青!$A$1:$N$221</definedName>
    <definedName name="_xlnm._FilterDatabase" localSheetId="11" hidden="1">杨永会!$A$1:$O$240</definedName>
    <definedName name="_xlnm._FilterDatabase" localSheetId="12" hidden="1">瞿晓香!$A$1:$O$209</definedName>
    <definedName name="_xlnm._FilterDatabase" localSheetId="13" hidden="1">徐皋!$A$1:$O$207</definedName>
    <definedName name="_xlnm._FilterDatabase" localSheetId="14" hidden="1">沈龙杰!$A$1:$O$240</definedName>
    <definedName name="_xlnm._FilterDatabase" localSheetId="15" hidden="1">杨艺博!$A$1:$O$229</definedName>
    <definedName name="_xlnm._FilterDatabase" localSheetId="16" hidden="1">徐新妹!$A$1:$O$70</definedName>
    <definedName name="_xlnm._FilterDatabase" localSheetId="17" hidden="1">尚能群!$A$1:$O$61</definedName>
    <definedName name="_xlnm._FilterDatabase" localSheetId="18" hidden="1">谭术林!$A$1:$O$29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<sst xmlns="http://schemas.openxmlformats.org/spreadsheetml/2006/main" count="3743" uniqueCount="367">
  <si>
    <t>日期</t>
  </si>
  <si>
    <t>出勤工时</t>
  </si>
  <si>
    <t>工时效率</t>
  </si>
  <si>
    <t>项目号</t>
  </si>
  <si>
    <t>产品型号</t>
  </si>
  <si>
    <t>长度（mm）</t>
  </si>
  <si>
    <t>工序</t>
  </si>
  <si>
    <t>单件标准工时（S/支）</t>
  </si>
  <si>
    <t>合格产量（支数）</t>
  </si>
  <si>
    <t>合格工时（S）</t>
  </si>
  <si>
    <t>个人不良产量（支数）</t>
  </si>
  <si>
    <t>加分项</t>
  </si>
  <si>
    <t>减分项</t>
  </si>
  <si>
    <t>考核合计工时（秒）</t>
  </si>
  <si>
    <t>合计（小时）</t>
  </si>
  <si>
    <t>说明</t>
  </si>
  <si>
    <t>备注</t>
  </si>
  <si>
    <t>25090907-01</t>
  </si>
  <si>
    <t>113-80</t>
  </si>
  <si>
    <t>刮毛刺</t>
  </si>
  <si>
    <t>25090907-02</t>
  </si>
  <si>
    <t>导电杆</t>
  </si>
  <si>
    <t>CNC</t>
  </si>
  <si>
    <t>门小件</t>
  </si>
  <si>
    <t>CNC1</t>
  </si>
  <si>
    <t>CNC2</t>
  </si>
  <si>
    <t>26022505-03</t>
  </si>
  <si>
    <t>258-308</t>
  </si>
  <si>
    <t>CNC3</t>
  </si>
  <si>
    <t>26022505-02</t>
  </si>
  <si>
    <t>检验</t>
  </si>
  <si>
    <t>来料表面不好，检验</t>
  </si>
  <si>
    <t>286-424</t>
  </si>
  <si>
    <t>打孔</t>
  </si>
  <si>
    <t>286-337</t>
  </si>
  <si>
    <t>26020502-03</t>
  </si>
  <si>
    <t>105-331</t>
  </si>
  <si>
    <t>倒角</t>
  </si>
  <si>
    <t>286-430</t>
  </si>
  <si>
    <t>铣缺口</t>
  </si>
  <si>
    <t>26020502-02</t>
  </si>
  <si>
    <t>沉孔</t>
  </si>
  <si>
    <t>26010702-01</t>
  </si>
  <si>
    <t>286-474</t>
  </si>
  <si>
    <t>冲孔</t>
  </si>
  <si>
    <t>26010702-05</t>
  </si>
  <si>
    <t>286-470</t>
  </si>
  <si>
    <t>26022709-02</t>
  </si>
  <si>
    <t>180-261</t>
  </si>
  <si>
    <t>冲安装孔</t>
  </si>
  <si>
    <t>26022711-02</t>
  </si>
  <si>
    <t>26022711-01</t>
  </si>
  <si>
    <t>180-260</t>
  </si>
  <si>
    <t>冲弯</t>
  </si>
  <si>
    <t>26022708-06</t>
  </si>
  <si>
    <t>180-259</t>
  </si>
  <si>
    <t>打孔1</t>
  </si>
  <si>
    <t>打孔2</t>
  </si>
  <si>
    <t>冲切</t>
  </si>
  <si>
    <t>26013005-04</t>
  </si>
  <si>
    <t>262-1791</t>
  </si>
  <si>
    <t>冲孔2</t>
  </si>
  <si>
    <t>26022711-07</t>
  </si>
  <si>
    <t>26022710-07</t>
  </si>
  <si>
    <t>26022709-03</t>
  </si>
  <si>
    <t>26012706-05</t>
  </si>
  <si>
    <t>213-138</t>
  </si>
  <si>
    <t>26021003-03</t>
  </si>
  <si>
    <t>26022605-07</t>
  </si>
  <si>
    <t>180-265</t>
  </si>
  <si>
    <t>冲缺口</t>
  </si>
  <si>
    <t>26022605-01</t>
  </si>
  <si>
    <t>多岗</t>
  </si>
  <si>
    <t>26010702-04</t>
  </si>
  <si>
    <t>286-469</t>
  </si>
  <si>
    <t>26022712-01</t>
  </si>
  <si>
    <t>01-418</t>
  </si>
  <si>
    <t>26022504-04</t>
  </si>
  <si>
    <t>213-553</t>
  </si>
  <si>
    <t>冲六角孔</t>
  </si>
  <si>
    <t>26022504-03</t>
  </si>
  <si>
    <t>冲牙齿</t>
  </si>
  <si>
    <t>冲葫芦孔</t>
  </si>
  <si>
    <t>26022504-02</t>
  </si>
  <si>
    <t>26022504-01</t>
  </si>
  <si>
    <t>26022703-02</t>
  </si>
  <si>
    <t>26030302-01</t>
  </si>
  <si>
    <t>26030306-01</t>
  </si>
  <si>
    <t>26030303-01</t>
  </si>
  <si>
    <t>26030309-01</t>
  </si>
  <si>
    <t>26030303-02</t>
  </si>
  <si>
    <t>挑料2</t>
  </si>
  <si>
    <t>26030306-02</t>
  </si>
  <si>
    <t>26030301-02</t>
  </si>
  <si>
    <t>26030308-02</t>
  </si>
  <si>
    <t>26031603-02</t>
  </si>
  <si>
    <t>105-244</t>
  </si>
  <si>
    <t>冲头孔</t>
  </si>
  <si>
    <t>26031603-01</t>
  </si>
  <si>
    <t>26031805-02</t>
  </si>
  <si>
    <t>26031805-01</t>
  </si>
  <si>
    <t>113-54</t>
  </si>
  <si>
    <t>抛光</t>
  </si>
  <si>
    <t>26030705-01</t>
  </si>
  <si>
    <t>196-114</t>
  </si>
  <si>
    <t>26030101-02</t>
  </si>
  <si>
    <t>别墅梯</t>
  </si>
  <si>
    <t>26020502-01</t>
  </si>
  <si>
    <t>105-330</t>
  </si>
  <si>
    <t>带新工</t>
  </si>
  <si>
    <t>一楼整形</t>
  </si>
  <si>
    <t>26031205-01</t>
  </si>
  <si>
    <t>196-110</t>
  </si>
  <si>
    <t>打孔5个</t>
  </si>
  <si>
    <t>25062804-02</t>
  </si>
  <si>
    <t>26011505-01</t>
  </si>
  <si>
    <t>113-78</t>
  </si>
  <si>
    <t>26011505-02</t>
  </si>
  <si>
    <t>113-79</t>
  </si>
  <si>
    <t>26030302-02</t>
  </si>
  <si>
    <t>26031503-01</t>
  </si>
  <si>
    <t>冲腰孔</t>
  </si>
  <si>
    <t>26031503-02</t>
  </si>
  <si>
    <t>26031301-03</t>
  </si>
  <si>
    <t>26031301-04</t>
  </si>
  <si>
    <t>26022708-05</t>
  </si>
  <si>
    <t>端铣</t>
  </si>
  <si>
    <t>26022708-08</t>
  </si>
  <si>
    <t>26020701-01</t>
  </si>
  <si>
    <t>180-217</t>
  </si>
  <si>
    <t>26022505-01</t>
  </si>
  <si>
    <t>258-462</t>
  </si>
  <si>
    <t>切割45°</t>
  </si>
  <si>
    <t>挑料4H</t>
  </si>
  <si>
    <t>196-110*1447</t>
  </si>
  <si>
    <t>25070202-15</t>
  </si>
  <si>
    <t>286-473</t>
  </si>
  <si>
    <t>26022610-05</t>
  </si>
  <si>
    <t>213-357</t>
  </si>
  <si>
    <t>03-10</t>
  </si>
  <si>
    <t>去毛刺</t>
  </si>
  <si>
    <t>269-373</t>
  </si>
  <si>
    <t>26030903-01</t>
  </si>
  <si>
    <t>222-148*2400</t>
  </si>
  <si>
    <t>26030401-01</t>
  </si>
  <si>
    <t>03-02</t>
  </si>
  <si>
    <t>03-03</t>
  </si>
  <si>
    <t>26030310-05</t>
  </si>
  <si>
    <t>26030309-05</t>
  </si>
  <si>
    <t>26030301-01</t>
  </si>
  <si>
    <t>26030308-01</t>
  </si>
  <si>
    <t>26010604-16</t>
  </si>
  <si>
    <t>213-261</t>
  </si>
  <si>
    <t>冲孔1</t>
  </si>
  <si>
    <t>26010604-14</t>
  </si>
  <si>
    <t>25121004-13</t>
  </si>
  <si>
    <t>25121005-09</t>
  </si>
  <si>
    <t>25121004-05</t>
  </si>
  <si>
    <t>26012005-07</t>
  </si>
  <si>
    <t>213-251</t>
  </si>
  <si>
    <t>冲边孔</t>
  </si>
  <si>
    <t>折弯</t>
  </si>
  <si>
    <t>26030901-01</t>
  </si>
  <si>
    <t>105-257</t>
  </si>
  <si>
    <t>26030901-02</t>
  </si>
  <si>
    <t>26031711-08</t>
  </si>
  <si>
    <t>26022709-01</t>
  </si>
  <si>
    <t>26022708-01</t>
  </si>
  <si>
    <t>26030309-06</t>
  </si>
  <si>
    <t>26030309-02</t>
  </si>
  <si>
    <t>26030903-02</t>
  </si>
  <si>
    <t>222-149</t>
  </si>
  <si>
    <t>26030709-01</t>
  </si>
  <si>
    <t>105-172</t>
  </si>
  <si>
    <t>冲缺口2</t>
  </si>
  <si>
    <t>整形</t>
  </si>
  <si>
    <t>222-149*2380</t>
  </si>
  <si>
    <t>25090312-01</t>
  </si>
  <si>
    <t>113-58</t>
  </si>
  <si>
    <t>26022603-01</t>
  </si>
  <si>
    <t>08-344</t>
  </si>
  <si>
    <t>自动切割</t>
  </si>
  <si>
    <t>切割</t>
  </si>
  <si>
    <t>26022603-02</t>
  </si>
  <si>
    <t>08-349</t>
  </si>
  <si>
    <t>26022504-05</t>
  </si>
  <si>
    <t>213-554</t>
  </si>
  <si>
    <t>82-440</t>
  </si>
  <si>
    <t>自动切</t>
  </si>
  <si>
    <t>26022602-03</t>
  </si>
  <si>
    <t>03-24</t>
  </si>
  <si>
    <t>挑料3</t>
  </si>
  <si>
    <t>改切</t>
  </si>
  <si>
    <t>26030709-02</t>
  </si>
  <si>
    <t>26030411-09</t>
  </si>
  <si>
    <t>113-06</t>
  </si>
  <si>
    <t>26030411-08</t>
  </si>
  <si>
    <t>113-07</t>
  </si>
  <si>
    <t>26031301-05</t>
  </si>
  <si>
    <t>25070202-10</t>
  </si>
  <si>
    <t>286-398</t>
  </si>
  <si>
    <t>26030302-05</t>
  </si>
  <si>
    <t>26030309-07</t>
  </si>
  <si>
    <t>26030301-05</t>
  </si>
  <si>
    <t>26022705-08</t>
  </si>
  <si>
    <t>26022707-08</t>
  </si>
  <si>
    <t>26030516-03</t>
  </si>
  <si>
    <t>269-390</t>
  </si>
  <si>
    <t>挑料</t>
  </si>
  <si>
    <t>950/1150</t>
  </si>
  <si>
    <t>180-263</t>
  </si>
  <si>
    <t>26020903-01</t>
  </si>
  <si>
    <t>213-609</t>
  </si>
  <si>
    <t>26012102-04</t>
  </si>
  <si>
    <t>269-389</t>
  </si>
  <si>
    <t>25090202-15</t>
  </si>
  <si>
    <t>286-467</t>
  </si>
  <si>
    <t>286-355</t>
  </si>
  <si>
    <t>门小料</t>
  </si>
  <si>
    <t>286-356</t>
  </si>
  <si>
    <t>扣条</t>
  </si>
  <si>
    <t>26030516-02</t>
  </si>
  <si>
    <t>26030309-08</t>
  </si>
  <si>
    <t>26030309-09</t>
  </si>
  <si>
    <t>26012605-07</t>
  </si>
  <si>
    <t>269-394</t>
  </si>
  <si>
    <t>26031607-03</t>
  </si>
  <si>
    <t>别墅梯加工多岗</t>
  </si>
  <si>
    <t>带新工 尚伦英</t>
  </si>
  <si>
    <t xml:space="preserve">带新工 </t>
  </si>
  <si>
    <t>26030516-01</t>
  </si>
  <si>
    <t>26031101-01</t>
  </si>
  <si>
    <t>26030701-02</t>
  </si>
  <si>
    <t>258-481</t>
  </si>
  <si>
    <t>26030701-01</t>
  </si>
  <si>
    <t>26031301-01</t>
  </si>
  <si>
    <t>挑料3H</t>
  </si>
  <si>
    <t>26031301-02</t>
  </si>
  <si>
    <t>26022602-04</t>
  </si>
  <si>
    <t>03-25</t>
  </si>
  <si>
    <t>26010604-12</t>
  </si>
  <si>
    <t>26022708-02</t>
  </si>
  <si>
    <t>组装</t>
  </si>
  <si>
    <t>26022604-01</t>
  </si>
  <si>
    <t>243-273</t>
  </si>
  <si>
    <t>组装架子</t>
  </si>
  <si>
    <t>西尼</t>
  </si>
  <si>
    <t>攻丝5个</t>
  </si>
  <si>
    <t>灯罩</t>
  </si>
  <si>
    <t>包装</t>
  </si>
  <si>
    <t>改切、挑料</t>
  </si>
  <si>
    <t>整形4h</t>
  </si>
  <si>
    <t>26031108-03</t>
  </si>
  <si>
    <t>26031108-01</t>
  </si>
  <si>
    <t>26031314-09</t>
  </si>
  <si>
    <t>213-265</t>
  </si>
  <si>
    <t>255090312-01</t>
  </si>
  <si>
    <t>26012005-06</t>
  </si>
  <si>
    <t>213-250</t>
  </si>
  <si>
    <t>26022705-07</t>
  </si>
  <si>
    <t>26020404-23</t>
  </si>
  <si>
    <t>26012306-05</t>
  </si>
  <si>
    <t>26022605-03</t>
  </si>
  <si>
    <t>26022707-03</t>
  </si>
  <si>
    <t>26022708-03</t>
  </si>
  <si>
    <t>26022711-05</t>
  </si>
  <si>
    <t>整形2.5</t>
  </si>
  <si>
    <t>铣上下平面</t>
  </si>
  <si>
    <t>铣商标</t>
  </si>
  <si>
    <t>精加工产品加工主要成本核算表</t>
  </si>
  <si>
    <t>序号</t>
  </si>
  <si>
    <t>客户名</t>
  </si>
  <si>
    <t>型号</t>
  </si>
  <si>
    <t>客户型号</t>
  </si>
  <si>
    <t>长度</t>
  </si>
  <si>
    <t>理论米重（kg）</t>
  </si>
  <si>
    <t>理论支重（kg）</t>
  </si>
  <si>
    <t>实际支重（kg）</t>
  </si>
  <si>
    <t>标准工时（秒）</t>
  </si>
  <si>
    <t>人工（元/支）</t>
  </si>
  <si>
    <t>电费（元/支）</t>
  </si>
  <si>
    <t>理论加工时间（S/支）</t>
  </si>
  <si>
    <t>耗材（元/支）</t>
  </si>
  <si>
    <t>合计</t>
  </si>
  <si>
    <t>结果</t>
  </si>
  <si>
    <t>永亨</t>
  </si>
  <si>
    <t>优迈</t>
  </si>
  <si>
    <t>03-01</t>
  </si>
  <si>
    <t>散单</t>
  </si>
  <si>
    <t>冲床</t>
  </si>
  <si>
    <t>03-02、03</t>
  </si>
  <si>
    <t>太平洋</t>
  </si>
  <si>
    <t>三星</t>
  </si>
  <si>
    <t>左</t>
  </si>
  <si>
    <t>右</t>
  </si>
  <si>
    <t>105-304</t>
  </si>
  <si>
    <t>105-322</t>
  </si>
  <si>
    <t>样品</t>
  </si>
  <si>
    <t>新</t>
  </si>
  <si>
    <t>113-</t>
  </si>
  <si>
    <t>上海电子</t>
  </si>
  <si>
    <t>113-08</t>
  </si>
  <si>
    <t>加工</t>
  </si>
  <si>
    <t>113-53</t>
  </si>
  <si>
    <t>3孔</t>
  </si>
  <si>
    <t>1孔</t>
  </si>
  <si>
    <t>不加工</t>
  </si>
  <si>
    <t>上海申谊通</t>
  </si>
  <si>
    <t>湖州飞阅国际</t>
  </si>
  <si>
    <t>振威</t>
  </si>
  <si>
    <t>180-255</t>
  </si>
  <si>
    <t>上下</t>
  </si>
  <si>
    <t>瑞德</t>
  </si>
  <si>
    <t>180-264</t>
  </si>
  <si>
    <t>五木</t>
  </si>
  <si>
    <t xml:space="preserve">上海 </t>
  </si>
  <si>
    <t>208-57</t>
  </si>
  <si>
    <t>小单</t>
  </si>
  <si>
    <t>威霖</t>
  </si>
  <si>
    <t>213-253</t>
  </si>
  <si>
    <t>冲孔22</t>
  </si>
  <si>
    <t>213-352</t>
  </si>
  <si>
    <t>213-353</t>
  </si>
  <si>
    <t>213-354</t>
  </si>
  <si>
    <t>213-355</t>
  </si>
  <si>
    <t>213-403</t>
  </si>
  <si>
    <t>213-486</t>
  </si>
  <si>
    <t>福莱特</t>
  </si>
  <si>
    <t>左、右</t>
  </si>
  <si>
    <t xml:space="preserve">上 </t>
  </si>
  <si>
    <t>上、下</t>
  </si>
  <si>
    <t>金檀</t>
  </si>
  <si>
    <t>222-148*2390</t>
  </si>
  <si>
    <t>孔距76.2导轨</t>
  </si>
  <si>
    <t>攻丝</t>
  </si>
  <si>
    <t>非标贴牌</t>
  </si>
  <si>
    <t>攻丝10</t>
  </si>
  <si>
    <t>上海睦澜</t>
  </si>
  <si>
    <t>攻丝、检验</t>
  </si>
  <si>
    <t>攻丝、全检</t>
  </si>
  <si>
    <t>宁波</t>
  </si>
  <si>
    <t>258-475</t>
  </si>
  <si>
    <t xml:space="preserve">                   </t>
  </si>
  <si>
    <t>宏茂</t>
  </si>
  <si>
    <t>英吉沙</t>
  </si>
  <si>
    <t>诺梵</t>
  </si>
  <si>
    <t>269-328</t>
  </si>
  <si>
    <t>明业</t>
  </si>
  <si>
    <t>269-342</t>
  </si>
  <si>
    <t>269-388</t>
  </si>
  <si>
    <t>CNC2.2</t>
  </si>
  <si>
    <t>两面孔</t>
  </si>
  <si>
    <t>286-165</t>
  </si>
  <si>
    <t>横档</t>
  </si>
  <si>
    <t>286-357</t>
  </si>
  <si>
    <t>杭梅</t>
  </si>
  <si>
    <t>1003后板</t>
  </si>
  <si>
    <t>1005后板1</t>
  </si>
  <si>
    <t>1005后板2</t>
  </si>
  <si>
    <t>1005后板3</t>
  </si>
  <si>
    <t>大氧化</t>
  </si>
  <si>
    <t>导电头</t>
  </si>
  <si>
    <t>门轿厢</t>
  </si>
  <si>
    <t>CNC4</t>
  </si>
  <si>
    <t>小件</t>
  </si>
  <si>
    <t>操作人</t>
  </si>
  <si>
    <t>滚弯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</si>
</sst>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2">
    <font>
      <sz val="11"/>
      <color indexed="8"/>
      <name val="宋体"/>
      <charset val="0"/>
    </font>
    <font>
      <sz val="11"/>
      <color rgb="FF000000"/>
      <name val="宋体"/>
      <charset val="0"/>
    </font>
    <font>
      <sz val="11"/>
      <color theme="1"/>
      <name val="宋体"/>
      <charset val="0"/>
      <scheme val="minor"/>
    </font>
    <font>
      <sz val="18"/>
      <color theme="1"/>
      <name val="宋体"/>
      <charset val="0"/>
      <scheme val="minor"/>
    </font>
    <font>
      <b/>
      <sz val="11"/>
      <color indexed="8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0"/>
    </font>
    <font>
      <i/>
      <sz val="11"/>
      <color indexed="23"/>
      <name val="宋体"/>
      <charset val="0"/>
    </font>
    <font>
      <b/>
      <sz val="15"/>
      <color indexed="62"/>
      <name val="宋体"/>
      <charset val="0"/>
    </font>
    <font>
      <b/>
      <sz val="13"/>
      <color indexed="62"/>
      <name val="宋体"/>
      <charset val="0"/>
    </font>
    <font>
      <b/>
      <sz val="11"/>
      <color indexed="62"/>
      <name val="宋体"/>
      <charset val="0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3"/>
      <name val="宋体"/>
      <charset val="0"/>
    </font>
    <font>
      <b/>
      <sz val="11"/>
      <color indexed="9"/>
      <name val="宋体"/>
      <charset val="0"/>
    </font>
    <font>
      <sz val="11"/>
      <color indexed="53"/>
      <name val="宋体"/>
      <charset val="0"/>
    </font>
    <font>
      <sz val="11"/>
      <color indexed="17"/>
      <name val="宋体"/>
      <charset val="0"/>
    </font>
    <font>
      <sz val="11"/>
      <color indexed="16"/>
      <name val="宋体"/>
      <charset val="0"/>
    </font>
    <font>
      <sz val="11"/>
      <color indexed="19"/>
      <name val="宋体"/>
      <charset val="0"/>
    </font>
    <font>
      <sz val="11"/>
      <color indexed="9"/>
      <name val="宋体"/>
      <charset val="0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 wrapText="1"/>
    </xf>
    <xf numFmtId="58" fontId="2" fillId="0" borderId="0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10" fontId="0" fillId="0" borderId="0" xfId="0" applyNumberFormat="1" applyFont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58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76" fontId="0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 quotePrefix="1">
      <alignment horizontal="center" vertical="center"/>
    </xf>
    <xf numFmtId="58" fontId="1" fillId="0" borderId="0" xfId="0" applyNumberFormat="1" applyFont="1" applyFill="1" applyBorder="1" applyAlignment="1" quotePrefix="1">
      <alignment horizontal="center" vertical="center"/>
    </xf>
    <xf numFmtId="0" fontId="1" fillId="0" borderId="0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customXml" Target="../customXml/item4.xml"/><Relationship Id="rId35" Type="http://schemas.openxmlformats.org/officeDocument/2006/relationships/customXml" Target="../customXml/item3.xml"/><Relationship Id="rId34" Type="http://schemas.openxmlformats.org/officeDocument/2006/relationships/customXml" Target="../customXml/item2.xml"/><Relationship Id="rId33" Type="http://schemas.openxmlformats.org/officeDocument/2006/relationships/customXml" Target="../customXml/item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101"/>
  <sheetViews>
    <sheetView tabSelected="1" workbookViewId="0">
      <pane ySplit="1" topLeftCell="A2" activePane="bottomLeft" state="frozen"/>
      <selection/>
      <selection pane="bottomLeft" activeCell="C9" sqref="C9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6" width="9" style="21"/>
    <col min="17" max="17" width="22.5" style="21" customWidth="1"/>
    <col min="18" max="16384" width="9" style="21"/>
  </cols>
  <sheetData>
    <row r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ht="20" customHeight="1" spans="1:17">
      <c r="A2" s="27"/>
      <c r="B2" s="6"/>
      <c r="C2" s="28"/>
      <c r="D2" s="6"/>
      <c r="E2" s="5"/>
      <c r="F2" s="6"/>
      <c r="G2" s="5"/>
      <c r="H2" s="6"/>
      <c r="I2" s="6"/>
      <c r="J2" s="6">
        <f>H2*I2</f>
        <v>0</v>
      </c>
      <c r="K2" s="6"/>
      <c r="L2" s="6"/>
      <c r="M2" s="6"/>
      <c r="N2" s="6">
        <f>J2-M2+L2</f>
        <v>0</v>
      </c>
      <c r="O2" s="6">
        <f>N2/3600</f>
        <v>0</v>
      </c>
      <c r="P2" s="6"/>
      <c r="Q2" s="6"/>
    </row>
    <row r="3" ht="20" customHeight="1" spans="1:17">
      <c r="A3" s="27">
        <v>46083</v>
      </c>
      <c r="B3" s="6">
        <v>11</v>
      </c>
      <c r="C3" s="28">
        <f ca="1">SUM(O3:O4)/B3</f>
        <v>1.37575757575758</v>
      </c>
      <c r="D3" s="5" t="s">
        <v>17</v>
      </c>
      <c r="E3" s="6" t="s">
        <v>18</v>
      </c>
      <c r="F3" s="6">
        <v>1942</v>
      </c>
      <c r="G3" s="5" t="s">
        <v>19</v>
      </c>
      <c r="H3" s="6">
        <f ca="1" t="array" ref="H3">INDEX(成本核算表!J:J,MATCH(1,(成本核算表!D:D=E3)*(成本核算表!C:C=G3),0))</f>
        <v>48</v>
      </c>
      <c r="I3" s="6">
        <v>507</v>
      </c>
      <c r="J3" s="6">
        <f ca="1" t="shared" ref="J3:J42" si="0">H3*I3</f>
        <v>24336</v>
      </c>
      <c r="K3" s="6"/>
      <c r="L3" s="6"/>
      <c r="M3" s="6"/>
      <c r="N3" s="6">
        <f ca="1" t="shared" ref="N3:N34" si="1">J3-M3+L3</f>
        <v>24336</v>
      </c>
      <c r="O3" s="6">
        <f ca="1" t="shared" ref="O3:O34" si="2">N3/3600</f>
        <v>6.76</v>
      </c>
      <c r="P3" s="6"/>
      <c r="Q3" s="6"/>
    </row>
    <row r="4" ht="20" customHeight="1" spans="1:17">
      <c r="A4" s="27">
        <v>46083</v>
      </c>
      <c r="B4" s="6"/>
      <c r="C4" s="28"/>
      <c r="D4" s="5" t="s">
        <v>20</v>
      </c>
      <c r="E4" s="6" t="s">
        <v>18</v>
      </c>
      <c r="F4" s="6">
        <v>1942</v>
      </c>
      <c r="G4" s="5" t="s">
        <v>19</v>
      </c>
      <c r="H4" s="6">
        <f ca="1" t="array" ref="H4">INDEX(成本核算表!J:J,MATCH(1,(成本核算表!D:D=E4)*(成本核算表!C:C=G4),0))</f>
        <v>48</v>
      </c>
      <c r="I4" s="6">
        <v>628</v>
      </c>
      <c r="J4" s="6">
        <f ca="1" t="shared" si="0"/>
        <v>30144</v>
      </c>
      <c r="K4" s="6"/>
      <c r="L4" s="6"/>
      <c r="M4" s="6"/>
      <c r="N4" s="6">
        <f ca="1" t="shared" si="1"/>
        <v>30144</v>
      </c>
      <c r="O4" s="6">
        <f ca="1" t="shared" si="2"/>
        <v>8.37333333333333</v>
      </c>
      <c r="P4" s="6"/>
      <c r="Q4" s="6"/>
    </row>
    <row r="5" ht="20" customHeight="1" spans="1:17">
      <c r="A5" s="27">
        <v>46084</v>
      </c>
      <c r="B5" s="6">
        <v>11</v>
      </c>
      <c r="C5" s="28">
        <f ca="1">SUM(O5:O8)/B5</f>
        <v>1.30656565656566</v>
      </c>
      <c r="D5" s="6"/>
      <c r="E5" s="5" t="s">
        <v>21</v>
      </c>
      <c r="F5" s="6"/>
      <c r="G5" s="5" t="s">
        <v>22</v>
      </c>
      <c r="H5" s="6">
        <f ca="1" t="array" ref="H5">INDEX(成本核算表!J:J,MATCH(1,(成本核算表!D:D=E5)*(成本核算表!C:C=G5),0))</f>
        <v>300</v>
      </c>
      <c r="I5" s="6">
        <v>104</v>
      </c>
      <c r="J5" s="6">
        <f ca="1" t="shared" si="0"/>
        <v>31200</v>
      </c>
      <c r="K5" s="6"/>
      <c r="L5" s="6"/>
      <c r="M5" s="6"/>
      <c r="N5" s="6">
        <f ca="1" t="shared" si="1"/>
        <v>31200</v>
      </c>
      <c r="O5" s="6">
        <f ca="1" t="shared" si="2"/>
        <v>8.66666666666667</v>
      </c>
      <c r="P5" s="6"/>
      <c r="Q5" s="6"/>
    </row>
    <row r="6" ht="20" customHeight="1" spans="1:17">
      <c r="A6" s="27">
        <v>46084</v>
      </c>
      <c r="B6" s="6"/>
      <c r="C6" s="28"/>
      <c r="D6" s="6"/>
      <c r="E6" s="5" t="s">
        <v>23</v>
      </c>
      <c r="F6" s="6"/>
      <c r="G6" s="5" t="s">
        <v>24</v>
      </c>
      <c r="H6" s="6">
        <f ca="1" t="array" ref="H6">INDEX(成本核算表!J:J,MATCH(1,(成本核算表!D:D=E6)*(成本核算表!C:C=G6),0))</f>
        <v>450</v>
      </c>
      <c r="I6" s="6">
        <v>18</v>
      </c>
      <c r="J6" s="6">
        <f ca="1" t="shared" si="0"/>
        <v>8100</v>
      </c>
      <c r="K6" s="6"/>
      <c r="L6" s="6"/>
      <c r="M6" s="6"/>
      <c r="N6" s="6">
        <f ca="1" t="shared" si="1"/>
        <v>8100</v>
      </c>
      <c r="O6" s="6">
        <f ca="1" t="shared" si="2"/>
        <v>2.25</v>
      </c>
      <c r="P6" s="6"/>
      <c r="Q6" s="6"/>
    </row>
    <row r="7" ht="20" customHeight="1" spans="1:17">
      <c r="A7" s="27">
        <v>46084</v>
      </c>
      <c r="B7" s="6"/>
      <c r="C7" s="28"/>
      <c r="D7" s="6"/>
      <c r="E7" s="5" t="s">
        <v>23</v>
      </c>
      <c r="F7" s="6"/>
      <c r="G7" s="5" t="s">
        <v>25</v>
      </c>
      <c r="H7" s="6">
        <f ca="1" t="array" ref="H7">INDEX(成本核算表!J:J,MATCH(1,(成本核算表!D:D=E7)*(成本核算表!C:C=G7),0))</f>
        <v>120</v>
      </c>
      <c r="I7" s="6">
        <v>17</v>
      </c>
      <c r="J7" s="6">
        <f ca="1" t="shared" si="0"/>
        <v>2040</v>
      </c>
      <c r="K7" s="6"/>
      <c r="L7" s="6"/>
      <c r="M7" s="6"/>
      <c r="N7" s="6">
        <f ca="1" t="shared" si="1"/>
        <v>2040</v>
      </c>
      <c r="O7" s="6">
        <f ca="1" t="shared" si="2"/>
        <v>0.566666666666667</v>
      </c>
      <c r="P7" s="6"/>
      <c r="Q7" s="6"/>
    </row>
    <row r="8" ht="20" customHeight="1" spans="1:17">
      <c r="A8" s="27">
        <v>46084</v>
      </c>
      <c r="B8" s="6"/>
      <c r="C8" s="28"/>
      <c r="D8" s="5" t="s">
        <v>26</v>
      </c>
      <c r="E8" s="5" t="s">
        <v>27</v>
      </c>
      <c r="F8" s="6">
        <v>180</v>
      </c>
      <c r="G8" s="5" t="s">
        <v>24</v>
      </c>
      <c r="H8" s="6">
        <f ca="1" t="array" ref="H8">INDEX(成本核算表!J:J,MATCH(1,(成本核算表!D:D=E8)*(成本核算表!C:C=G8),0))</f>
        <v>800</v>
      </c>
      <c r="I8" s="6">
        <v>13</v>
      </c>
      <c r="J8" s="6">
        <f ca="1" t="shared" si="0"/>
        <v>10400</v>
      </c>
      <c r="K8" s="6"/>
      <c r="L8" s="6"/>
      <c r="M8" s="6"/>
      <c r="N8" s="6">
        <f ca="1" t="shared" si="1"/>
        <v>10400</v>
      </c>
      <c r="O8" s="6">
        <f ca="1" t="shared" si="2"/>
        <v>2.88888888888889</v>
      </c>
      <c r="P8" s="6"/>
      <c r="Q8" s="6"/>
    </row>
    <row r="9" ht="20" customHeight="1" spans="1:17">
      <c r="A9" s="27">
        <v>46085</v>
      </c>
      <c r="B9" s="6">
        <v>11</v>
      </c>
      <c r="C9" s="28">
        <f ca="1">SUM(O9:O11)/B9</f>
        <v>0.831515151515152</v>
      </c>
      <c r="D9" s="6"/>
      <c r="E9" s="5" t="s">
        <v>23</v>
      </c>
      <c r="F9" s="6"/>
      <c r="G9" s="5" t="s">
        <v>28</v>
      </c>
      <c r="H9" s="6">
        <f ca="1" t="array" ref="H9">INDEX(成本核算表!J:J,MATCH(1,(成本核算表!D:D=E9)*(成本核算表!C:C=G9),0))</f>
        <v>120</v>
      </c>
      <c r="I9" s="6">
        <v>18</v>
      </c>
      <c r="J9" s="6">
        <f ca="1" t="shared" si="0"/>
        <v>2160</v>
      </c>
      <c r="K9" s="6"/>
      <c r="L9" s="6"/>
      <c r="M9" s="6"/>
      <c r="N9" s="6">
        <f ca="1" t="shared" si="1"/>
        <v>2160</v>
      </c>
      <c r="O9" s="6">
        <f ca="1" t="shared" si="2"/>
        <v>0.6</v>
      </c>
      <c r="P9" s="6"/>
      <c r="Q9" s="6"/>
    </row>
    <row r="10" ht="20" customHeight="1" spans="1:17">
      <c r="A10" s="27">
        <v>46085</v>
      </c>
      <c r="B10" s="6"/>
      <c r="C10" s="28"/>
      <c r="D10" s="6"/>
      <c r="E10" s="5" t="s">
        <v>21</v>
      </c>
      <c r="F10" s="6"/>
      <c r="G10" s="5" t="s">
        <v>22</v>
      </c>
      <c r="H10" s="6">
        <v>42</v>
      </c>
      <c r="I10" s="6">
        <v>104</v>
      </c>
      <c r="J10" s="6">
        <f t="shared" si="0"/>
        <v>4368</v>
      </c>
      <c r="K10" s="6"/>
      <c r="L10" s="6"/>
      <c r="M10" s="6"/>
      <c r="N10" s="6">
        <f t="shared" si="1"/>
        <v>4368</v>
      </c>
      <c r="O10" s="6">
        <f t="shared" si="2"/>
        <v>1.21333333333333</v>
      </c>
      <c r="P10" s="6"/>
      <c r="Q10" s="6"/>
    </row>
    <row r="11" ht="20" customHeight="1" spans="1:17">
      <c r="A11" s="27">
        <v>46085</v>
      </c>
      <c r="B11" s="6"/>
      <c r="C11" s="28"/>
      <c r="D11" s="5" t="s">
        <v>29</v>
      </c>
      <c r="E11" s="5" t="s">
        <v>27</v>
      </c>
      <c r="F11" s="6">
        <v>180</v>
      </c>
      <c r="G11" s="5" t="s">
        <v>24</v>
      </c>
      <c r="H11" s="6">
        <f ca="1" t="array" ref="H11">INDEX(成本核算表!J:J,MATCH(1,(成本核算表!D:D=E11)*(成本核算表!C:C=G11),0))</f>
        <v>800</v>
      </c>
      <c r="I11" s="6">
        <v>33</v>
      </c>
      <c r="J11" s="6">
        <f ca="1" t="shared" si="0"/>
        <v>26400</v>
      </c>
      <c r="K11" s="6"/>
      <c r="L11" s="6"/>
      <c r="M11" s="6"/>
      <c r="N11" s="6">
        <f ca="1" t="shared" si="1"/>
        <v>26400</v>
      </c>
      <c r="O11" s="6">
        <f ca="1" t="shared" si="2"/>
        <v>7.33333333333333</v>
      </c>
      <c r="P11" s="6"/>
      <c r="Q11" s="6"/>
    </row>
    <row r="12" ht="20" customHeight="1" spans="1:17">
      <c r="A12" s="27">
        <v>46086</v>
      </c>
      <c r="B12" s="6">
        <v>11</v>
      </c>
      <c r="C12" s="28">
        <f ca="1">SUM(O12:O13)/B12</f>
        <v>0.72979797979798</v>
      </c>
      <c r="D12" s="5" t="s">
        <v>29</v>
      </c>
      <c r="E12" s="5" t="s">
        <v>27</v>
      </c>
      <c r="F12" s="6">
        <v>180</v>
      </c>
      <c r="G12" s="5" t="s">
        <v>24</v>
      </c>
      <c r="H12" s="6">
        <f ca="1" t="array" ref="H12">INDEX(成本核算表!J:J,MATCH(1,(成本核算表!D:D=E12)*(成本核算表!C:C=G12),0))</f>
        <v>800</v>
      </c>
      <c r="I12" s="6">
        <v>8</v>
      </c>
      <c r="J12" s="6">
        <f ca="1" t="shared" si="0"/>
        <v>6400</v>
      </c>
      <c r="K12" s="6"/>
      <c r="L12" s="6"/>
      <c r="M12" s="6"/>
      <c r="N12" s="6">
        <f ca="1" t="shared" si="1"/>
        <v>6400</v>
      </c>
      <c r="O12" s="6">
        <f ca="1" t="shared" si="2"/>
        <v>1.77777777777778</v>
      </c>
      <c r="P12" s="6"/>
      <c r="Q12" s="6"/>
    </row>
    <row r="13" ht="20" customHeight="1" spans="1:17">
      <c r="A13" s="27">
        <v>46086</v>
      </c>
      <c r="B13" s="6"/>
      <c r="C13" s="28"/>
      <c r="D13" s="5" t="s">
        <v>29</v>
      </c>
      <c r="E13" s="5" t="s">
        <v>27</v>
      </c>
      <c r="F13" s="6">
        <v>180</v>
      </c>
      <c r="G13" s="5" t="s">
        <v>30</v>
      </c>
      <c r="H13" s="6">
        <f ca="1" t="array" ref="H13">INDEX(成本核算表!J:J,MATCH(1,(成本核算表!D:D=E13)*(成本核算表!C:C=G13),0))</f>
        <v>60</v>
      </c>
      <c r="I13" s="6">
        <v>135</v>
      </c>
      <c r="J13" s="6">
        <f ca="1" t="shared" si="0"/>
        <v>8100</v>
      </c>
      <c r="K13" s="6"/>
      <c r="L13" s="6">
        <v>14400</v>
      </c>
      <c r="M13" s="6"/>
      <c r="N13" s="6">
        <f ca="1" t="shared" si="1"/>
        <v>22500</v>
      </c>
      <c r="O13" s="6">
        <f ca="1" t="shared" si="2"/>
        <v>6.25</v>
      </c>
      <c r="P13" s="6"/>
      <c r="Q13" s="5" t="s">
        <v>31</v>
      </c>
    </row>
    <row r="14" ht="20" customHeight="1" spans="1:17">
      <c r="A14" s="27">
        <v>46087</v>
      </c>
      <c r="B14" s="6">
        <v>11</v>
      </c>
      <c r="C14" s="28">
        <f ca="1">SUM(O14:O16)/B14</f>
        <v>0.954545454545455</v>
      </c>
      <c r="D14" s="6"/>
      <c r="E14" s="5" t="s">
        <v>32</v>
      </c>
      <c r="F14" s="6"/>
      <c r="G14" s="5" t="s">
        <v>33</v>
      </c>
      <c r="H14" s="6">
        <f ca="1" t="array" ref="H14">INDEX(成本核算表!J:J,MATCH(1,(成本核算表!D:D=E14)*(成本核算表!C:C=G14),0))</f>
        <v>100</v>
      </c>
      <c r="I14" s="6">
        <v>18</v>
      </c>
      <c r="J14" s="6">
        <f ca="1" t="shared" si="0"/>
        <v>1800</v>
      </c>
      <c r="K14" s="6"/>
      <c r="L14" s="6"/>
      <c r="M14" s="6"/>
      <c r="N14" s="6">
        <f ca="1" t="shared" si="1"/>
        <v>1800</v>
      </c>
      <c r="O14" s="6">
        <f ca="1" t="shared" si="2"/>
        <v>0.5</v>
      </c>
      <c r="P14" s="6"/>
      <c r="Q14" s="6"/>
    </row>
    <row r="15" ht="20" customHeight="1" spans="1:17">
      <c r="A15" s="27">
        <v>46087</v>
      </c>
      <c r="B15" s="6"/>
      <c r="C15" s="28"/>
      <c r="D15" s="6"/>
      <c r="E15" s="5" t="s">
        <v>34</v>
      </c>
      <c r="F15" s="6"/>
      <c r="G15" s="5" t="s">
        <v>33</v>
      </c>
      <c r="H15" s="6">
        <f ca="1" t="array" ref="H15">INDEX(成本核算表!J:J,MATCH(1,(成本核算表!D:D=E15)*(成本核算表!C:C=G15),0))</f>
        <v>100</v>
      </c>
      <c r="I15" s="6">
        <v>12</v>
      </c>
      <c r="J15" s="6">
        <f ca="1" t="shared" si="0"/>
        <v>1200</v>
      </c>
      <c r="K15" s="6"/>
      <c r="L15" s="6"/>
      <c r="M15" s="6"/>
      <c r="N15" s="6">
        <f ca="1" t="shared" si="1"/>
        <v>1200</v>
      </c>
      <c r="O15" s="6">
        <f ca="1" t="shared" si="2"/>
        <v>0.333333333333333</v>
      </c>
      <c r="P15" s="6"/>
      <c r="Q15" s="6"/>
    </row>
    <row r="16" ht="20" customHeight="1" spans="1:17">
      <c r="A16" s="27">
        <v>46087</v>
      </c>
      <c r="B16" s="6"/>
      <c r="C16" s="28"/>
      <c r="D16" s="5" t="s">
        <v>35</v>
      </c>
      <c r="E16" s="5" t="s">
        <v>36</v>
      </c>
      <c r="F16" s="6">
        <v>119.5</v>
      </c>
      <c r="G16" s="5" t="s">
        <v>37</v>
      </c>
      <c r="H16" s="6">
        <f ca="1" t="array" ref="H16">INDEX(成本核算表!J:J,MATCH(1,(成本核算表!D:D=E16)*(成本核算表!C:C=G16),0))</f>
        <v>15</v>
      </c>
      <c r="I16" s="6">
        <v>400</v>
      </c>
      <c r="J16" s="6">
        <f ca="1" t="shared" si="0"/>
        <v>6000</v>
      </c>
      <c r="K16" s="6"/>
      <c r="L16" s="6">
        <f>3600*8</f>
        <v>28800</v>
      </c>
      <c r="M16" s="6"/>
      <c r="N16" s="6">
        <f ca="1" t="shared" si="1"/>
        <v>34800</v>
      </c>
      <c r="O16" s="6">
        <f ca="1" t="shared" si="2"/>
        <v>9.66666666666667</v>
      </c>
      <c r="P16" s="6"/>
      <c r="Q16" s="6"/>
    </row>
    <row r="17" ht="20" customHeight="1" spans="1:17">
      <c r="A17" s="27">
        <v>46088</v>
      </c>
      <c r="B17" s="6">
        <v>4</v>
      </c>
      <c r="C17" s="28">
        <f t="shared" ref="C17:C20" si="3">O17/B17</f>
        <v>0.789583333333333</v>
      </c>
      <c r="D17" s="6"/>
      <c r="E17" s="5" t="s">
        <v>38</v>
      </c>
      <c r="F17" s="6"/>
      <c r="G17" s="5" t="s">
        <v>39</v>
      </c>
      <c r="H17" s="6">
        <v>30</v>
      </c>
      <c r="I17" s="6">
        <v>19</v>
      </c>
      <c r="J17" s="6">
        <f t="shared" si="0"/>
        <v>570</v>
      </c>
      <c r="K17" s="6"/>
      <c r="L17" s="6">
        <f>3*3600</f>
        <v>10800</v>
      </c>
      <c r="M17" s="6"/>
      <c r="N17" s="6">
        <f t="shared" si="1"/>
        <v>11370</v>
      </c>
      <c r="O17" s="6">
        <f t="shared" si="2"/>
        <v>3.15833333333333</v>
      </c>
      <c r="P17" s="6"/>
      <c r="Q17" s="6"/>
    </row>
    <row r="18" ht="20" customHeight="1" spans="1:17">
      <c r="A18" s="6"/>
      <c r="B18" s="6"/>
      <c r="C18" s="28"/>
      <c r="D18" s="6"/>
      <c r="E18" s="6"/>
      <c r="F18" s="6"/>
      <c r="G18" s="6"/>
      <c r="H18" s="6">
        <f ca="1" t="array" ref="H18">INDEX(成本核算表!J:J,MATCH(1,(成本核算表!D:D=E18)*(成本核算表!C:C=G18),0))</f>
        <v>0</v>
      </c>
      <c r="I18" s="6"/>
      <c r="J18" s="6">
        <f ca="1" t="shared" si="0"/>
        <v>0</v>
      </c>
      <c r="K18" s="6"/>
      <c r="L18" s="6"/>
      <c r="M18" s="6"/>
      <c r="N18" s="6">
        <f ca="1" t="shared" si="1"/>
        <v>0</v>
      </c>
      <c r="O18" s="6">
        <f ca="1" t="shared" si="2"/>
        <v>0</v>
      </c>
      <c r="P18" s="6"/>
      <c r="Q18" s="6"/>
    </row>
    <row r="19" ht="20" customHeight="1" spans="1:17">
      <c r="A19" s="27">
        <v>46090</v>
      </c>
      <c r="B19" s="6">
        <v>11</v>
      </c>
      <c r="C19" s="28">
        <f ca="1" t="shared" si="3"/>
        <v>0.424242424242424</v>
      </c>
      <c r="D19" s="5" t="s">
        <v>40</v>
      </c>
      <c r="E19" s="5" t="s">
        <v>36</v>
      </c>
      <c r="F19" s="6">
        <v>119.5</v>
      </c>
      <c r="G19" s="5" t="s">
        <v>41</v>
      </c>
      <c r="H19" s="6">
        <f ca="1" t="array" ref="H19">INDEX(成本核算表!J:J,MATCH(1,(成本核算表!D:D=E19)*(成本核算表!C:C=G19),0))</f>
        <v>12</v>
      </c>
      <c r="I19" s="6">
        <v>1400</v>
      </c>
      <c r="J19" s="6">
        <f ca="1" t="shared" si="0"/>
        <v>16800</v>
      </c>
      <c r="K19" s="6"/>
      <c r="L19" s="6"/>
      <c r="M19" s="6"/>
      <c r="N19" s="6">
        <f ca="1" t="shared" si="1"/>
        <v>16800</v>
      </c>
      <c r="O19" s="6">
        <f ca="1" t="shared" si="2"/>
        <v>4.66666666666667</v>
      </c>
      <c r="P19" s="6"/>
      <c r="Q19" s="6"/>
    </row>
    <row r="20" ht="20" customHeight="1" spans="1:17">
      <c r="A20" s="27">
        <v>46091</v>
      </c>
      <c r="B20" s="6">
        <v>11</v>
      </c>
      <c r="C20" s="28">
        <f ca="1" t="shared" si="3"/>
        <v>0.463636363636364</v>
      </c>
      <c r="D20" s="5" t="s">
        <v>40</v>
      </c>
      <c r="E20" s="5" t="s">
        <v>36</v>
      </c>
      <c r="F20" s="6">
        <v>119.5</v>
      </c>
      <c r="G20" s="5" t="s">
        <v>41</v>
      </c>
      <c r="H20" s="6">
        <f ca="1" t="array" ref="H20">INDEX(成本核算表!J:J,MATCH(1,(成本核算表!D:D=E20)*(成本核算表!C:C=G20),0))</f>
        <v>12</v>
      </c>
      <c r="I20" s="6">
        <v>1530</v>
      </c>
      <c r="J20" s="6">
        <f ca="1" t="shared" si="0"/>
        <v>18360</v>
      </c>
      <c r="K20" s="6"/>
      <c r="L20" s="6"/>
      <c r="M20" s="6"/>
      <c r="N20" s="6">
        <f ca="1" t="shared" si="1"/>
        <v>18360</v>
      </c>
      <c r="O20" s="6">
        <f ca="1" t="shared" si="2"/>
        <v>5.1</v>
      </c>
      <c r="P20" s="6"/>
      <c r="Q20" s="6"/>
    </row>
    <row r="21" ht="20" customHeight="1" spans="1:17">
      <c r="A21" s="27">
        <v>46092</v>
      </c>
      <c r="B21" s="6">
        <v>11</v>
      </c>
      <c r="C21" s="28"/>
      <c r="D21" s="6"/>
      <c r="E21" s="6"/>
      <c r="F21" s="6"/>
      <c r="G21" s="6"/>
      <c r="H21" s="6">
        <f ca="1" t="array" ref="H21">INDEX(成本核算表!J:J,MATCH(1,(成本核算表!D:D=E21)*(成本核算表!C:C=G21),0))</f>
        <v>0</v>
      </c>
      <c r="I21" s="6"/>
      <c r="J21" s="6">
        <f ca="1" t="shared" si="0"/>
        <v>0</v>
      </c>
      <c r="K21" s="6"/>
      <c r="L21" s="6">
        <f>11*3600</f>
        <v>39600</v>
      </c>
      <c r="M21" s="6"/>
      <c r="N21" s="6">
        <f ca="1" t="shared" si="1"/>
        <v>39600</v>
      </c>
      <c r="O21" s="6">
        <f ca="1" t="shared" si="2"/>
        <v>11</v>
      </c>
      <c r="P21" s="6"/>
      <c r="Q21" s="6"/>
    </row>
    <row r="22" ht="20" customHeight="1" spans="1:17">
      <c r="A22" s="27">
        <v>46093</v>
      </c>
      <c r="B22" s="6">
        <v>11</v>
      </c>
      <c r="C22" s="28">
        <f ca="1" t="shared" ref="C22:C24" si="4">O22/B22</f>
        <v>0.363636363636364</v>
      </c>
      <c r="D22" s="5" t="s">
        <v>40</v>
      </c>
      <c r="E22" s="5" t="s">
        <v>36</v>
      </c>
      <c r="F22" s="6">
        <v>119.5</v>
      </c>
      <c r="G22" s="5" t="s">
        <v>41</v>
      </c>
      <c r="H22" s="6">
        <f ca="1" t="array" ref="H22">INDEX(成本核算表!J:J,MATCH(1,(成本核算表!D:D=E22)*(成本核算表!C:C=G22),0))</f>
        <v>12</v>
      </c>
      <c r="I22" s="6">
        <f>120+1080</f>
        <v>1200</v>
      </c>
      <c r="J22" s="6">
        <f ca="1" t="shared" si="0"/>
        <v>14400</v>
      </c>
      <c r="K22" s="6"/>
      <c r="L22" s="6"/>
      <c r="M22" s="6"/>
      <c r="N22" s="6">
        <f ca="1" t="shared" si="1"/>
        <v>14400</v>
      </c>
      <c r="O22" s="6">
        <f ca="1" t="shared" si="2"/>
        <v>4</v>
      </c>
      <c r="P22" s="6"/>
      <c r="Q22" s="6"/>
    </row>
    <row r="23" ht="20" customHeight="1" spans="1:17">
      <c r="A23" s="27">
        <v>46094</v>
      </c>
      <c r="B23" s="6">
        <v>11</v>
      </c>
      <c r="C23" s="28">
        <f ca="1" t="shared" si="4"/>
        <v>0.575757575757576</v>
      </c>
      <c r="D23" s="5" t="s">
        <v>40</v>
      </c>
      <c r="E23" s="5" t="s">
        <v>36</v>
      </c>
      <c r="F23" s="6">
        <v>119.5</v>
      </c>
      <c r="G23" s="5" t="s">
        <v>41</v>
      </c>
      <c r="H23" s="6">
        <f ca="1" t="array" ref="H23">INDEX(成本核算表!J:J,MATCH(1,(成本核算表!D:D=E23)*(成本核算表!C:C=G23),0))</f>
        <v>12</v>
      </c>
      <c r="I23" s="6">
        <v>1900</v>
      </c>
      <c r="J23" s="6">
        <f ca="1" t="shared" si="0"/>
        <v>22800</v>
      </c>
      <c r="K23" s="6"/>
      <c r="L23" s="6"/>
      <c r="M23" s="6"/>
      <c r="N23" s="6">
        <f ca="1" t="shared" si="1"/>
        <v>22800</v>
      </c>
      <c r="O23" s="6">
        <f ca="1" t="shared" si="2"/>
        <v>6.33333333333333</v>
      </c>
      <c r="P23" s="6"/>
      <c r="Q23" s="6"/>
    </row>
    <row r="24" ht="20" customHeight="1" spans="1:17">
      <c r="A24" s="27">
        <v>46095</v>
      </c>
      <c r="B24" s="6">
        <v>9.5</v>
      </c>
      <c r="C24" s="28">
        <f ca="1" t="shared" si="4"/>
        <v>0.437543859649123</v>
      </c>
      <c r="D24" s="5" t="s">
        <v>40</v>
      </c>
      <c r="E24" s="5" t="s">
        <v>36</v>
      </c>
      <c r="F24" s="6">
        <v>119.5</v>
      </c>
      <c r="G24" s="5" t="s">
        <v>41</v>
      </c>
      <c r="H24" s="6">
        <f ca="1" t="array" ref="H24">INDEX(成本核算表!J:J,MATCH(1,(成本核算表!D:D=E24)*(成本核算表!C:C=G24),0))</f>
        <v>12</v>
      </c>
      <c r="I24" s="6">
        <v>1247</v>
      </c>
      <c r="J24" s="6">
        <f ca="1" t="shared" si="0"/>
        <v>14964</v>
      </c>
      <c r="K24" s="6"/>
      <c r="L24" s="6"/>
      <c r="M24" s="6"/>
      <c r="N24" s="6">
        <f ca="1" t="shared" si="1"/>
        <v>14964</v>
      </c>
      <c r="O24" s="6">
        <f ca="1" t="shared" si="2"/>
        <v>4.15666666666667</v>
      </c>
      <c r="P24" s="6"/>
      <c r="Q24" s="6"/>
    </row>
    <row r="25" ht="20" customHeight="1" spans="1:17">
      <c r="A25" s="6"/>
      <c r="B25" s="6"/>
      <c r="C25" s="28"/>
      <c r="D25" s="6"/>
      <c r="E25" s="6"/>
      <c r="F25" s="6"/>
      <c r="G25" s="6"/>
      <c r="H25" s="6">
        <f ca="1" t="array" ref="H25">INDEX(成本核算表!J:J,MATCH(1,(成本核算表!D:D=E25)*(成本核算表!C:C=G25),0))</f>
        <v>0</v>
      </c>
      <c r="I25" s="6"/>
      <c r="J25" s="6">
        <f ca="1" t="shared" si="0"/>
        <v>0</v>
      </c>
      <c r="K25" s="6"/>
      <c r="L25" s="6"/>
      <c r="M25" s="6"/>
      <c r="N25" s="6">
        <f ca="1" t="shared" si="1"/>
        <v>0</v>
      </c>
      <c r="O25" s="6">
        <f ca="1" t="shared" si="2"/>
        <v>0</v>
      </c>
      <c r="P25" s="6"/>
      <c r="Q25" s="6"/>
    </row>
    <row r="26" ht="20" customHeight="1" spans="1:17">
      <c r="A26" s="27">
        <v>46097</v>
      </c>
      <c r="B26" s="6">
        <v>11</v>
      </c>
      <c r="C26" s="28">
        <f ca="1">SUM(O26:O27)/B26</f>
        <v>0.810909090909091</v>
      </c>
      <c r="D26" s="29" t="s">
        <v>35</v>
      </c>
      <c r="E26" s="5" t="s">
        <v>36</v>
      </c>
      <c r="F26" s="6">
        <v>119.5</v>
      </c>
      <c r="G26" s="5" t="s">
        <v>37</v>
      </c>
      <c r="H26" s="6">
        <f ca="1" t="array" ref="H26">INDEX(成本核算表!J:J,MATCH(1,(成本核算表!D:D=E26)*(成本核算表!C:C=G26),0))</f>
        <v>15</v>
      </c>
      <c r="I26" s="6">
        <v>504</v>
      </c>
      <c r="J26" s="6">
        <f ca="1" t="shared" si="0"/>
        <v>7560</v>
      </c>
      <c r="K26" s="6"/>
      <c r="L26" s="6"/>
      <c r="M26" s="6"/>
      <c r="N26" s="6">
        <f ca="1" t="shared" si="1"/>
        <v>7560</v>
      </c>
      <c r="O26" s="6">
        <f ca="1" t="shared" si="2"/>
        <v>2.1</v>
      </c>
      <c r="P26" s="6"/>
      <c r="Q26" s="6"/>
    </row>
    <row r="27" ht="20" customHeight="1" spans="1:17">
      <c r="A27" s="27">
        <v>46097</v>
      </c>
      <c r="B27" s="6"/>
      <c r="C27" s="28"/>
      <c r="D27" s="5" t="s">
        <v>40</v>
      </c>
      <c r="E27" s="5" t="s">
        <v>36</v>
      </c>
      <c r="F27" s="6">
        <v>119.5</v>
      </c>
      <c r="G27" s="5" t="s">
        <v>41</v>
      </c>
      <c r="H27" s="6">
        <f ca="1" t="array" ref="H27">INDEX(成本核算表!J:J,MATCH(1,(成本核算表!D:D=E27)*(成本核算表!C:C=G27),0))</f>
        <v>12</v>
      </c>
      <c r="I27" s="6">
        <v>2046</v>
      </c>
      <c r="J27" s="6">
        <f ca="1" t="shared" si="0"/>
        <v>24552</v>
      </c>
      <c r="K27" s="6"/>
      <c r="L27" s="6"/>
      <c r="M27" s="6"/>
      <c r="N27" s="6">
        <f ca="1" t="shared" si="1"/>
        <v>24552</v>
      </c>
      <c r="O27" s="6">
        <f ca="1" t="shared" si="2"/>
        <v>6.82</v>
      </c>
      <c r="P27" s="6"/>
      <c r="Q27" s="6"/>
    </row>
    <row r="28" ht="20" customHeight="1" spans="1:17">
      <c r="A28" s="27">
        <v>46098</v>
      </c>
      <c r="B28" s="6">
        <v>11</v>
      </c>
      <c r="C28" s="28">
        <f ca="1">SUM(O28:O29)/B28</f>
        <v>0.636363636363636</v>
      </c>
      <c r="D28" s="29" t="s">
        <v>35</v>
      </c>
      <c r="E28" s="5" t="s">
        <v>36</v>
      </c>
      <c r="F28" s="6">
        <v>119.5</v>
      </c>
      <c r="G28" s="5" t="s">
        <v>37</v>
      </c>
      <c r="H28" s="6">
        <f ca="1" t="array" ref="H28">INDEX(成本核算表!J:J,MATCH(1,(成本核算表!D:D=E28)*(成本核算表!C:C=G28),0))</f>
        <v>15</v>
      </c>
      <c r="I28" s="6">
        <v>1232</v>
      </c>
      <c r="J28" s="6">
        <f ca="1" t="shared" si="0"/>
        <v>18480</v>
      </c>
      <c r="K28" s="6"/>
      <c r="L28" s="6"/>
      <c r="M28" s="6"/>
      <c r="N28" s="6">
        <f ca="1" t="shared" si="1"/>
        <v>18480</v>
      </c>
      <c r="O28" s="6">
        <f ca="1" t="shared" si="2"/>
        <v>5.13333333333333</v>
      </c>
      <c r="P28" s="6"/>
      <c r="Q28" s="6"/>
    </row>
    <row r="29" ht="20" customHeight="1" spans="1:17">
      <c r="A29" s="27">
        <v>46098</v>
      </c>
      <c r="B29" s="6"/>
      <c r="C29" s="28"/>
      <c r="D29" s="5" t="s">
        <v>40</v>
      </c>
      <c r="E29" s="5" t="s">
        <v>36</v>
      </c>
      <c r="F29" s="6">
        <v>119.5</v>
      </c>
      <c r="G29" s="5" t="s">
        <v>41</v>
      </c>
      <c r="H29" s="6">
        <f ca="1" t="array" ref="H29">INDEX(成本核算表!J:J,MATCH(1,(成本核算表!D:D=E29)*(成本核算表!C:C=G29),0))</f>
        <v>12</v>
      </c>
      <c r="I29" s="6">
        <v>560</v>
      </c>
      <c r="J29" s="6">
        <f ca="1" t="shared" si="0"/>
        <v>6720</v>
      </c>
      <c r="K29" s="6"/>
      <c r="L29" s="6"/>
      <c r="M29" s="6"/>
      <c r="N29" s="6">
        <f ca="1" t="shared" si="1"/>
        <v>6720</v>
      </c>
      <c r="O29" s="6">
        <f ca="1" t="shared" si="2"/>
        <v>1.86666666666667</v>
      </c>
      <c r="P29" s="6"/>
      <c r="Q29" s="6"/>
    </row>
    <row r="30" ht="20" customHeight="1" spans="1:17">
      <c r="A30" s="27">
        <v>46099</v>
      </c>
      <c r="B30" s="6">
        <v>11</v>
      </c>
      <c r="C30" s="28">
        <f ca="1" t="shared" ref="C30:C32" si="5">O30/B30</f>
        <v>0.75</v>
      </c>
      <c r="D30" s="5" t="s">
        <v>40</v>
      </c>
      <c r="E30" s="5" t="s">
        <v>36</v>
      </c>
      <c r="F30" s="6">
        <v>119.5</v>
      </c>
      <c r="G30" s="5" t="s">
        <v>37</v>
      </c>
      <c r="H30" s="6">
        <f ca="1" t="array" ref="H30">INDEX(成本核算表!J:J,MATCH(1,(成本核算表!D:D=E30)*(成本核算表!C:C=G30),0))</f>
        <v>15</v>
      </c>
      <c r="I30" s="6">
        <f>850+1130</f>
        <v>1980</v>
      </c>
      <c r="J30" s="6">
        <f ca="1" t="shared" si="0"/>
        <v>29700</v>
      </c>
      <c r="K30" s="6"/>
      <c r="L30" s="6"/>
      <c r="M30" s="6"/>
      <c r="N30" s="6">
        <f ca="1" t="shared" si="1"/>
        <v>29700</v>
      </c>
      <c r="O30" s="6">
        <f ca="1" t="shared" si="2"/>
        <v>8.25</v>
      </c>
      <c r="P30" s="6"/>
      <c r="Q30" s="6"/>
    </row>
    <row r="31" ht="20" customHeight="1" spans="1:17">
      <c r="A31" s="27">
        <v>46100</v>
      </c>
      <c r="B31" s="6">
        <v>11</v>
      </c>
      <c r="C31" s="28">
        <f ca="1" t="shared" si="5"/>
        <v>0.575757575757576</v>
      </c>
      <c r="D31" s="29" t="s">
        <v>35</v>
      </c>
      <c r="E31" s="5" t="s">
        <v>36</v>
      </c>
      <c r="F31" s="6">
        <v>119.5</v>
      </c>
      <c r="G31" s="5" t="s">
        <v>37</v>
      </c>
      <c r="H31" s="6">
        <f ca="1" t="array" ref="H31">INDEX(成本核算表!J:J,MATCH(1,(成本核算表!D:D=E31)*(成本核算表!C:C=G31),0))</f>
        <v>15</v>
      </c>
      <c r="I31" s="6">
        <v>1520</v>
      </c>
      <c r="J31" s="6">
        <f ca="1" t="shared" si="0"/>
        <v>22800</v>
      </c>
      <c r="K31" s="6"/>
      <c r="L31" s="6"/>
      <c r="M31" s="6"/>
      <c r="N31" s="6">
        <f ca="1" t="shared" si="1"/>
        <v>22800</v>
      </c>
      <c r="O31" s="6">
        <f ca="1" t="shared" si="2"/>
        <v>6.33333333333333</v>
      </c>
      <c r="P31" s="6"/>
      <c r="Q31" s="6"/>
    </row>
    <row r="32" ht="20" customHeight="1" spans="1:17">
      <c r="A32" s="27">
        <v>46101</v>
      </c>
      <c r="B32" s="6">
        <v>11</v>
      </c>
      <c r="C32" s="28">
        <f ca="1" t="shared" si="5"/>
        <v>0.837121212121212</v>
      </c>
      <c r="D32" s="29" t="s">
        <v>35</v>
      </c>
      <c r="E32" s="5" t="s">
        <v>36</v>
      </c>
      <c r="F32" s="6">
        <v>119.5</v>
      </c>
      <c r="G32" s="5" t="s">
        <v>37</v>
      </c>
      <c r="H32" s="6">
        <f ca="1" t="array" ref="H32">INDEX(成本核算表!J:J,MATCH(1,(成本核算表!D:D=E32)*(成本核算表!C:C=G32),0))</f>
        <v>15</v>
      </c>
      <c r="I32" s="6">
        <v>650</v>
      </c>
      <c r="J32" s="6">
        <f ca="1" t="shared" si="0"/>
        <v>9750</v>
      </c>
      <c r="K32" s="6"/>
      <c r="L32" s="6">
        <f>6.5*3600</f>
        <v>23400</v>
      </c>
      <c r="M32" s="6"/>
      <c r="N32" s="6">
        <f ca="1" t="shared" si="1"/>
        <v>33150</v>
      </c>
      <c r="O32" s="6">
        <f ca="1" t="shared" si="2"/>
        <v>9.20833333333333</v>
      </c>
      <c r="P32" s="6"/>
      <c r="Q32" s="6"/>
    </row>
    <row r="33" ht="20" customHeight="1" spans="1:17">
      <c r="A33" s="6"/>
      <c r="B33" s="6"/>
      <c r="C33" s="28"/>
      <c r="D33" s="6"/>
      <c r="E33" s="6"/>
      <c r="F33" s="6"/>
      <c r="G33" s="6"/>
      <c r="H33" s="6">
        <f ca="1" t="array" ref="H33">INDEX(成本核算表!J:J,MATCH(1,(成本核算表!D:D=E33)*(成本核算表!C:C=G33),0))</f>
        <v>0</v>
      </c>
      <c r="I33" s="6"/>
      <c r="J33" s="6">
        <f ca="1" t="shared" si="0"/>
        <v>0</v>
      </c>
      <c r="K33" s="6"/>
      <c r="L33" s="6"/>
      <c r="M33" s="6"/>
      <c r="N33" s="6">
        <f ca="1" t="shared" si="1"/>
        <v>0</v>
      </c>
      <c r="O33" s="6">
        <f ca="1" t="shared" si="2"/>
        <v>0</v>
      </c>
      <c r="P33" s="6"/>
      <c r="Q33" s="6"/>
    </row>
    <row r="34" ht="20" customHeight="1" spans="1:17">
      <c r="A34" s="6"/>
      <c r="B34" s="6"/>
      <c r="C34" s="28"/>
      <c r="D34" s="6"/>
      <c r="E34" s="6"/>
      <c r="F34" s="6"/>
      <c r="G34" s="6"/>
      <c r="H34" s="6">
        <f ca="1" t="array" ref="H34">INDEX(成本核算表!J:J,MATCH(1,(成本核算表!D:D=E34)*(成本核算表!C:C=G34),0))</f>
        <v>0</v>
      </c>
      <c r="I34" s="6"/>
      <c r="J34" s="6">
        <f ca="1" t="shared" si="0"/>
        <v>0</v>
      </c>
      <c r="K34" s="6"/>
      <c r="L34" s="6"/>
      <c r="M34" s="6"/>
      <c r="N34" s="6">
        <f ca="1" t="shared" si="1"/>
        <v>0</v>
      </c>
      <c r="O34" s="6">
        <f ca="1" t="shared" si="2"/>
        <v>0</v>
      </c>
      <c r="P34" s="6"/>
      <c r="Q34" s="6"/>
    </row>
    <row r="35" ht="20" customHeight="1" spans="1:17">
      <c r="A35" s="6"/>
      <c r="B35" s="6"/>
      <c r="C35" s="28"/>
      <c r="D35" s="6"/>
      <c r="E35" s="6"/>
      <c r="F35" s="6"/>
      <c r="G35" s="6"/>
      <c r="H35" s="6">
        <f ca="1" t="array" ref="H35">INDEX(成本核算表!J:J,MATCH(1,(成本核算表!D:D=E35)*(成本核算表!C:C=G35),0))</f>
        <v>0</v>
      </c>
      <c r="I35" s="6"/>
      <c r="J35" s="6">
        <f ca="1" t="shared" si="0"/>
        <v>0</v>
      </c>
      <c r="K35" s="6"/>
      <c r="L35" s="6"/>
      <c r="M35" s="6"/>
      <c r="N35" s="6">
        <f ca="1" t="shared" ref="N35:N66" si="6">J35-M35+L35</f>
        <v>0</v>
      </c>
      <c r="O35" s="6">
        <f ca="1" t="shared" ref="O35:O66" si="7">N35/3600</f>
        <v>0</v>
      </c>
      <c r="P35" s="6"/>
      <c r="Q35" s="6"/>
    </row>
    <row r="36" ht="20" customHeight="1" spans="1:17">
      <c r="A36" s="6"/>
      <c r="B36" s="6"/>
      <c r="C36" s="28"/>
      <c r="D36" s="6"/>
      <c r="E36" s="6"/>
      <c r="F36" s="6"/>
      <c r="G36" s="6"/>
      <c r="H36" s="6">
        <f ca="1" t="array" ref="H36">INDEX(成本核算表!J:J,MATCH(1,(成本核算表!D:D=E36)*(成本核算表!C:C=G36),0))</f>
        <v>0</v>
      </c>
      <c r="I36" s="6"/>
      <c r="J36" s="6">
        <f ca="1" t="shared" si="0"/>
        <v>0</v>
      </c>
      <c r="K36" s="6"/>
      <c r="L36" s="6"/>
      <c r="M36" s="6"/>
      <c r="N36" s="6">
        <f ca="1" t="shared" si="6"/>
        <v>0</v>
      </c>
      <c r="O36" s="6">
        <f ca="1" t="shared" si="7"/>
        <v>0</v>
      </c>
      <c r="P36" s="6"/>
      <c r="Q36" s="6"/>
    </row>
    <row r="37" ht="20" customHeight="1" spans="1:17">
      <c r="A37" s="6"/>
      <c r="B37" s="6"/>
      <c r="C37" s="28"/>
      <c r="D37" s="6"/>
      <c r="E37" s="6"/>
      <c r="F37" s="6"/>
      <c r="G37" s="6"/>
      <c r="H37" s="6">
        <f ca="1" t="array" ref="H37">INDEX(成本核算表!J:J,MATCH(1,(成本核算表!D:D=E37)*(成本核算表!C:C=G37),0))</f>
        <v>0</v>
      </c>
      <c r="I37" s="6"/>
      <c r="J37" s="6">
        <f ca="1" t="shared" si="0"/>
        <v>0</v>
      </c>
      <c r="K37" s="6"/>
      <c r="L37" s="6"/>
      <c r="M37" s="6"/>
      <c r="N37" s="6">
        <f ca="1" t="shared" si="6"/>
        <v>0</v>
      </c>
      <c r="O37" s="6">
        <f ca="1" t="shared" si="7"/>
        <v>0</v>
      </c>
      <c r="P37" s="6"/>
      <c r="Q37" s="6"/>
    </row>
    <row r="38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0"/>
        <v>0</v>
      </c>
      <c r="K38" s="6"/>
      <c r="L38" s="6"/>
      <c r="M38" s="6"/>
      <c r="N38" s="6">
        <f ca="1" t="shared" si="6"/>
        <v>0</v>
      </c>
      <c r="O38" s="6">
        <f ca="1" t="shared" si="7"/>
        <v>0</v>
      </c>
      <c r="P38" s="6"/>
      <c r="Q38" s="6"/>
    </row>
    <row r="39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0"/>
        <v>0</v>
      </c>
      <c r="K39" s="6"/>
      <c r="L39" s="6"/>
      <c r="M39" s="6"/>
      <c r="N39" s="6">
        <f ca="1" t="shared" si="6"/>
        <v>0</v>
      </c>
      <c r="O39" s="6">
        <f ca="1" t="shared" si="7"/>
        <v>0</v>
      </c>
      <c r="P39" s="6"/>
      <c r="Q39" s="6"/>
    </row>
    <row r="40" ht="20" customHeight="1" spans="1:17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6"/>
      <c r="J40" s="6">
        <f ca="1" t="shared" si="0"/>
        <v>0</v>
      </c>
      <c r="K40" s="6"/>
      <c r="L40" s="6"/>
      <c r="M40" s="6"/>
      <c r="N40" s="6">
        <f ca="1" t="shared" si="6"/>
        <v>0</v>
      </c>
      <c r="O40" s="6">
        <f ca="1" t="shared" si="7"/>
        <v>0</v>
      </c>
      <c r="P40" s="6"/>
      <c r="Q40" s="6"/>
    </row>
    <row r="4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0"/>
        <v>0</v>
      </c>
      <c r="K41" s="6"/>
      <c r="L41" s="6"/>
      <c r="M41" s="6"/>
      <c r="N41" s="6">
        <f ca="1" t="shared" si="6"/>
        <v>0</v>
      </c>
      <c r="O41" s="6">
        <f ca="1" t="shared" si="7"/>
        <v>0</v>
      </c>
      <c r="P41" s="6"/>
      <c r="Q41" s="6"/>
    </row>
    <row r="42" ht="20" customHeight="1" spans="1:17">
      <c r="H42" s="6">
        <f ca="1" t="array" ref="H42">INDEX(成本核算表!J:J,MATCH(1,(成本核算表!D:D=E42)*(成本核算表!C:C=G42),0))</f>
        <v>0</v>
      </c>
      <c r="I42" s="6"/>
      <c r="J42" s="6">
        <f ca="1" t="shared" si="0"/>
        <v>0</v>
      </c>
      <c r="N42" s="6">
        <f ca="1" t="shared" si="6"/>
        <v>0</v>
      </c>
      <c r="O42" s="6">
        <f ca="1" t="shared" si="7"/>
        <v>0</v>
      </c>
    </row>
    <row r="43" ht="20" customHeight="1" spans="1:17">
      <c r="H43" s="6">
        <f ca="1" t="array" ref="H43">INDEX(成本核算表!J:J,MATCH(1,(成本核算表!D:D=E43)*(成本核算表!C:C=G43),0))</f>
        <v>0</v>
      </c>
      <c r="I43" s="6"/>
      <c r="J43" s="6">
        <f ca="1" t="shared" ref="J43:J74" si="8">H43*I43</f>
        <v>0</v>
      </c>
      <c r="N43" s="6">
        <f ca="1" t="shared" si="6"/>
        <v>0</v>
      </c>
      <c r="O43" s="6">
        <f ca="1" t="shared" si="7"/>
        <v>0</v>
      </c>
    </row>
    <row r="44" ht="20" customHeight="1" spans="1:17">
      <c r="H44" s="6">
        <f ca="1" t="array" ref="H44">INDEX(成本核算表!J:J,MATCH(1,(成本核算表!D:D=E44)*(成本核算表!C:C=G44),0))</f>
        <v>0</v>
      </c>
      <c r="I44" s="6"/>
      <c r="J44" s="6">
        <f ca="1" t="shared" si="8"/>
        <v>0</v>
      </c>
      <c r="N44" s="6">
        <f ca="1" t="shared" si="6"/>
        <v>0</v>
      </c>
      <c r="O44" s="6">
        <f ca="1" t="shared" si="7"/>
        <v>0</v>
      </c>
    </row>
    <row r="45" ht="20" customHeight="1" spans="1:17">
      <c r="H45" s="6">
        <f ca="1" t="array" ref="H45">INDEX(成本核算表!J:J,MATCH(1,(成本核算表!D:D=E45)*(成本核算表!C:C=G45),0))</f>
        <v>0</v>
      </c>
      <c r="I45" s="6"/>
      <c r="J45" s="6">
        <f ca="1" t="shared" si="8"/>
        <v>0</v>
      </c>
      <c r="N45" s="6">
        <f ca="1" t="shared" si="6"/>
        <v>0</v>
      </c>
      <c r="O45" s="6">
        <f ca="1" t="shared" si="7"/>
        <v>0</v>
      </c>
    </row>
    <row r="46" ht="20" customHeight="1" spans="1:17">
      <c r="H46" s="6">
        <f ca="1" t="array" ref="H46">INDEX(成本核算表!J:J,MATCH(1,(成本核算表!D:D=E46)*(成本核算表!C:C=G46),0))</f>
        <v>0</v>
      </c>
      <c r="I46" s="6"/>
      <c r="J46" s="6">
        <f ca="1" t="shared" si="8"/>
        <v>0</v>
      </c>
      <c r="N46" s="6">
        <f ca="1" t="shared" si="6"/>
        <v>0</v>
      </c>
      <c r="O46" s="6">
        <f ca="1" t="shared" si="7"/>
        <v>0</v>
      </c>
    </row>
    <row r="47" ht="20" customHeight="1" spans="1:17">
      <c r="H47" s="6">
        <f ca="1" t="array" ref="H47">INDEX(成本核算表!J:J,MATCH(1,(成本核算表!D:D=E47)*(成本核算表!C:C=G47),0))</f>
        <v>0</v>
      </c>
      <c r="I47" s="6"/>
      <c r="J47" s="6">
        <f ca="1" t="shared" si="8"/>
        <v>0</v>
      </c>
      <c r="N47" s="6">
        <f ca="1" t="shared" si="6"/>
        <v>0</v>
      </c>
      <c r="O47" s="6">
        <f ca="1" t="shared" si="7"/>
        <v>0</v>
      </c>
    </row>
    <row r="48" ht="20" customHeight="1" spans="1:17">
      <c r="H48" s="6">
        <f ca="1" t="array" ref="H48">INDEX(成本核算表!J:J,MATCH(1,(成本核算表!D:D=E48)*(成本核算表!C:C=G48),0))</f>
        <v>0</v>
      </c>
      <c r="I48" s="6"/>
      <c r="J48" s="6">
        <f ca="1" t="shared" si="8"/>
        <v>0</v>
      </c>
      <c r="N48" s="6">
        <f ca="1" t="shared" si="6"/>
        <v>0</v>
      </c>
      <c r="O48" s="6">
        <f ca="1" t="shared" si="7"/>
        <v>0</v>
      </c>
    </row>
    <row r="49" ht="20" customHeight="1" spans="8:15">
      <c r="H49" s="6">
        <f ca="1" t="array" ref="H49">INDEX(成本核算表!J:J,MATCH(1,(成本核算表!D:D=E49)*(成本核算表!C:C=G49),0))</f>
        <v>0</v>
      </c>
      <c r="I49" s="6"/>
      <c r="J49" s="6">
        <f ca="1" t="shared" si="8"/>
        <v>0</v>
      </c>
      <c r="N49" s="6">
        <f ca="1" t="shared" si="6"/>
        <v>0</v>
      </c>
      <c r="O49" s="6">
        <f ca="1" t="shared" si="7"/>
        <v>0</v>
      </c>
    </row>
    <row r="50" ht="20" customHeight="1" spans="8:15">
      <c r="H50" s="6">
        <f ca="1" t="array" ref="H50">INDEX(成本核算表!J:J,MATCH(1,(成本核算表!D:D=E50)*(成本核算表!C:C=G50),0))</f>
        <v>0</v>
      </c>
      <c r="I50" s="6"/>
      <c r="J50" s="6">
        <f ca="1" t="shared" si="8"/>
        <v>0</v>
      </c>
      <c r="N50" s="6">
        <f ca="1" t="shared" si="6"/>
        <v>0</v>
      </c>
      <c r="O50" s="6">
        <f ca="1" t="shared" si="7"/>
        <v>0</v>
      </c>
    </row>
    <row r="51" ht="20" customHeight="1" spans="8:15">
      <c r="H51" s="6">
        <f ca="1" t="array" ref="H51">INDEX(成本核算表!J:J,MATCH(1,(成本核算表!D:D=E51)*(成本核算表!C:C=G51),0))</f>
        <v>0</v>
      </c>
      <c r="I51" s="6"/>
      <c r="J51" s="6">
        <f ca="1" t="shared" si="8"/>
        <v>0</v>
      </c>
      <c r="N51" s="6">
        <f ca="1" t="shared" si="6"/>
        <v>0</v>
      </c>
      <c r="O51" s="6">
        <f ca="1" t="shared" si="7"/>
        <v>0</v>
      </c>
    </row>
    <row r="52" ht="20" customHeight="1" spans="8:15">
      <c r="H52" s="6">
        <f ca="1" t="array" ref="H52">INDEX(成本核算表!J:J,MATCH(1,(成本核算表!D:D=E52)*(成本核算表!C:C=G52),0))</f>
        <v>0</v>
      </c>
      <c r="I52" s="6"/>
      <c r="J52" s="6">
        <f ca="1" t="shared" si="8"/>
        <v>0</v>
      </c>
      <c r="N52" s="6">
        <f ca="1" t="shared" si="6"/>
        <v>0</v>
      </c>
      <c r="O52" s="6">
        <f ca="1" t="shared" si="7"/>
        <v>0</v>
      </c>
    </row>
    <row r="53" ht="20" customHeight="1" spans="8:15">
      <c r="H53" s="6">
        <f ca="1" t="array" ref="H53">INDEX(成本核算表!J:J,MATCH(1,(成本核算表!D:D=E53)*(成本核算表!C:C=G53),0))</f>
        <v>0</v>
      </c>
      <c r="I53" s="6"/>
      <c r="J53" s="6">
        <f ca="1" t="shared" si="8"/>
        <v>0</v>
      </c>
      <c r="N53" s="6">
        <f ca="1" t="shared" si="6"/>
        <v>0</v>
      </c>
      <c r="O53" s="6">
        <f ca="1" t="shared" si="7"/>
        <v>0</v>
      </c>
    </row>
    <row r="54" ht="20" customHeight="1" spans="8:15">
      <c r="H54" s="6">
        <f ca="1" t="array" ref="H54">INDEX(成本核算表!J:J,MATCH(1,(成本核算表!D:D=E54)*(成本核算表!C:C=G54),0))</f>
        <v>0</v>
      </c>
      <c r="I54" s="6"/>
      <c r="J54" s="6">
        <f ca="1" t="shared" si="8"/>
        <v>0</v>
      </c>
      <c r="N54" s="6">
        <f ca="1" t="shared" si="6"/>
        <v>0</v>
      </c>
      <c r="O54" s="6">
        <f ca="1" t="shared" si="7"/>
        <v>0</v>
      </c>
    </row>
    <row r="55" ht="20" customHeight="1" spans="8:15">
      <c r="H55" s="6">
        <f ca="1" t="array" ref="H55">INDEX(成本核算表!J:J,MATCH(1,(成本核算表!D:D=E55)*(成本核算表!C:C=G55),0))</f>
        <v>0</v>
      </c>
      <c r="I55" s="6"/>
      <c r="J55" s="6">
        <f ca="1" t="shared" si="8"/>
        <v>0</v>
      </c>
      <c r="N55" s="6">
        <f ca="1" t="shared" si="6"/>
        <v>0</v>
      </c>
      <c r="O55" s="6">
        <f ca="1" t="shared" si="7"/>
        <v>0</v>
      </c>
    </row>
    <row r="56" ht="20" customHeight="1" spans="8:15">
      <c r="H56" s="6">
        <f ca="1" t="array" ref="H56">INDEX(成本核算表!J:J,MATCH(1,(成本核算表!D:D=E56)*(成本核算表!C:C=G56),0))</f>
        <v>0</v>
      </c>
      <c r="I56" s="6"/>
      <c r="J56" s="6">
        <f ca="1" t="shared" si="8"/>
        <v>0</v>
      </c>
      <c r="N56" s="6">
        <f ca="1" t="shared" si="6"/>
        <v>0</v>
      </c>
      <c r="O56" s="6">
        <f ca="1" t="shared" si="7"/>
        <v>0</v>
      </c>
    </row>
    <row r="57" ht="20" customHeight="1" spans="8:15">
      <c r="H57" s="6">
        <f ca="1" t="array" ref="H57">INDEX(成本核算表!J:J,MATCH(1,(成本核算表!D:D=E57)*(成本核算表!C:C=G57),0))</f>
        <v>0</v>
      </c>
      <c r="I57" s="6"/>
      <c r="J57" s="6">
        <f ca="1" t="shared" si="8"/>
        <v>0</v>
      </c>
      <c r="N57" s="6">
        <f ca="1" t="shared" si="6"/>
        <v>0</v>
      </c>
      <c r="O57" s="6">
        <f ca="1" t="shared" si="7"/>
        <v>0</v>
      </c>
    </row>
    <row r="58" ht="20" customHeight="1" spans="8:15">
      <c r="H58" s="6">
        <f ca="1" t="array" ref="H58">INDEX(成本核算表!J:J,MATCH(1,(成本核算表!D:D=E58)*(成本核算表!C:C=G58),0))</f>
        <v>0</v>
      </c>
      <c r="I58" s="6"/>
      <c r="J58" s="6">
        <f ca="1" t="shared" si="8"/>
        <v>0</v>
      </c>
      <c r="N58" s="6">
        <f ca="1" t="shared" si="6"/>
        <v>0</v>
      </c>
      <c r="O58" s="6">
        <f ca="1" t="shared" si="7"/>
        <v>0</v>
      </c>
    </row>
    <row r="59" ht="20" customHeight="1" spans="8:15">
      <c r="H59" s="6">
        <f ca="1" t="array" ref="H59">INDEX(成本核算表!J:J,MATCH(1,(成本核算表!D:D=E59)*(成本核算表!C:C=G59),0))</f>
        <v>0</v>
      </c>
      <c r="I59" s="6"/>
      <c r="J59" s="6">
        <f ca="1" t="shared" si="8"/>
        <v>0</v>
      </c>
      <c r="N59" s="6">
        <f ca="1" t="shared" si="6"/>
        <v>0</v>
      </c>
      <c r="O59" s="6">
        <f ca="1" t="shared" si="7"/>
        <v>0</v>
      </c>
    </row>
    <row r="60" ht="20" customHeight="1" spans="8:15">
      <c r="H60" s="6">
        <f ca="1" t="array" ref="H60">INDEX(成本核算表!J:J,MATCH(1,(成本核算表!D:D=E60)*(成本核算表!C:C=G60),0))</f>
        <v>0</v>
      </c>
      <c r="I60" s="6"/>
      <c r="J60" s="6">
        <f ca="1" t="shared" si="8"/>
        <v>0</v>
      </c>
      <c r="N60" s="6">
        <f ca="1" t="shared" si="6"/>
        <v>0</v>
      </c>
      <c r="O60" s="6">
        <f ca="1" t="shared" si="7"/>
        <v>0</v>
      </c>
    </row>
    <row r="61" ht="20" customHeight="1" spans="8:15">
      <c r="H61" s="6">
        <f ca="1" t="array" ref="H61">INDEX(成本核算表!J:J,MATCH(1,(成本核算表!D:D=E61)*(成本核算表!C:C=G61),0))</f>
        <v>0</v>
      </c>
      <c r="I61" s="6"/>
      <c r="J61" s="6">
        <f ca="1" t="shared" si="8"/>
        <v>0</v>
      </c>
      <c r="N61" s="6">
        <f ca="1" t="shared" si="6"/>
        <v>0</v>
      </c>
      <c r="O61" s="6">
        <f ca="1" t="shared" si="7"/>
        <v>0</v>
      </c>
    </row>
    <row r="62" ht="20" customHeight="1" spans="8:15">
      <c r="H62" s="6">
        <f ca="1" t="array" ref="H62">INDEX(成本核算表!J:J,MATCH(1,(成本核算表!D:D=E62)*(成本核算表!C:C=G62),0))</f>
        <v>0</v>
      </c>
      <c r="I62" s="6"/>
      <c r="J62" s="6">
        <f ca="1" t="shared" si="8"/>
        <v>0</v>
      </c>
      <c r="N62" s="6">
        <f ca="1" t="shared" si="6"/>
        <v>0</v>
      </c>
      <c r="O62" s="6">
        <f ca="1" t="shared" si="7"/>
        <v>0</v>
      </c>
    </row>
    <row r="63" ht="20" customHeight="1" spans="8:15">
      <c r="H63" s="6">
        <f ca="1" t="array" ref="H63">INDEX(成本核算表!J:J,MATCH(1,(成本核算表!D:D=E63)*(成本核算表!C:C=G63),0))</f>
        <v>0</v>
      </c>
      <c r="I63" s="6"/>
      <c r="J63" s="6">
        <f ca="1" t="shared" si="8"/>
        <v>0</v>
      </c>
      <c r="N63" s="6">
        <f ca="1" t="shared" si="6"/>
        <v>0</v>
      </c>
      <c r="O63" s="6">
        <f ca="1" t="shared" si="7"/>
        <v>0</v>
      </c>
    </row>
    <row r="64" ht="20" customHeight="1" spans="8:15">
      <c r="H64" s="6">
        <f ca="1" t="array" ref="H64">INDEX(成本核算表!J:J,MATCH(1,(成本核算表!D:D=E64)*(成本核算表!C:C=G64),0))</f>
        <v>0</v>
      </c>
      <c r="I64" s="6"/>
      <c r="J64" s="6">
        <f ca="1" t="shared" si="8"/>
        <v>0</v>
      </c>
      <c r="N64" s="6">
        <f ca="1" t="shared" si="6"/>
        <v>0</v>
      </c>
      <c r="O64" s="6">
        <f ca="1" t="shared" si="7"/>
        <v>0</v>
      </c>
    </row>
    <row r="65" ht="20" customHeight="1" spans="8:15">
      <c r="H65" s="6">
        <f ca="1" t="array" ref="H65">INDEX(成本核算表!J:J,MATCH(1,(成本核算表!D:D=E65)*(成本核算表!C:C=G65),0))</f>
        <v>0</v>
      </c>
      <c r="I65" s="6"/>
      <c r="J65" s="6">
        <f ca="1" t="shared" si="8"/>
        <v>0</v>
      </c>
      <c r="N65" s="6">
        <f ca="1" t="shared" si="6"/>
        <v>0</v>
      </c>
      <c r="O65" s="6">
        <f ca="1" t="shared" si="7"/>
        <v>0</v>
      </c>
    </row>
    <row r="66" ht="20" customHeight="1" spans="8:15">
      <c r="H66" s="6">
        <f ca="1" t="array" ref="H66">INDEX(成本核算表!J:J,MATCH(1,(成本核算表!D:D=E66)*(成本核算表!C:C=G66),0))</f>
        <v>0</v>
      </c>
      <c r="I66" s="6"/>
      <c r="J66" s="6">
        <f ca="1" t="shared" si="8"/>
        <v>0</v>
      </c>
      <c r="N66" s="6">
        <f ca="1" t="shared" si="6"/>
        <v>0</v>
      </c>
      <c r="O66" s="6">
        <f ca="1" t="shared" si="7"/>
        <v>0</v>
      </c>
    </row>
    <row r="67" ht="20" customHeight="1" spans="8:15">
      <c r="H67" s="6">
        <f ca="1" t="array" ref="H67">INDEX(成本核算表!J:J,MATCH(1,(成本核算表!D:D=E67)*(成本核算表!C:C=G67),0))</f>
        <v>0</v>
      </c>
      <c r="I67" s="6"/>
      <c r="J67" s="6">
        <f ca="1" t="shared" si="8"/>
        <v>0</v>
      </c>
      <c r="N67" s="6">
        <f ca="1" t="shared" ref="N67:N101" si="9">J67-M67+L67</f>
        <v>0</v>
      </c>
      <c r="O67" s="6">
        <f ca="1" t="shared" ref="O67:O101" si="10">N67/3600</f>
        <v>0</v>
      </c>
    </row>
    <row r="68" ht="20" customHeight="1" spans="8:15">
      <c r="H68" s="6">
        <f ca="1" t="array" ref="H68">INDEX(成本核算表!J:J,MATCH(1,(成本核算表!D:D=E68)*(成本核算表!C:C=G68),0))</f>
        <v>0</v>
      </c>
      <c r="I68" s="6"/>
      <c r="J68" s="6">
        <f ca="1" t="shared" si="8"/>
        <v>0</v>
      </c>
      <c r="N68" s="6">
        <f ca="1" t="shared" si="9"/>
        <v>0</v>
      </c>
      <c r="O68" s="6">
        <f ca="1" t="shared" si="10"/>
        <v>0</v>
      </c>
    </row>
    <row r="69" ht="20" customHeight="1" spans="8:15">
      <c r="H69" s="6">
        <f ca="1" t="array" ref="H69">INDEX(成本核算表!J:J,MATCH(1,(成本核算表!D:D=E69)*(成本核算表!C:C=G69),0))</f>
        <v>0</v>
      </c>
      <c r="I69" s="6"/>
      <c r="J69" s="6">
        <f ca="1" t="shared" si="8"/>
        <v>0</v>
      </c>
      <c r="N69" s="6">
        <f ca="1" t="shared" si="9"/>
        <v>0</v>
      </c>
      <c r="O69" s="6">
        <f ca="1" t="shared" si="10"/>
        <v>0</v>
      </c>
    </row>
    <row r="70" ht="20" customHeight="1" spans="8:15">
      <c r="H70" s="6">
        <f ca="1" t="array" ref="H70">INDEX(成本核算表!J:J,MATCH(1,(成本核算表!D:D=E70)*(成本核算表!C:C=G70),0))</f>
        <v>0</v>
      </c>
      <c r="I70" s="6"/>
      <c r="J70" s="6">
        <f ca="1" t="shared" si="8"/>
        <v>0</v>
      </c>
      <c r="N70" s="6">
        <f ca="1" t="shared" si="9"/>
        <v>0</v>
      </c>
      <c r="O70" s="6">
        <f ca="1" t="shared" si="10"/>
        <v>0</v>
      </c>
    </row>
    <row r="71" ht="20" customHeight="1" spans="8:15">
      <c r="H71" s="6">
        <f ca="1" t="array" ref="H71">INDEX(成本核算表!J:J,MATCH(1,(成本核算表!D:D=E71)*(成本核算表!C:C=G71),0))</f>
        <v>0</v>
      </c>
      <c r="I71" s="6"/>
      <c r="J71" s="6">
        <f ca="1" t="shared" si="8"/>
        <v>0</v>
      </c>
      <c r="N71" s="6">
        <f ca="1" t="shared" si="9"/>
        <v>0</v>
      </c>
      <c r="O71" s="6">
        <f ca="1" t="shared" si="10"/>
        <v>0</v>
      </c>
    </row>
    <row r="72" ht="20" customHeight="1" spans="8:15">
      <c r="H72" s="6">
        <f ca="1" t="array" ref="H72">INDEX(成本核算表!J:J,MATCH(1,(成本核算表!D:D=E72)*(成本核算表!C:C=G72),0))</f>
        <v>0</v>
      </c>
      <c r="I72" s="6"/>
      <c r="J72" s="6">
        <f ca="1" t="shared" si="8"/>
        <v>0</v>
      </c>
      <c r="N72" s="6">
        <f ca="1" t="shared" si="9"/>
        <v>0</v>
      </c>
      <c r="O72" s="6">
        <f ca="1" t="shared" si="10"/>
        <v>0</v>
      </c>
    </row>
    <row r="73" ht="20" customHeight="1" spans="8:15">
      <c r="H73" s="6">
        <f ca="1" t="array" ref="H73">INDEX(成本核算表!J:J,MATCH(1,(成本核算表!D:D=E73)*(成本核算表!C:C=G73),0))</f>
        <v>0</v>
      </c>
      <c r="I73" s="6"/>
      <c r="J73" s="6">
        <f ca="1" t="shared" si="8"/>
        <v>0</v>
      </c>
      <c r="N73" s="6">
        <f ca="1" t="shared" si="9"/>
        <v>0</v>
      </c>
      <c r="O73" s="6">
        <f ca="1" t="shared" si="10"/>
        <v>0</v>
      </c>
    </row>
    <row r="74" ht="20" customHeight="1" spans="8:15">
      <c r="H74" s="6">
        <f ca="1" t="array" ref="H74">INDEX(成本核算表!J:J,MATCH(1,(成本核算表!D:D=E74)*(成本核算表!C:C=G74),0))</f>
        <v>0</v>
      </c>
      <c r="I74" s="6"/>
      <c r="J74" s="6">
        <f ca="1" t="shared" si="8"/>
        <v>0</v>
      </c>
      <c r="N74" s="6">
        <f ca="1" t="shared" si="9"/>
        <v>0</v>
      </c>
      <c r="O74" s="6">
        <f ca="1" t="shared" si="10"/>
        <v>0</v>
      </c>
    </row>
    <row r="75" ht="20" customHeight="1" spans="8:15">
      <c r="H75" s="6">
        <f ca="1" t="array" ref="H75">INDEX(成本核算表!J:J,MATCH(1,(成本核算表!D:D=E75)*(成本核算表!C:C=G75),0))</f>
        <v>0</v>
      </c>
      <c r="I75" s="6"/>
      <c r="J75" s="6">
        <f ca="1" t="shared" ref="J75:J101" si="11">H75*I75</f>
        <v>0</v>
      </c>
      <c r="N75" s="6">
        <f ca="1" t="shared" si="9"/>
        <v>0</v>
      </c>
      <c r="O75" s="6">
        <f ca="1" t="shared" si="10"/>
        <v>0</v>
      </c>
    </row>
    <row r="76" ht="20" customHeight="1" spans="8:15">
      <c r="H76" s="6">
        <f ca="1" t="array" ref="H76">INDEX(成本核算表!J:J,MATCH(1,(成本核算表!D:D=E76)*(成本核算表!C:C=G76),0))</f>
        <v>0</v>
      </c>
      <c r="I76" s="6"/>
      <c r="J76" s="6">
        <f ca="1" t="shared" si="11"/>
        <v>0</v>
      </c>
      <c r="N76" s="6">
        <f ca="1" t="shared" si="9"/>
        <v>0</v>
      </c>
      <c r="O76" s="6">
        <f ca="1" t="shared" si="10"/>
        <v>0</v>
      </c>
    </row>
    <row r="77" ht="20" customHeight="1" spans="8:15">
      <c r="H77" s="6">
        <f ca="1" t="array" ref="H77">INDEX(成本核算表!J:J,MATCH(1,(成本核算表!D:D=E77)*(成本核算表!C:C=G77),0))</f>
        <v>0</v>
      </c>
      <c r="I77" s="6"/>
      <c r="J77" s="6">
        <f ca="1" t="shared" si="11"/>
        <v>0</v>
      </c>
      <c r="N77" s="6">
        <f ca="1" t="shared" si="9"/>
        <v>0</v>
      </c>
      <c r="O77" s="6">
        <f ca="1" t="shared" si="10"/>
        <v>0</v>
      </c>
    </row>
    <row r="78" ht="20" customHeight="1" spans="8:15">
      <c r="H78" s="6">
        <f ca="1" t="array" ref="H78">INDEX(成本核算表!J:J,MATCH(1,(成本核算表!D:D=E78)*(成本核算表!C:C=G78),0))</f>
        <v>0</v>
      </c>
      <c r="I78" s="6"/>
      <c r="J78" s="6">
        <f ca="1" t="shared" si="11"/>
        <v>0</v>
      </c>
      <c r="N78" s="6">
        <f ca="1" t="shared" si="9"/>
        <v>0</v>
      </c>
      <c r="O78" s="6">
        <f ca="1" t="shared" si="10"/>
        <v>0</v>
      </c>
    </row>
    <row r="79" ht="20" customHeight="1" spans="8:15">
      <c r="H79" s="6">
        <f ca="1" t="array" ref="H79">INDEX(成本核算表!J:J,MATCH(1,(成本核算表!D:D=E79)*(成本核算表!C:C=G79),0))</f>
        <v>0</v>
      </c>
      <c r="I79" s="6"/>
      <c r="J79" s="6">
        <f ca="1" t="shared" si="11"/>
        <v>0</v>
      </c>
      <c r="N79" s="6">
        <f ca="1" t="shared" si="9"/>
        <v>0</v>
      </c>
      <c r="O79" s="6">
        <f ca="1" t="shared" si="10"/>
        <v>0</v>
      </c>
    </row>
    <row r="80" ht="20" customHeight="1" spans="8:15">
      <c r="H80" s="6">
        <f ca="1" t="array" ref="H80">INDEX(成本核算表!J:J,MATCH(1,(成本核算表!D:D=E80)*(成本核算表!C:C=G80),0))</f>
        <v>0</v>
      </c>
      <c r="I80" s="6"/>
      <c r="J80" s="6">
        <f ca="1" t="shared" si="11"/>
        <v>0</v>
      </c>
      <c r="N80" s="6">
        <f ca="1" t="shared" si="9"/>
        <v>0</v>
      </c>
      <c r="O80" s="6">
        <f ca="1" t="shared" si="10"/>
        <v>0</v>
      </c>
    </row>
    <row r="81" ht="20" customHeight="1" spans="8:15">
      <c r="H81" s="6">
        <f ca="1" t="array" ref="H81">INDEX(成本核算表!J:J,MATCH(1,(成本核算表!D:D=E81)*(成本核算表!C:C=G81),0))</f>
        <v>0</v>
      </c>
      <c r="I81" s="6"/>
      <c r="J81" s="6">
        <f ca="1" t="shared" si="11"/>
        <v>0</v>
      </c>
      <c r="N81" s="6">
        <f ca="1" t="shared" si="9"/>
        <v>0</v>
      </c>
      <c r="O81" s="6">
        <f ca="1" t="shared" si="10"/>
        <v>0</v>
      </c>
    </row>
    <row r="82" ht="20" customHeight="1" spans="8:15">
      <c r="H82" s="6">
        <f ca="1" t="array" ref="H82">INDEX(成本核算表!J:J,MATCH(1,(成本核算表!D:D=E82)*(成本核算表!C:C=G82),0))</f>
        <v>0</v>
      </c>
      <c r="I82" s="6"/>
      <c r="J82" s="6">
        <f ca="1" t="shared" si="11"/>
        <v>0</v>
      </c>
      <c r="N82" s="6">
        <f ca="1" t="shared" si="9"/>
        <v>0</v>
      </c>
      <c r="O82" s="6">
        <f ca="1" t="shared" si="10"/>
        <v>0</v>
      </c>
    </row>
    <row r="83" ht="20" customHeight="1" spans="8:15">
      <c r="H83" s="6">
        <f ca="1" t="array" ref="H83">INDEX(成本核算表!J:J,MATCH(1,(成本核算表!D:D=E83)*(成本核算表!C:C=G83),0))</f>
        <v>0</v>
      </c>
      <c r="I83" s="6"/>
      <c r="J83" s="6">
        <f ca="1" t="shared" si="11"/>
        <v>0</v>
      </c>
      <c r="N83" s="6">
        <f ca="1" t="shared" si="9"/>
        <v>0</v>
      </c>
      <c r="O83" s="6">
        <f ca="1" t="shared" si="10"/>
        <v>0</v>
      </c>
    </row>
    <row r="84" ht="20" customHeight="1" spans="8:15">
      <c r="H84" s="6">
        <f ca="1" t="array" ref="H84">INDEX(成本核算表!J:J,MATCH(1,(成本核算表!D:D=E84)*(成本核算表!C:C=G84),0))</f>
        <v>0</v>
      </c>
      <c r="I84" s="6"/>
      <c r="J84" s="6">
        <f ca="1" t="shared" si="11"/>
        <v>0</v>
      </c>
      <c r="N84" s="6">
        <f ca="1" t="shared" si="9"/>
        <v>0</v>
      </c>
      <c r="O84" s="6">
        <f ca="1" t="shared" si="10"/>
        <v>0</v>
      </c>
    </row>
    <row r="85" ht="20" customHeight="1" spans="8:15">
      <c r="H85" s="6">
        <f ca="1" t="array" ref="H85">INDEX(成本核算表!J:J,MATCH(1,(成本核算表!D:D=E85)*(成本核算表!C:C=G85),0))</f>
        <v>0</v>
      </c>
      <c r="I85" s="6"/>
      <c r="J85" s="6">
        <f ca="1" t="shared" si="11"/>
        <v>0</v>
      </c>
      <c r="N85" s="6">
        <f ca="1" t="shared" si="9"/>
        <v>0</v>
      </c>
      <c r="O85" s="6">
        <f ca="1" t="shared" si="10"/>
        <v>0</v>
      </c>
    </row>
    <row r="86" ht="20" customHeight="1" spans="8:15">
      <c r="H86" s="6">
        <f ca="1" t="array" ref="H86">INDEX(成本核算表!J:J,MATCH(1,(成本核算表!D:D=E86)*(成本核算表!C:C=G86),0))</f>
        <v>0</v>
      </c>
      <c r="I86" s="6"/>
      <c r="J86" s="6">
        <f ca="1" t="shared" si="11"/>
        <v>0</v>
      </c>
      <c r="N86" s="6">
        <f ca="1" t="shared" si="9"/>
        <v>0</v>
      </c>
      <c r="O86" s="6">
        <f ca="1" t="shared" si="10"/>
        <v>0</v>
      </c>
    </row>
    <row r="87" ht="20" customHeight="1" spans="8:15">
      <c r="H87" s="6">
        <f ca="1" t="array" ref="H87">INDEX(成本核算表!J:J,MATCH(1,(成本核算表!D:D=E87)*(成本核算表!C:C=G87),0))</f>
        <v>0</v>
      </c>
      <c r="I87" s="6"/>
      <c r="J87" s="6">
        <f ca="1" t="shared" si="11"/>
        <v>0</v>
      </c>
      <c r="N87" s="6">
        <f ca="1" t="shared" si="9"/>
        <v>0</v>
      </c>
      <c r="O87" s="6">
        <f ca="1" t="shared" si="10"/>
        <v>0</v>
      </c>
    </row>
    <row r="88" ht="20" customHeight="1" spans="8:15">
      <c r="H88" s="6">
        <f ca="1" t="array" ref="H88">INDEX(成本核算表!J:J,MATCH(1,(成本核算表!D:D=E88)*(成本核算表!C:C=G88),0))</f>
        <v>0</v>
      </c>
      <c r="I88" s="6"/>
      <c r="J88" s="6">
        <f ca="1" t="shared" si="11"/>
        <v>0</v>
      </c>
      <c r="N88" s="6">
        <f ca="1" t="shared" si="9"/>
        <v>0</v>
      </c>
      <c r="O88" s="6">
        <f ca="1" t="shared" si="10"/>
        <v>0</v>
      </c>
    </row>
    <row r="89" ht="20" customHeight="1" spans="8:15">
      <c r="H89" s="6">
        <f ca="1" t="array" ref="H89">INDEX(成本核算表!J:J,MATCH(1,(成本核算表!D:D=E89)*(成本核算表!C:C=G89),0))</f>
        <v>0</v>
      </c>
      <c r="I89" s="6"/>
      <c r="J89" s="6">
        <f ca="1" t="shared" si="11"/>
        <v>0</v>
      </c>
      <c r="N89" s="6">
        <f ca="1" t="shared" si="9"/>
        <v>0</v>
      </c>
      <c r="O89" s="6">
        <f ca="1" t="shared" si="10"/>
        <v>0</v>
      </c>
    </row>
    <row r="90" ht="20" customHeight="1" spans="8:15">
      <c r="H90" s="6">
        <f ca="1" t="array" ref="H90">INDEX(成本核算表!J:J,MATCH(1,(成本核算表!D:D=E90)*(成本核算表!C:C=G90),0))</f>
        <v>0</v>
      </c>
      <c r="I90" s="6"/>
      <c r="J90" s="6">
        <f ca="1" t="shared" si="11"/>
        <v>0</v>
      </c>
      <c r="N90" s="6">
        <f ca="1" t="shared" si="9"/>
        <v>0</v>
      </c>
      <c r="O90" s="6">
        <f ca="1" t="shared" si="10"/>
        <v>0</v>
      </c>
    </row>
    <row r="91" ht="20" customHeight="1" spans="8:15">
      <c r="H91" s="6">
        <f ca="1" t="array" ref="H91">INDEX(成本核算表!J:J,MATCH(1,(成本核算表!D:D=E91)*(成本核算表!C:C=G91),0))</f>
        <v>0</v>
      </c>
      <c r="I91" s="6"/>
      <c r="J91" s="6">
        <f ca="1" t="shared" si="11"/>
        <v>0</v>
      </c>
      <c r="N91" s="6">
        <f ca="1" t="shared" si="9"/>
        <v>0</v>
      </c>
      <c r="O91" s="6">
        <f ca="1" t="shared" si="10"/>
        <v>0</v>
      </c>
    </row>
    <row r="92" ht="20" customHeight="1" spans="8:15">
      <c r="H92" s="6">
        <f ca="1" t="array" ref="H92">INDEX(成本核算表!J:J,MATCH(1,(成本核算表!D:D=E92)*(成本核算表!C:C=G92),0))</f>
        <v>0</v>
      </c>
      <c r="I92" s="6"/>
      <c r="J92" s="6">
        <f ca="1" t="shared" si="11"/>
        <v>0</v>
      </c>
      <c r="N92" s="6">
        <f ca="1" t="shared" si="9"/>
        <v>0</v>
      </c>
      <c r="O92" s="6">
        <f ca="1" t="shared" si="10"/>
        <v>0</v>
      </c>
    </row>
    <row r="93" ht="20" customHeight="1" spans="8:15">
      <c r="H93" s="6">
        <f ca="1" t="array" ref="H93">INDEX(成本核算表!J:J,MATCH(1,(成本核算表!D:D=E93)*(成本核算表!C:C=G93),0))</f>
        <v>0</v>
      </c>
      <c r="I93" s="6"/>
      <c r="J93" s="6">
        <f ca="1" t="shared" si="11"/>
        <v>0</v>
      </c>
      <c r="N93" s="6">
        <f ca="1" t="shared" si="9"/>
        <v>0</v>
      </c>
      <c r="O93" s="6">
        <f ca="1" t="shared" si="10"/>
        <v>0</v>
      </c>
    </row>
    <row r="94" ht="20" customHeight="1" spans="8:15">
      <c r="H94" s="6">
        <f ca="1" t="array" ref="H94">INDEX(成本核算表!J:J,MATCH(1,(成本核算表!D:D=E94)*(成本核算表!C:C=G94),0))</f>
        <v>0</v>
      </c>
      <c r="I94" s="6"/>
      <c r="J94" s="6">
        <f ca="1" t="shared" si="11"/>
        <v>0</v>
      </c>
      <c r="N94" s="6">
        <f ca="1" t="shared" si="9"/>
        <v>0</v>
      </c>
      <c r="O94" s="6">
        <f ca="1" t="shared" si="10"/>
        <v>0</v>
      </c>
    </row>
    <row r="95" ht="20" customHeight="1" spans="8:15">
      <c r="H95" s="6">
        <f ca="1" t="array" ref="H95">INDEX(成本核算表!J:J,MATCH(1,(成本核算表!D:D=E95)*(成本核算表!C:C=G95),0))</f>
        <v>0</v>
      </c>
      <c r="I95" s="6"/>
      <c r="J95" s="6">
        <f ca="1" t="shared" si="11"/>
        <v>0</v>
      </c>
      <c r="N95" s="6">
        <f ca="1" t="shared" si="9"/>
        <v>0</v>
      </c>
      <c r="O95" s="6">
        <f ca="1" t="shared" si="10"/>
        <v>0</v>
      </c>
    </row>
    <row r="96" ht="20" customHeight="1" spans="8:15">
      <c r="H96" s="6">
        <f ca="1" t="array" ref="H96">INDEX(成本核算表!J:J,MATCH(1,(成本核算表!D:D=E96)*(成本核算表!C:C=G96),0))</f>
        <v>0</v>
      </c>
      <c r="I96" s="6"/>
      <c r="J96" s="6">
        <f ca="1" t="shared" si="11"/>
        <v>0</v>
      </c>
      <c r="N96" s="6">
        <f ca="1" t="shared" si="9"/>
        <v>0</v>
      </c>
      <c r="O96" s="6">
        <f ca="1" t="shared" si="10"/>
        <v>0</v>
      </c>
    </row>
    <row r="97" ht="20" customHeight="1" spans="8:15">
      <c r="H97" s="6">
        <f ca="1" t="array" ref="H97">INDEX(成本核算表!J:J,MATCH(1,(成本核算表!D:D=E97)*(成本核算表!C:C=G97),0))</f>
        <v>0</v>
      </c>
      <c r="I97" s="6"/>
      <c r="J97" s="6">
        <f ca="1" t="shared" si="11"/>
        <v>0</v>
      </c>
      <c r="N97" s="6">
        <f ca="1" t="shared" si="9"/>
        <v>0</v>
      </c>
      <c r="O97" s="6">
        <f ca="1" t="shared" si="10"/>
        <v>0</v>
      </c>
    </row>
    <row r="98" ht="20" customHeight="1" spans="8:15">
      <c r="H98" s="6">
        <f ca="1" t="array" ref="H98">INDEX(成本核算表!J:J,MATCH(1,(成本核算表!D:D=E98)*(成本核算表!C:C=G98),0))</f>
        <v>0</v>
      </c>
      <c r="I98" s="6"/>
      <c r="J98" s="6">
        <f ca="1" t="shared" si="11"/>
        <v>0</v>
      </c>
      <c r="N98" s="6">
        <f ca="1" t="shared" si="9"/>
        <v>0</v>
      </c>
      <c r="O98" s="6">
        <f ca="1" t="shared" si="10"/>
        <v>0</v>
      </c>
    </row>
    <row r="99" ht="20" customHeight="1" spans="8:15">
      <c r="H99" s="6">
        <f ca="1" t="array" ref="H99">INDEX(成本核算表!J:J,MATCH(1,(成本核算表!D:D=E99)*(成本核算表!C:C=G99),0))</f>
        <v>0</v>
      </c>
      <c r="I99" s="6"/>
      <c r="J99" s="6">
        <f ca="1" t="shared" si="11"/>
        <v>0</v>
      </c>
      <c r="N99" s="6">
        <f ca="1" t="shared" si="9"/>
        <v>0</v>
      </c>
      <c r="O99" s="6">
        <f ca="1" t="shared" si="10"/>
        <v>0</v>
      </c>
    </row>
    <row r="100" ht="20" customHeight="1" spans="8:15">
      <c r="H100" s="6">
        <f ca="1" t="array" ref="H100">INDEX(成本核算表!J:J,MATCH(1,(成本核算表!D:D=E100)*(成本核算表!C:C=G100),0))</f>
        <v>0</v>
      </c>
      <c r="I100" s="6"/>
      <c r="J100" s="6">
        <f ca="1" t="shared" si="11"/>
        <v>0</v>
      </c>
      <c r="N100" s="6">
        <f ca="1" t="shared" si="9"/>
        <v>0</v>
      </c>
      <c r="O100" s="6">
        <f ca="1" t="shared" si="10"/>
        <v>0</v>
      </c>
    </row>
    <row r="101" ht="20" customHeight="1" spans="8:15">
      <c r="H101" s="6">
        <f ca="1" t="array" ref="H101">INDEX(成本核算表!J:J,MATCH(1,(成本核算表!D:D=E101)*(成本核算表!C:C=G101),0))</f>
        <v>0</v>
      </c>
      <c r="I101" s="6"/>
      <c r="J101" s="6">
        <f ca="1" t="shared" si="11"/>
        <v>0</v>
      </c>
      <c r="N101" s="6">
        <f ca="1" t="shared" si="9"/>
        <v>0</v>
      </c>
      <c r="O101" s="6">
        <f ca="1" t="shared" si="10"/>
        <v>0</v>
      </c>
    </row>
  </sheetData>
  <sheetCalcPr fullCalcOnLoad="1"/>
  <pageMargins left="0.75" right="0.75" top="1" bottom="1" header="0.51" footer="0.5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208"/>
  <sheetViews>
    <sheetView workbookViewId="0">
      <pane ySplit="1" topLeftCell="A2" activePane="bottomLeft" state="frozen"/>
      <selection/>
      <selection pane="bottomLeft" activeCell="D10" sqref="D10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9.5</v>
      </c>
      <c r="C2" s="28">
        <f ca="1">SUM(O2:O3)/B2</f>
        <v>1.33976608187135</v>
      </c>
      <c r="D2" s="6" t="s">
        <v>42</v>
      </c>
      <c r="E2" s="6" t="s">
        <v>43</v>
      </c>
      <c r="F2" s="6">
        <v>151.1</v>
      </c>
      <c r="G2" s="6" t="s">
        <v>44</v>
      </c>
      <c r="H2" s="6">
        <f ca="1" t="array" ref="H2">INDEX(成本核算表!J:J,MATCH(1,(成本核算表!D:D=E2)*(成本核算表!C:C=G2),0))</f>
        <v>20</v>
      </c>
      <c r="I2" s="6">
        <v>1400</v>
      </c>
      <c r="J2" s="6">
        <f ca="1" t="shared" ref="J2:J65" si="0">H2*I2</f>
        <v>28000</v>
      </c>
      <c r="K2" s="6"/>
      <c r="L2" s="6"/>
      <c r="M2" s="6"/>
      <c r="N2" s="6">
        <f ca="1" t="shared" ref="N2:N65" si="1">J2-M2+L2</f>
        <v>28000</v>
      </c>
      <c r="O2" s="6">
        <f ca="1" t="shared" ref="O2:O65" si="2">N2/3600</f>
        <v>7.77777777777778</v>
      </c>
      <c r="P2" s="6"/>
      <c r="Q2" s="6"/>
    </row>
    <row r="3" s="21" customFormat="1" ht="20" customHeight="1" spans="1:17">
      <c r="A3" s="27">
        <v>46082</v>
      </c>
      <c r="B3" s="6"/>
      <c r="C3" s="28"/>
      <c r="D3" s="6" t="s">
        <v>45</v>
      </c>
      <c r="E3" s="5" t="s">
        <v>46</v>
      </c>
      <c r="F3" s="6">
        <v>156</v>
      </c>
      <c r="G3" s="6" t="s">
        <v>44</v>
      </c>
      <c r="H3" s="6">
        <f ca="1" t="array" ref="H3">INDEX(成本核算表!J:J,MATCH(1,(成本核算表!D:D=E3)*(成本核算表!C:C=G3),0))</f>
        <v>15</v>
      </c>
      <c r="I3" s="6">
        <v>1188</v>
      </c>
      <c r="J3" s="6">
        <f ca="1" t="shared" si="0"/>
        <v>17820</v>
      </c>
      <c r="K3" s="6"/>
      <c r="L3" s="6"/>
      <c r="M3" s="6"/>
      <c r="N3" s="6">
        <f ca="1" t="shared" si="1"/>
        <v>17820</v>
      </c>
      <c r="O3" s="6">
        <f ca="1" t="shared" si="2"/>
        <v>4.95</v>
      </c>
      <c r="P3" s="6"/>
      <c r="Q3" s="6"/>
    </row>
    <row r="4" s="21" customFormat="1" ht="20" customHeight="1" spans="1:17">
      <c r="A4" s="27"/>
      <c r="B4" s="6"/>
      <c r="C4" s="28"/>
      <c r="D4" s="6"/>
      <c r="E4" s="6"/>
      <c r="F4" s="6"/>
      <c r="G4" s="6"/>
      <c r="H4" s="6"/>
      <c r="I4" s="6"/>
      <c r="J4" s="6">
        <f t="shared" si="0"/>
        <v>0</v>
      </c>
      <c r="K4" s="6"/>
      <c r="L4" s="6"/>
      <c r="M4" s="6"/>
      <c r="N4" s="6">
        <f t="shared" si="1"/>
        <v>0</v>
      </c>
      <c r="O4" s="6">
        <f t="shared" si="2"/>
        <v>0</v>
      </c>
      <c r="P4" s="6"/>
      <c r="Q4" s="6"/>
    </row>
    <row r="5" s="21" customFormat="1" ht="20" customHeight="1" spans="1:17">
      <c r="A5" s="6"/>
      <c r="B5" s="6"/>
      <c r="C5" s="28"/>
      <c r="D5" s="6"/>
      <c r="E5" s="6"/>
      <c r="F5" s="6"/>
      <c r="G5" s="6"/>
      <c r="H5" s="6"/>
      <c r="I5" s="6"/>
      <c r="J5" s="6">
        <f t="shared" si="0"/>
        <v>0</v>
      </c>
      <c r="K5" s="6"/>
      <c r="L5" s="6"/>
      <c r="M5" s="6"/>
      <c r="N5" s="6">
        <f t="shared" si="1"/>
        <v>0</v>
      </c>
      <c r="O5" s="6">
        <f t="shared" si="2"/>
        <v>0</v>
      </c>
      <c r="P5" s="6"/>
      <c r="Q5" s="6"/>
    </row>
    <row r="6" s="21" customFormat="1" ht="20" customHeight="1" spans="1:17">
      <c r="A6" s="6"/>
      <c r="B6" s="6"/>
      <c r="C6" s="28"/>
      <c r="D6" s="6"/>
      <c r="E6" s="6"/>
      <c r="F6" s="6"/>
      <c r="G6" s="6"/>
      <c r="H6" s="6"/>
      <c r="I6" s="6"/>
      <c r="J6" s="6">
        <f t="shared" si="0"/>
        <v>0</v>
      </c>
      <c r="K6" s="6"/>
      <c r="L6" s="6"/>
      <c r="M6" s="6"/>
      <c r="N6" s="6">
        <f t="shared" si="1"/>
        <v>0</v>
      </c>
      <c r="O6" s="6">
        <f t="shared" si="2"/>
        <v>0</v>
      </c>
      <c r="P6" s="6"/>
      <c r="Q6" s="6"/>
    </row>
    <row r="7" s="21" customFormat="1" ht="20" customHeight="1" spans="1:17">
      <c r="A7" s="6"/>
      <c r="B7" s="6"/>
      <c r="C7" s="28"/>
      <c r="D7" s="6"/>
      <c r="E7" s="6"/>
      <c r="F7" s="6"/>
      <c r="G7" s="6"/>
      <c r="H7" s="6"/>
      <c r="I7" s="6"/>
      <c r="J7" s="6">
        <f t="shared" si="0"/>
        <v>0</v>
      </c>
      <c r="K7" s="6"/>
      <c r="L7" s="6"/>
      <c r="M7" s="6"/>
      <c r="N7" s="6">
        <f t="shared" si="1"/>
        <v>0</v>
      </c>
      <c r="O7" s="6">
        <f t="shared" si="2"/>
        <v>0</v>
      </c>
      <c r="P7" s="6"/>
      <c r="Q7" s="6"/>
    </row>
    <row r="8" s="21" customFormat="1" ht="20" customHeight="1" spans="1:17">
      <c r="A8" s="27">
        <v>46087</v>
      </c>
      <c r="B8" s="6">
        <v>11</v>
      </c>
      <c r="C8" s="28">
        <f ca="1">SUM(O8:O9)/B8</f>
        <v>1.18939393939394</v>
      </c>
      <c r="D8" s="5" t="s">
        <v>47</v>
      </c>
      <c r="E8" s="5" t="s">
        <v>48</v>
      </c>
      <c r="F8" s="6">
        <v>950</v>
      </c>
      <c r="G8" s="5" t="s">
        <v>49</v>
      </c>
      <c r="H8" s="6">
        <f ca="1" t="array" ref="H8">INDEX(成本核算表!J:J,MATCH(1,(成本核算表!D:D=E8)*(成本核算表!C:C=G8),0))</f>
        <v>25</v>
      </c>
      <c r="I8" s="6">
        <v>1080</v>
      </c>
      <c r="J8" s="6">
        <f ca="1" t="shared" si="0"/>
        <v>27000</v>
      </c>
      <c r="K8" s="6"/>
      <c r="L8" s="6"/>
      <c r="M8" s="6"/>
      <c r="N8" s="6">
        <f ca="1" t="shared" si="1"/>
        <v>27000</v>
      </c>
      <c r="O8" s="6">
        <f ca="1" t="shared" si="2"/>
        <v>7.5</v>
      </c>
      <c r="P8" s="6"/>
      <c r="Q8" s="6"/>
    </row>
    <row r="9" s="21" customFormat="1" ht="20" customHeight="1" spans="1:17">
      <c r="A9" s="27">
        <v>46087</v>
      </c>
      <c r="B9" s="6"/>
      <c r="C9" s="28"/>
      <c r="D9" s="5" t="s">
        <v>50</v>
      </c>
      <c r="E9" s="5" t="s">
        <v>48</v>
      </c>
      <c r="F9" s="6">
        <v>950</v>
      </c>
      <c r="G9" s="5" t="s">
        <v>49</v>
      </c>
      <c r="H9" s="6">
        <f ca="1" t="array" ref="H9">INDEX(成本核算表!J:J,MATCH(1,(成本核算表!D:D=E9)*(成本核算表!C:C=G9),0))</f>
        <v>25</v>
      </c>
      <c r="I9" s="6">
        <v>804</v>
      </c>
      <c r="J9" s="6">
        <f ca="1" t="shared" si="0"/>
        <v>20100</v>
      </c>
      <c r="K9" s="6"/>
      <c r="L9" s="6"/>
      <c r="M9" s="6"/>
      <c r="N9" s="6">
        <f ca="1" t="shared" si="1"/>
        <v>20100</v>
      </c>
      <c r="O9" s="6">
        <f ca="1" t="shared" si="2"/>
        <v>5.58333333333333</v>
      </c>
      <c r="P9" s="6"/>
      <c r="Q9" s="6"/>
    </row>
    <row r="10" s="21" customFormat="1" ht="20" customHeight="1" spans="1:17">
      <c r="A10" s="27">
        <v>46088</v>
      </c>
      <c r="B10" s="6">
        <v>4</v>
      </c>
      <c r="C10" s="28">
        <f ca="1">SUM(O10:O10)/B10</f>
        <v>1.42881944444444</v>
      </c>
      <c r="D10" s="5" t="s">
        <v>51</v>
      </c>
      <c r="E10" s="5" t="s">
        <v>52</v>
      </c>
      <c r="F10" s="6">
        <v>950</v>
      </c>
      <c r="G10" s="5" t="s">
        <v>49</v>
      </c>
      <c r="H10" s="6">
        <f ca="1" t="array" ref="H10">INDEX(成本核算表!J:J,MATCH(1,(成本核算表!D:D=E10)*(成本核算表!C:C=G10),0))</f>
        <v>25</v>
      </c>
      <c r="I10" s="6">
        <v>823</v>
      </c>
      <c r="J10" s="6">
        <f ca="1" t="shared" si="0"/>
        <v>20575</v>
      </c>
      <c r="K10" s="6"/>
      <c r="L10" s="6"/>
      <c r="M10" s="6"/>
      <c r="N10" s="6">
        <f ca="1" t="shared" si="1"/>
        <v>20575</v>
      </c>
      <c r="O10" s="6">
        <f ca="1" t="shared" si="2"/>
        <v>5.71527777777778</v>
      </c>
      <c r="P10" s="6"/>
      <c r="Q10" s="6"/>
    </row>
    <row r="11" s="21" customFormat="1" ht="20" customHeight="1" spans="1:17">
      <c r="A11" s="6"/>
      <c r="B11" s="6"/>
      <c r="C11" s="28"/>
      <c r="D11" s="6"/>
      <c r="E11" s="6"/>
      <c r="F11" s="6"/>
      <c r="G11" s="6"/>
      <c r="H11" s="6">
        <f ca="1" t="array" ref="H11">INDEX(成本核算表!J:J,MATCH(1,(成本核算表!D:D=E11)*(成本核算表!C:C=G11),0))</f>
        <v>0</v>
      </c>
      <c r="I11" s="6"/>
      <c r="J11" s="6">
        <f ca="1" t="shared" si="0"/>
        <v>0</v>
      </c>
      <c r="K11" s="6"/>
      <c r="L11" s="6"/>
      <c r="M11" s="6"/>
      <c r="N11" s="6">
        <f ca="1" t="shared" si="1"/>
        <v>0</v>
      </c>
      <c r="O11" s="6">
        <f ca="1" t="shared" si="2"/>
        <v>0</v>
      </c>
      <c r="P11" s="6"/>
      <c r="Q11" s="6"/>
    </row>
    <row r="12" s="21" customFormat="1" ht="20" customHeight="1" spans="1:17">
      <c r="A12" s="6"/>
      <c r="B12" s="6"/>
      <c r="C12" s="28"/>
      <c r="D12" s="6"/>
      <c r="E12" s="6"/>
      <c r="F12" s="6"/>
      <c r="G12" s="6"/>
      <c r="H12" s="6">
        <f ca="1" t="array" ref="H12">INDEX(成本核算表!J:J,MATCH(1,(成本核算表!D:D=E12)*(成本核算表!C:C=G12),0))</f>
        <v>0</v>
      </c>
      <c r="I12" s="6"/>
      <c r="J12" s="6">
        <f ca="1" t="shared" si="0"/>
        <v>0</v>
      </c>
      <c r="K12" s="6"/>
      <c r="L12" s="6"/>
      <c r="M12" s="6"/>
      <c r="N12" s="6">
        <f ca="1" t="shared" si="1"/>
        <v>0</v>
      </c>
      <c r="O12" s="6">
        <f ca="1" t="shared" si="2"/>
        <v>0</v>
      </c>
      <c r="P12" s="6"/>
      <c r="Q12" s="6"/>
    </row>
    <row r="13" s="21" customFormat="1" ht="20" customHeight="1" spans="1:17">
      <c r="A13" s="6"/>
      <c r="B13" s="6"/>
      <c r="C13" s="28"/>
      <c r="D13" s="6"/>
      <c r="E13" s="6"/>
      <c r="F13" s="6"/>
      <c r="G13" s="6"/>
      <c r="H13" s="6">
        <f ca="1" t="array" ref="H13">INDEX(成本核算表!J:J,MATCH(1,(成本核算表!D:D=E13)*(成本核算表!C:C=G13),0))</f>
        <v>0</v>
      </c>
      <c r="I13" s="6"/>
      <c r="J13" s="6">
        <f ca="1" t="shared" si="0"/>
        <v>0</v>
      </c>
      <c r="K13" s="6"/>
      <c r="L13" s="6"/>
      <c r="M13" s="6"/>
      <c r="N13" s="6">
        <f ca="1" t="shared" si="1"/>
        <v>0</v>
      </c>
      <c r="O13" s="6">
        <f ca="1" t="shared" si="2"/>
        <v>0</v>
      </c>
      <c r="P13" s="6"/>
      <c r="Q13" s="6"/>
    </row>
    <row r="14" s="21" customFormat="1" ht="20" customHeight="1" spans="1:17">
      <c r="A14" s="6"/>
      <c r="B14" s="6"/>
      <c r="C14" s="28"/>
      <c r="D14" s="6"/>
      <c r="E14" s="6"/>
      <c r="F14" s="6"/>
      <c r="G14" s="6"/>
      <c r="H14" s="6">
        <f ca="1" t="array" ref="H14">INDEX(成本核算表!J:J,MATCH(1,(成本核算表!D:D=E14)*(成本核算表!C:C=G14),0))</f>
        <v>0</v>
      </c>
      <c r="I14" s="6"/>
      <c r="J14" s="6">
        <f ca="1" t="shared" si="0"/>
        <v>0</v>
      </c>
      <c r="K14" s="6"/>
      <c r="L14" s="6"/>
      <c r="M14" s="6"/>
      <c r="N14" s="6">
        <f ca="1" t="shared" si="1"/>
        <v>0</v>
      </c>
      <c r="O14" s="6">
        <f ca="1" t="shared" si="2"/>
        <v>0</v>
      </c>
      <c r="P14" s="6"/>
      <c r="Q14" s="6"/>
    </row>
    <row r="15" s="21" customFormat="1" ht="20" customHeight="1" spans="1:17">
      <c r="A15" s="6"/>
      <c r="B15" s="6"/>
      <c r="C15" s="28"/>
      <c r="D15" s="6"/>
      <c r="E15" s="6"/>
      <c r="F15" s="6"/>
      <c r="G15" s="6"/>
      <c r="H15" s="6">
        <f ca="1" t="array" ref="H15">INDEX(成本核算表!J:J,MATCH(1,(成本核算表!D:D=E15)*(成本核算表!C:C=G15),0))</f>
        <v>0</v>
      </c>
      <c r="I15" s="6"/>
      <c r="J15" s="6">
        <f ca="1" t="shared" si="0"/>
        <v>0</v>
      </c>
      <c r="K15" s="6"/>
      <c r="L15" s="6"/>
      <c r="M15" s="6"/>
      <c r="N15" s="6">
        <f ca="1" t="shared" si="1"/>
        <v>0</v>
      </c>
      <c r="O15" s="6">
        <f ca="1" t="shared" si="2"/>
        <v>0</v>
      </c>
      <c r="P15" s="6"/>
      <c r="Q15" s="6"/>
    </row>
    <row r="16" s="21" customFormat="1" ht="20" customHeight="1" spans="1:17">
      <c r="A16" s="6"/>
      <c r="B16" s="6"/>
      <c r="C16" s="28"/>
      <c r="D16" s="6"/>
      <c r="E16" s="6"/>
      <c r="F16" s="6"/>
      <c r="G16" s="6"/>
      <c r="H16" s="6">
        <f ca="1" t="array" ref="H16">INDEX(成本核算表!J:J,MATCH(1,(成本核算表!D:D=E16)*(成本核算表!C:C=G16),0))</f>
        <v>0</v>
      </c>
      <c r="I16" s="6"/>
      <c r="J16" s="6">
        <f ca="1" t="shared" si="0"/>
        <v>0</v>
      </c>
      <c r="K16" s="6"/>
      <c r="L16" s="6"/>
      <c r="M16" s="6"/>
      <c r="N16" s="6">
        <f ca="1" t="shared" si="1"/>
        <v>0</v>
      </c>
      <c r="O16" s="6">
        <f ca="1" t="shared" si="2"/>
        <v>0</v>
      </c>
      <c r="P16" s="6"/>
      <c r="Q16" s="6"/>
    </row>
    <row r="17" s="21" customFormat="1" ht="20" customHeight="1" spans="1:17">
      <c r="A17" s="6"/>
      <c r="B17" s="6"/>
      <c r="C17" s="28"/>
      <c r="D17" s="6"/>
      <c r="E17" s="6"/>
      <c r="F17" s="6"/>
      <c r="G17" s="6"/>
      <c r="H17" s="6">
        <f ca="1" t="array" ref="H17">INDEX(成本核算表!J:J,MATCH(1,(成本核算表!D:D=E17)*(成本核算表!C:C=G17),0))</f>
        <v>0</v>
      </c>
      <c r="I17" s="6"/>
      <c r="J17" s="6">
        <f ca="1" t="shared" si="0"/>
        <v>0</v>
      </c>
      <c r="K17" s="6"/>
      <c r="L17" s="6"/>
      <c r="M17" s="6"/>
      <c r="N17" s="6">
        <f ca="1" t="shared" si="1"/>
        <v>0</v>
      </c>
      <c r="O17" s="6">
        <f ca="1" t="shared" si="2"/>
        <v>0</v>
      </c>
      <c r="P17" s="6"/>
      <c r="Q17" s="6"/>
    </row>
    <row r="18" s="21" customFormat="1" ht="20" customHeight="1" spans="1:17">
      <c r="A18" s="6"/>
      <c r="B18" s="6"/>
      <c r="C18" s="28"/>
      <c r="D18" s="6"/>
      <c r="E18" s="6"/>
      <c r="F18" s="6"/>
      <c r="G18" s="6"/>
      <c r="H18" s="6">
        <f ca="1" t="array" ref="H18">INDEX(成本核算表!J:J,MATCH(1,(成本核算表!D:D=E18)*(成本核算表!C:C=G18),0))</f>
        <v>0</v>
      </c>
      <c r="I18" s="6"/>
      <c r="J18" s="6">
        <f ca="1" t="shared" si="0"/>
        <v>0</v>
      </c>
      <c r="K18" s="6"/>
      <c r="L18" s="6"/>
      <c r="M18" s="6"/>
      <c r="N18" s="6">
        <f ca="1" t="shared" si="1"/>
        <v>0</v>
      </c>
      <c r="O18" s="6">
        <f ca="1" t="shared" si="2"/>
        <v>0</v>
      </c>
      <c r="P18" s="6"/>
      <c r="Q18" s="6"/>
    </row>
    <row r="19" s="21" customFormat="1" ht="20" customHeight="1" spans="1:17">
      <c r="A19" s="6"/>
      <c r="B19" s="6"/>
      <c r="C19" s="28"/>
      <c r="D19" s="6"/>
      <c r="E19" s="6"/>
      <c r="F19" s="6"/>
      <c r="G19" s="6"/>
      <c r="H19" s="6">
        <f ca="1" t="array" ref="H19">INDEX(成本核算表!J:J,MATCH(1,(成本核算表!D:D=E19)*(成本核算表!C:C=G19),0))</f>
        <v>0</v>
      </c>
      <c r="I19" s="6"/>
      <c r="J19" s="6">
        <f ca="1" t="shared" si="0"/>
        <v>0</v>
      </c>
      <c r="K19" s="6"/>
      <c r="L19" s="6"/>
      <c r="M19" s="6"/>
      <c r="N19" s="6">
        <f ca="1" t="shared" si="1"/>
        <v>0</v>
      </c>
      <c r="O19" s="6">
        <f ca="1" t="shared" si="2"/>
        <v>0</v>
      </c>
      <c r="P19" s="6"/>
      <c r="Q19" s="6"/>
    </row>
    <row r="20" s="21" customFormat="1" ht="20" customHeight="1" spans="1:17">
      <c r="A20" s="6"/>
      <c r="B20" s="6"/>
      <c r="C20" s="28"/>
      <c r="D20" s="6"/>
      <c r="E20" s="6"/>
      <c r="F20" s="6"/>
      <c r="G20" s="6"/>
      <c r="H20" s="6">
        <f ca="1" t="array" ref="H20">INDEX(成本核算表!J:J,MATCH(1,(成本核算表!D:D=E20)*(成本核算表!C:C=G20),0))</f>
        <v>0</v>
      </c>
      <c r="I20" s="6"/>
      <c r="J20" s="6">
        <f ca="1" t="shared" si="0"/>
        <v>0</v>
      </c>
      <c r="K20" s="6"/>
      <c r="L20" s="6"/>
      <c r="M20" s="6"/>
      <c r="N20" s="6">
        <f ca="1" t="shared" si="1"/>
        <v>0</v>
      </c>
      <c r="O20" s="6">
        <f ca="1" t="shared" si="2"/>
        <v>0</v>
      </c>
      <c r="P20" s="6"/>
      <c r="Q20" s="6"/>
    </row>
    <row r="21" s="21" customFormat="1" ht="20" customHeight="1" spans="1:17">
      <c r="A21" s="27">
        <v>46099</v>
      </c>
      <c r="B21" s="6">
        <v>11</v>
      </c>
      <c r="C21" s="28">
        <f ca="1" t="shared" ref="C21:C25" si="3">SUM(O21:O22)/B21</f>
        <v>1.31454545454545</v>
      </c>
      <c r="D21" s="5" t="s">
        <v>35</v>
      </c>
      <c r="E21" s="5" t="s">
        <v>36</v>
      </c>
      <c r="F21" s="6">
        <v>119.5</v>
      </c>
      <c r="G21" s="5" t="s">
        <v>53</v>
      </c>
      <c r="H21" s="6">
        <f ca="1" t="array" ref="H21">INDEX(成本核算表!J:J,MATCH(1,(成本核算表!D:D=E21)*(成本核算表!C:C=G21),0))</f>
        <v>12</v>
      </c>
      <c r="I21" s="6">
        <v>3528</v>
      </c>
      <c r="J21" s="6">
        <f ca="1" t="shared" si="0"/>
        <v>42336</v>
      </c>
      <c r="K21" s="6"/>
      <c r="L21" s="6"/>
      <c r="M21" s="6"/>
      <c r="N21" s="6">
        <f ca="1" t="shared" si="1"/>
        <v>42336</v>
      </c>
      <c r="O21" s="6">
        <f ca="1" t="shared" si="2"/>
        <v>11.76</v>
      </c>
      <c r="P21" s="6"/>
      <c r="Q21" s="6"/>
    </row>
    <row r="22" s="21" customFormat="1" ht="20" customHeight="1" spans="1:17">
      <c r="A22" s="27">
        <v>46099</v>
      </c>
      <c r="B22" s="6"/>
      <c r="C22" s="28"/>
      <c r="D22" s="5" t="s">
        <v>40</v>
      </c>
      <c r="E22" s="5" t="s">
        <v>36</v>
      </c>
      <c r="F22" s="6">
        <v>119.5</v>
      </c>
      <c r="G22" s="5" t="s">
        <v>53</v>
      </c>
      <c r="H22" s="6">
        <f ca="1" t="array" ref="H22">INDEX(成本核算表!J:J,MATCH(1,(成本核算表!D:D=E22)*(成本核算表!C:C=G22),0))</f>
        <v>12</v>
      </c>
      <c r="I22" s="6">
        <v>810</v>
      </c>
      <c r="J22" s="6">
        <f ca="1" t="shared" si="0"/>
        <v>9720</v>
      </c>
      <c r="K22" s="6"/>
      <c r="L22" s="6"/>
      <c r="M22" s="6"/>
      <c r="N22" s="6">
        <f ca="1" t="shared" si="1"/>
        <v>9720</v>
      </c>
      <c r="O22" s="6">
        <f ca="1" t="shared" si="2"/>
        <v>2.7</v>
      </c>
      <c r="P22" s="6"/>
      <c r="Q22" s="6"/>
    </row>
    <row r="23" s="21" customFormat="1" ht="20" customHeight="1" spans="1:17">
      <c r="A23" s="27">
        <v>46100</v>
      </c>
      <c r="B23" s="6">
        <v>11</v>
      </c>
      <c r="C23" s="28">
        <f ca="1" t="shared" si="3"/>
        <v>1.22060606060606</v>
      </c>
      <c r="D23" s="5" t="s">
        <v>40</v>
      </c>
      <c r="E23" s="5" t="s">
        <v>36</v>
      </c>
      <c r="F23" s="6">
        <v>119.5</v>
      </c>
      <c r="G23" s="5" t="s">
        <v>53</v>
      </c>
      <c r="H23" s="6">
        <f ca="1" t="array" ref="H23">INDEX(成本核算表!J:J,MATCH(1,(成本核算表!D:D=E23)*(成本核算表!C:C=G23),0))</f>
        <v>12</v>
      </c>
      <c r="I23" s="6">
        <v>3228</v>
      </c>
      <c r="J23" s="6">
        <f ca="1" t="shared" si="0"/>
        <v>38736</v>
      </c>
      <c r="K23" s="6"/>
      <c r="L23" s="6"/>
      <c r="M23" s="6"/>
      <c r="N23" s="6">
        <f ca="1" t="shared" si="1"/>
        <v>38736</v>
      </c>
      <c r="O23" s="6">
        <f ca="1" t="shared" si="2"/>
        <v>10.76</v>
      </c>
      <c r="P23" s="6"/>
      <c r="Q23" s="6"/>
    </row>
    <row r="24" s="21" customFormat="1" ht="20" customHeight="1" spans="1:17">
      <c r="A24" s="27">
        <v>46100</v>
      </c>
      <c r="B24" s="6"/>
      <c r="C24" s="28"/>
      <c r="D24" s="5" t="s">
        <v>35</v>
      </c>
      <c r="E24" s="5" t="s">
        <v>36</v>
      </c>
      <c r="F24" s="6">
        <v>119.5</v>
      </c>
      <c r="G24" s="5" t="s">
        <v>53</v>
      </c>
      <c r="H24" s="6">
        <f ca="1" t="array" ref="H24">INDEX(成本核算表!J:J,MATCH(1,(成本核算表!D:D=E24)*(成本核算表!C:C=G24),0))</f>
        <v>12</v>
      </c>
      <c r="I24" s="6">
        <v>800</v>
      </c>
      <c r="J24" s="6">
        <f ca="1" t="shared" si="0"/>
        <v>9600</v>
      </c>
      <c r="K24" s="6"/>
      <c r="L24" s="6"/>
      <c r="M24" s="6"/>
      <c r="N24" s="6">
        <f ca="1" t="shared" si="1"/>
        <v>9600</v>
      </c>
      <c r="O24" s="6">
        <f ca="1" t="shared" si="2"/>
        <v>2.66666666666667</v>
      </c>
      <c r="P24" s="6"/>
      <c r="Q24" s="6"/>
    </row>
    <row r="25" s="21" customFormat="1" ht="20" customHeight="1" spans="1:17">
      <c r="A25" s="27">
        <v>46101</v>
      </c>
      <c r="B25" s="6">
        <v>11</v>
      </c>
      <c r="C25" s="28">
        <f ca="1" t="shared" si="3"/>
        <v>1.28575757575758</v>
      </c>
      <c r="D25" s="5" t="s">
        <v>40</v>
      </c>
      <c r="E25" s="5" t="s">
        <v>36</v>
      </c>
      <c r="F25" s="6">
        <v>119.5</v>
      </c>
      <c r="G25" s="5" t="s">
        <v>53</v>
      </c>
      <c r="H25" s="6">
        <f ca="1" t="array" ref="H25">INDEX(成本核算表!J:J,MATCH(1,(成本核算表!D:D=E25)*(成本核算表!C:C=G25),0))</f>
        <v>12</v>
      </c>
      <c r="I25" s="6">
        <v>3643</v>
      </c>
      <c r="J25" s="6">
        <f ca="1" t="shared" si="0"/>
        <v>43716</v>
      </c>
      <c r="K25" s="6"/>
      <c r="L25" s="6"/>
      <c r="M25" s="6"/>
      <c r="N25" s="6">
        <f ca="1" t="shared" si="1"/>
        <v>43716</v>
      </c>
      <c r="O25" s="6">
        <f ca="1" t="shared" si="2"/>
        <v>12.1433333333333</v>
      </c>
      <c r="P25" s="6"/>
      <c r="Q25" s="6"/>
    </row>
    <row r="26" s="21" customFormat="1" ht="20" customHeight="1" spans="1:17">
      <c r="A26" s="27">
        <v>46101</v>
      </c>
      <c r="B26" s="6"/>
      <c r="C26" s="28"/>
      <c r="D26" s="5" t="s">
        <v>35</v>
      </c>
      <c r="E26" s="5" t="s">
        <v>36</v>
      </c>
      <c r="F26" s="6">
        <v>119.5</v>
      </c>
      <c r="G26" s="5" t="s">
        <v>53</v>
      </c>
      <c r="H26" s="6">
        <f ca="1" t="array" ref="H26">INDEX(成本核算表!J:J,MATCH(1,(成本核算表!D:D=E26)*(成本核算表!C:C=G26),0))</f>
        <v>12</v>
      </c>
      <c r="I26" s="6">
        <v>600</v>
      </c>
      <c r="J26" s="6">
        <f ca="1" t="shared" si="0"/>
        <v>7200</v>
      </c>
      <c r="K26" s="6"/>
      <c r="L26" s="6"/>
      <c r="M26" s="6"/>
      <c r="N26" s="6">
        <f ca="1" t="shared" si="1"/>
        <v>7200</v>
      </c>
      <c r="O26" s="6">
        <f ca="1" t="shared" si="2"/>
        <v>2</v>
      </c>
      <c r="P26" s="6"/>
      <c r="Q26" s="6"/>
    </row>
    <row r="27" s="21" customFormat="1" ht="20" customHeight="1" spans="1:17">
      <c r="A27" s="6"/>
      <c r="B27" s="6"/>
      <c r="C27" s="28"/>
      <c r="D27" s="6"/>
      <c r="E27" s="6"/>
      <c r="F27" s="6"/>
      <c r="G27" s="6"/>
      <c r="H27" s="6">
        <f ca="1" t="array" ref="H27">INDEX(成本核算表!J:J,MATCH(1,(成本核算表!D:D=E27)*(成本核算表!C:C=G27),0))</f>
        <v>0</v>
      </c>
      <c r="I27" s="6"/>
      <c r="J27" s="6">
        <f ca="1" t="shared" si="0"/>
        <v>0</v>
      </c>
      <c r="K27" s="6"/>
      <c r="L27" s="6"/>
      <c r="M27" s="6"/>
      <c r="N27" s="6">
        <f ca="1" t="shared" si="1"/>
        <v>0</v>
      </c>
      <c r="O27" s="6">
        <f ca="1" t="shared" si="2"/>
        <v>0</v>
      </c>
      <c r="P27" s="6"/>
      <c r="Q27" s="6"/>
    </row>
    <row r="28" s="21" customFormat="1" ht="20" customHeight="1" spans="1:17">
      <c r="A28" s="6"/>
      <c r="B28" s="6"/>
      <c r="C28" s="28"/>
      <c r="D28" s="6"/>
      <c r="E28" s="6"/>
      <c r="F28" s="6"/>
      <c r="G28" s="6"/>
      <c r="H28" s="6">
        <f ca="1" t="array" ref="H28">INDEX(成本核算表!J:J,MATCH(1,(成本核算表!D:D=E28)*(成本核算表!C:C=G28),0))</f>
        <v>0</v>
      </c>
      <c r="I28" s="6"/>
      <c r="J28" s="6">
        <f ca="1" t="shared" si="0"/>
        <v>0</v>
      </c>
      <c r="K28" s="6"/>
      <c r="L28" s="6"/>
      <c r="M28" s="6"/>
      <c r="N28" s="6">
        <f ca="1" t="shared" si="1"/>
        <v>0</v>
      </c>
      <c r="O28" s="6">
        <f ca="1" t="shared" si="2"/>
        <v>0</v>
      </c>
      <c r="P28" s="6"/>
      <c r="Q28" s="6"/>
    </row>
    <row r="29" s="21" customFormat="1" ht="20" customHeight="1" spans="1:17">
      <c r="A29" s="6"/>
      <c r="B29" s="6"/>
      <c r="C29" s="28"/>
      <c r="D29" s="6"/>
      <c r="E29" s="6"/>
      <c r="F29" s="6"/>
      <c r="G29" s="6"/>
      <c r="H29" s="6">
        <f ca="1" t="array" ref="H29">INDEX(成本核算表!J:J,MATCH(1,(成本核算表!D:D=E29)*(成本核算表!C:C=G29),0))</f>
        <v>0</v>
      </c>
      <c r="I29" s="6"/>
      <c r="J29" s="6">
        <f ca="1" t="shared" si="0"/>
        <v>0</v>
      </c>
      <c r="K29" s="6"/>
      <c r="L29" s="6"/>
      <c r="M29" s="6"/>
      <c r="N29" s="6">
        <f ca="1" t="shared" si="1"/>
        <v>0</v>
      </c>
      <c r="O29" s="6">
        <f ca="1" t="shared" si="2"/>
        <v>0</v>
      </c>
      <c r="P29" s="6"/>
      <c r="Q29" s="6"/>
    </row>
    <row r="30" s="21" customFormat="1" ht="20" customHeight="1" spans="1:17">
      <c r="A30" s="6"/>
      <c r="B30" s="6"/>
      <c r="C30" s="28"/>
      <c r="D30" s="6"/>
      <c r="E30" s="6"/>
      <c r="F30" s="6"/>
      <c r="G30" s="6"/>
      <c r="H30" s="6">
        <f ca="1" t="array" ref="H30">INDEX(成本核算表!J:J,MATCH(1,(成本核算表!D:D=E30)*(成本核算表!C:C=G30),0))</f>
        <v>0</v>
      </c>
      <c r="I30" s="6"/>
      <c r="J30" s="6">
        <f ca="1" t="shared" si="0"/>
        <v>0</v>
      </c>
      <c r="K30" s="6"/>
      <c r="L30" s="6"/>
      <c r="M30" s="6"/>
      <c r="N30" s="6">
        <f ca="1" t="shared" si="1"/>
        <v>0</v>
      </c>
      <c r="O30" s="6">
        <f ca="1" t="shared" si="2"/>
        <v>0</v>
      </c>
      <c r="P30" s="6"/>
      <c r="Q30" s="6"/>
    </row>
    <row r="31" s="21" customFormat="1" ht="20" customHeight="1" spans="1:17">
      <c r="A31" s="6"/>
      <c r="B31" s="6"/>
      <c r="C31" s="28"/>
      <c r="D31" s="6"/>
      <c r="E31" s="6"/>
      <c r="F31" s="6"/>
      <c r="G31" s="6"/>
      <c r="H31" s="6">
        <f ca="1" t="array" ref="H31">INDEX(成本核算表!J:J,MATCH(1,(成本核算表!D:D=E31)*(成本核算表!C:C=G31),0))</f>
        <v>0</v>
      </c>
      <c r="I31" s="6"/>
      <c r="J31" s="6">
        <f ca="1" t="shared" si="0"/>
        <v>0</v>
      </c>
      <c r="K31" s="6"/>
      <c r="L31" s="6"/>
      <c r="M31" s="6"/>
      <c r="N31" s="6">
        <f ca="1" t="shared" si="1"/>
        <v>0</v>
      </c>
      <c r="O31" s="6">
        <f ca="1" t="shared" si="2"/>
        <v>0</v>
      </c>
      <c r="P31" s="6"/>
      <c r="Q31" s="6"/>
    </row>
    <row r="32" s="21" customFormat="1" ht="20" customHeight="1" spans="1:17">
      <c r="A32" s="6"/>
      <c r="B32" s="6"/>
      <c r="C32" s="28"/>
      <c r="D32" s="6"/>
      <c r="E32" s="6"/>
      <c r="F32" s="6"/>
      <c r="G32" s="6"/>
      <c r="H32" s="6">
        <f ca="1" t="array" ref="H32">INDEX(成本核算表!J:J,MATCH(1,(成本核算表!D:D=E32)*(成本核算表!C:C=G32),0))</f>
        <v>0</v>
      </c>
      <c r="I32" s="6"/>
      <c r="J32" s="6">
        <f ca="1" t="shared" si="0"/>
        <v>0</v>
      </c>
      <c r="K32" s="6"/>
      <c r="L32" s="6"/>
      <c r="M32" s="6"/>
      <c r="N32" s="6">
        <f ca="1" t="shared" si="1"/>
        <v>0</v>
      </c>
      <c r="O32" s="6">
        <f ca="1" t="shared" si="2"/>
        <v>0</v>
      </c>
      <c r="P32" s="6"/>
      <c r="Q32" s="6"/>
    </row>
    <row r="33" s="21" customFormat="1" ht="20" customHeight="1" spans="1:17">
      <c r="A33" s="6"/>
      <c r="B33" s="6"/>
      <c r="C33" s="28"/>
      <c r="D33" s="6"/>
      <c r="E33" s="6"/>
      <c r="F33" s="6"/>
      <c r="G33" s="6"/>
      <c r="H33" s="6">
        <f ca="1" t="array" ref="H33">INDEX(成本核算表!J:J,MATCH(1,(成本核算表!D:D=E33)*(成本核算表!C:C=G33),0))</f>
        <v>0</v>
      </c>
      <c r="I33" s="6"/>
      <c r="J33" s="6">
        <f ca="1" t="shared" si="0"/>
        <v>0</v>
      </c>
      <c r="K33" s="6"/>
      <c r="L33" s="6"/>
      <c r="M33" s="6"/>
      <c r="N33" s="6">
        <f ca="1" t="shared" si="1"/>
        <v>0</v>
      </c>
      <c r="O33" s="6">
        <f ca="1" t="shared" si="2"/>
        <v>0</v>
      </c>
      <c r="P33" s="6"/>
      <c r="Q33" s="6"/>
    </row>
    <row r="34" s="21" customFormat="1" ht="20" customHeight="1" spans="1:17">
      <c r="A34" s="6"/>
      <c r="B34" s="6"/>
      <c r="C34" s="28"/>
      <c r="D34" s="6"/>
      <c r="E34" s="6"/>
      <c r="F34" s="6"/>
      <c r="G34" s="6"/>
      <c r="H34" s="6">
        <f ca="1" t="array" ref="H34">INDEX(成本核算表!J:J,MATCH(1,(成本核算表!D:D=E34)*(成本核算表!C:C=G34),0))</f>
        <v>0</v>
      </c>
      <c r="I34" s="6"/>
      <c r="J34" s="6">
        <f ca="1" t="shared" si="0"/>
        <v>0</v>
      </c>
      <c r="K34" s="6"/>
      <c r="L34" s="6"/>
      <c r="M34" s="6"/>
      <c r="N34" s="6">
        <f ca="1" t="shared" si="1"/>
        <v>0</v>
      </c>
      <c r="O34" s="6">
        <f ca="1" t="shared" si="2"/>
        <v>0</v>
      </c>
      <c r="P34" s="6"/>
      <c r="Q34" s="6"/>
    </row>
    <row r="35" s="21" customFormat="1" ht="20" customHeight="1" spans="1:17">
      <c r="A35" s="6"/>
      <c r="B35" s="6"/>
      <c r="C35" s="28"/>
      <c r="D35" s="6"/>
      <c r="E35" s="6"/>
      <c r="F35" s="6"/>
      <c r="G35" s="6"/>
      <c r="H35" s="6">
        <f ca="1" t="array" ref="H35">INDEX(成本核算表!J:J,MATCH(1,(成本核算表!D:D=E35)*(成本核算表!C:C=G35),0))</f>
        <v>0</v>
      </c>
      <c r="I35" s="6"/>
      <c r="J35" s="6">
        <f ca="1" t="shared" si="0"/>
        <v>0</v>
      </c>
      <c r="K35" s="6"/>
      <c r="L35" s="6"/>
      <c r="M35" s="6"/>
      <c r="N35" s="6">
        <f ca="1" t="shared" si="1"/>
        <v>0</v>
      </c>
      <c r="O35" s="6">
        <f ca="1" t="shared" si="2"/>
        <v>0</v>
      </c>
      <c r="P35" s="6"/>
      <c r="Q35" s="6"/>
    </row>
    <row r="36" s="21" customFormat="1" ht="20" customHeight="1" spans="1:17">
      <c r="A36" s="6"/>
      <c r="B36" s="6"/>
      <c r="C36" s="28"/>
      <c r="D36" s="6"/>
      <c r="E36" s="6"/>
      <c r="F36" s="6"/>
      <c r="G36" s="6"/>
      <c r="H36" s="6">
        <f ca="1" t="array" ref="H36">INDEX(成本核算表!J:J,MATCH(1,(成本核算表!D:D=E36)*(成本核算表!C:C=G36),0))</f>
        <v>0</v>
      </c>
      <c r="I36" s="6"/>
      <c r="J36" s="6">
        <f ca="1" t="shared" si="0"/>
        <v>0</v>
      </c>
      <c r="K36" s="6"/>
      <c r="L36" s="6"/>
      <c r="M36" s="6"/>
      <c r="N36" s="6">
        <f ca="1" t="shared" si="1"/>
        <v>0</v>
      </c>
      <c r="O36" s="6">
        <f ca="1" t="shared" si="2"/>
        <v>0</v>
      </c>
      <c r="P36" s="6"/>
      <c r="Q36" s="6"/>
    </row>
    <row r="37" s="21" customFormat="1" ht="20" customHeight="1" spans="1:17">
      <c r="A37" s="6"/>
      <c r="B37" s="6"/>
      <c r="C37" s="28"/>
      <c r="D37" s="6"/>
      <c r="E37" s="6"/>
      <c r="F37" s="6"/>
      <c r="G37" s="6"/>
      <c r="H37" s="6">
        <f ca="1" t="array" ref="H37">INDEX(成本核算表!J:J,MATCH(1,(成本核算表!D:D=E37)*(成本核算表!C:C=G37),0))</f>
        <v>0</v>
      </c>
      <c r="I37" s="6"/>
      <c r="J37" s="6">
        <f ca="1" t="shared" si="0"/>
        <v>0</v>
      </c>
      <c r="K37" s="6"/>
      <c r="L37" s="6"/>
      <c r="M37" s="6"/>
      <c r="N37" s="6">
        <f ca="1" t="shared" si="1"/>
        <v>0</v>
      </c>
      <c r="O37" s="6">
        <f ca="1" t="shared" si="2"/>
        <v>0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0"/>
        <v>0</v>
      </c>
      <c r="K38" s="6"/>
      <c r="L38" s="6"/>
      <c r="M38" s="6"/>
      <c r="N38" s="6">
        <f ca="1" t="shared" si="1"/>
        <v>0</v>
      </c>
      <c r="O38" s="6">
        <f ca="1" t="shared" si="2"/>
        <v>0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0"/>
        <v>0</v>
      </c>
      <c r="K39" s="6"/>
      <c r="L39" s="6"/>
      <c r="M39" s="6"/>
      <c r="N39" s="6">
        <f ca="1" t="shared" si="1"/>
        <v>0</v>
      </c>
      <c r="O39" s="6">
        <f ca="1" t="shared" si="2"/>
        <v>0</v>
      </c>
      <c r="P39" s="6"/>
      <c r="Q39" s="6"/>
    </row>
    <row r="40" s="21" customFormat="1" ht="20" customHeight="1" spans="1:17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6"/>
      <c r="J40" s="6">
        <f ca="1" t="shared" si="0"/>
        <v>0</v>
      </c>
      <c r="K40" s="6"/>
      <c r="L40" s="6"/>
      <c r="M40" s="6"/>
      <c r="N40" s="6">
        <f ca="1" t="shared" si="1"/>
        <v>0</v>
      </c>
      <c r="O40" s="6">
        <f ca="1" t="shared" si="2"/>
        <v>0</v>
      </c>
      <c r="P40" s="6"/>
      <c r="Q40" s="6"/>
    </row>
    <row r="41" s="21" customFormat="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0"/>
        <v>0</v>
      </c>
      <c r="K41" s="6"/>
      <c r="L41" s="6"/>
      <c r="M41" s="6"/>
      <c r="N41" s="6">
        <f ca="1" t="shared" si="1"/>
        <v>0</v>
      </c>
      <c r="O41" s="6">
        <f ca="1" t="shared" si="2"/>
        <v>0</v>
      </c>
      <c r="P41" s="6"/>
      <c r="Q41" s="6"/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25"/>
      <c r="J42" s="6">
        <f ca="1" t="shared" si="0"/>
        <v>0</v>
      </c>
      <c r="K42" s="23"/>
      <c r="L42" s="23"/>
      <c r="N42" s="6">
        <f ca="1" t="shared" si="1"/>
        <v>0</v>
      </c>
      <c r="O42" s="6">
        <f ca="1" t="shared" si="2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25"/>
      <c r="J43" s="6">
        <f ca="1" t="shared" si="0"/>
        <v>0</v>
      </c>
      <c r="K43" s="23"/>
      <c r="L43" s="23"/>
      <c r="N43" s="6">
        <f ca="1" t="shared" si="1"/>
        <v>0</v>
      </c>
      <c r="O43" s="6">
        <f ca="1" t="shared" si="2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25"/>
      <c r="J44" s="6">
        <f ca="1" t="shared" si="0"/>
        <v>0</v>
      </c>
      <c r="K44" s="23"/>
      <c r="L44" s="23"/>
      <c r="N44" s="6">
        <f ca="1" t="shared" si="1"/>
        <v>0</v>
      </c>
      <c r="O44" s="6">
        <f ca="1" t="shared" si="2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25"/>
      <c r="J45" s="6">
        <f ca="1" t="shared" si="0"/>
        <v>0</v>
      </c>
      <c r="K45" s="23"/>
      <c r="L45" s="23"/>
      <c r="N45" s="6">
        <f ca="1" t="shared" si="1"/>
        <v>0</v>
      </c>
      <c r="O45" s="6">
        <f ca="1" t="shared" si="2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25"/>
      <c r="J46" s="6">
        <f ca="1" t="shared" si="0"/>
        <v>0</v>
      </c>
      <c r="K46" s="23"/>
      <c r="L46" s="23"/>
      <c r="N46" s="6">
        <f ca="1" t="shared" si="1"/>
        <v>0</v>
      </c>
      <c r="O46" s="6">
        <f ca="1" t="shared" si="2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25"/>
      <c r="J47" s="6">
        <f ca="1" t="shared" si="0"/>
        <v>0</v>
      </c>
      <c r="K47" s="23"/>
      <c r="L47" s="23"/>
      <c r="N47" s="6">
        <f ca="1" t="shared" si="1"/>
        <v>0</v>
      </c>
      <c r="O47" s="6">
        <f ca="1" t="shared" si="2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25"/>
      <c r="J48" s="6">
        <f ca="1" t="shared" si="0"/>
        <v>0</v>
      </c>
      <c r="K48" s="23"/>
      <c r="L48" s="23"/>
      <c r="N48" s="6">
        <f ca="1" t="shared" si="1"/>
        <v>0</v>
      </c>
      <c r="O48" s="6">
        <f ca="1" t="shared" si="2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25"/>
      <c r="J49" s="6">
        <f ca="1" t="shared" si="0"/>
        <v>0</v>
      </c>
      <c r="K49" s="23"/>
      <c r="L49" s="23"/>
      <c r="N49" s="6">
        <f ca="1" t="shared" si="1"/>
        <v>0</v>
      </c>
      <c r="O49" s="6">
        <f ca="1" t="shared" si="2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25"/>
      <c r="J50" s="6">
        <f ca="1" t="shared" si="0"/>
        <v>0</v>
      </c>
      <c r="K50" s="23"/>
      <c r="L50" s="23"/>
      <c r="N50" s="6">
        <f ca="1" t="shared" si="1"/>
        <v>0</v>
      </c>
      <c r="O50" s="6">
        <f ca="1" t="shared" si="2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25"/>
      <c r="J51" s="6">
        <f ca="1" t="shared" si="0"/>
        <v>0</v>
      </c>
      <c r="K51" s="23"/>
      <c r="L51" s="23"/>
      <c r="N51" s="6">
        <f ca="1" t="shared" si="1"/>
        <v>0</v>
      </c>
      <c r="O51" s="6">
        <f ca="1" t="shared" si="2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25"/>
      <c r="J52" s="6">
        <f ca="1" t="shared" si="0"/>
        <v>0</v>
      </c>
      <c r="K52" s="23"/>
      <c r="L52" s="23"/>
      <c r="N52" s="6">
        <f ca="1" t="shared" si="1"/>
        <v>0</v>
      </c>
      <c r="O52" s="6">
        <f ca="1" t="shared" si="2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25"/>
      <c r="J53" s="6">
        <f ca="1" t="shared" si="0"/>
        <v>0</v>
      </c>
      <c r="K53" s="23"/>
      <c r="L53" s="23"/>
      <c r="N53" s="6">
        <f ca="1" t="shared" si="1"/>
        <v>0</v>
      </c>
      <c r="O53" s="6">
        <f ca="1" t="shared" si="2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25"/>
      <c r="J54" s="6">
        <f ca="1" t="shared" si="0"/>
        <v>0</v>
      </c>
      <c r="K54" s="23"/>
      <c r="L54" s="23"/>
      <c r="N54" s="6">
        <f ca="1" t="shared" si="1"/>
        <v>0</v>
      </c>
      <c r="O54" s="6">
        <f ca="1" t="shared" si="2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25"/>
      <c r="J55" s="6">
        <f ca="1" t="shared" si="0"/>
        <v>0</v>
      </c>
      <c r="K55" s="23"/>
      <c r="L55" s="23"/>
      <c r="N55" s="6">
        <f ca="1" t="shared" si="1"/>
        <v>0</v>
      </c>
      <c r="O55" s="6">
        <f ca="1" t="shared" si="2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25"/>
      <c r="J56" s="6">
        <f ca="1" t="shared" si="0"/>
        <v>0</v>
      </c>
      <c r="K56" s="23"/>
      <c r="L56" s="23"/>
      <c r="N56" s="6">
        <f ca="1" t="shared" si="1"/>
        <v>0</v>
      </c>
      <c r="O56" s="6">
        <f ca="1" t="shared" si="2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25"/>
      <c r="J57" s="6">
        <f ca="1" t="shared" si="0"/>
        <v>0</v>
      </c>
      <c r="K57" s="23"/>
      <c r="L57" s="23"/>
      <c r="N57" s="6">
        <f ca="1" t="shared" si="1"/>
        <v>0</v>
      </c>
      <c r="O57" s="6">
        <f ca="1" t="shared" si="2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25"/>
      <c r="J58" s="6">
        <f ca="1" t="shared" si="0"/>
        <v>0</v>
      </c>
      <c r="K58" s="23"/>
      <c r="L58" s="23"/>
      <c r="N58" s="6">
        <f ca="1" t="shared" si="1"/>
        <v>0</v>
      </c>
      <c r="O58" s="6">
        <f ca="1" t="shared" si="2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25"/>
      <c r="J59" s="6">
        <f ca="1" t="shared" si="0"/>
        <v>0</v>
      </c>
      <c r="K59" s="23"/>
      <c r="L59" s="23"/>
      <c r="N59" s="6">
        <f ca="1" t="shared" si="1"/>
        <v>0</v>
      </c>
      <c r="O59" s="6">
        <f ca="1" t="shared" si="2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25"/>
      <c r="J60" s="6">
        <f ca="1" t="shared" si="0"/>
        <v>0</v>
      </c>
      <c r="K60" s="23"/>
      <c r="L60" s="23"/>
      <c r="N60" s="6">
        <f ca="1" t="shared" si="1"/>
        <v>0</v>
      </c>
      <c r="O60" s="6">
        <f ca="1" t="shared" si="2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25"/>
      <c r="J61" s="6">
        <f ca="1" t="shared" si="0"/>
        <v>0</v>
      </c>
      <c r="K61" s="23"/>
      <c r="L61" s="23"/>
      <c r="N61" s="6">
        <f ca="1" t="shared" si="1"/>
        <v>0</v>
      </c>
      <c r="O61" s="6">
        <f ca="1" t="shared" si="2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25"/>
      <c r="J62" s="6">
        <f ca="1" t="shared" si="0"/>
        <v>0</v>
      </c>
      <c r="K62" s="23"/>
      <c r="L62" s="23"/>
      <c r="N62" s="6">
        <f ca="1" t="shared" si="1"/>
        <v>0</v>
      </c>
      <c r="O62" s="6">
        <f ca="1" t="shared" si="2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25"/>
      <c r="J63" s="6">
        <f ca="1" t="shared" si="0"/>
        <v>0</v>
      </c>
      <c r="K63" s="23"/>
      <c r="L63" s="23"/>
      <c r="N63" s="6">
        <f ca="1" t="shared" si="1"/>
        <v>0</v>
      </c>
      <c r="O63" s="6">
        <f ca="1" t="shared" si="2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25"/>
      <c r="J64" s="6">
        <f ca="1" t="shared" si="0"/>
        <v>0</v>
      </c>
      <c r="K64" s="23"/>
      <c r="L64" s="23"/>
      <c r="N64" s="6">
        <f ca="1" t="shared" si="1"/>
        <v>0</v>
      </c>
      <c r="O64" s="6">
        <f ca="1" t="shared" si="2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25"/>
      <c r="J65" s="6">
        <f ca="1" t="shared" si="0"/>
        <v>0</v>
      </c>
      <c r="K65" s="23"/>
      <c r="L65" s="23"/>
      <c r="N65" s="6">
        <f ca="1" t="shared" si="1"/>
        <v>0</v>
      </c>
      <c r="O65" s="6">
        <f ca="1" t="shared" si="2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25"/>
      <c r="J66" s="6">
        <f ca="1" t="shared" ref="J66:J101" si="4">H66*I66</f>
        <v>0</v>
      </c>
      <c r="K66" s="23"/>
      <c r="L66" s="23"/>
      <c r="N66" s="6">
        <f ca="1" t="shared" ref="N66:N101" si="5">J66-M66+L66</f>
        <v>0</v>
      </c>
      <c r="O66" s="6">
        <f ca="1" t="shared" ref="O66:O101" si="6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25"/>
      <c r="J67" s="6">
        <f ca="1" t="shared" si="4"/>
        <v>0</v>
      </c>
      <c r="K67" s="23"/>
      <c r="L67" s="23"/>
      <c r="N67" s="6">
        <f ca="1" t="shared" si="5"/>
        <v>0</v>
      </c>
      <c r="O67" s="6">
        <f ca="1" t="shared" si="6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25"/>
      <c r="J68" s="6">
        <f ca="1" t="shared" si="4"/>
        <v>0</v>
      </c>
      <c r="K68" s="23"/>
      <c r="L68" s="23"/>
      <c r="N68" s="6">
        <f ca="1" t="shared" si="5"/>
        <v>0</v>
      </c>
      <c r="O68" s="6">
        <f ca="1" t="shared" si="6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25"/>
      <c r="J69" s="6">
        <f ca="1" t="shared" si="4"/>
        <v>0</v>
      </c>
      <c r="K69" s="23"/>
      <c r="L69" s="23"/>
      <c r="N69" s="6">
        <f ca="1" t="shared" si="5"/>
        <v>0</v>
      </c>
      <c r="O69" s="6">
        <f ca="1" t="shared" si="6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25"/>
      <c r="J70" s="6">
        <f ca="1" t="shared" si="4"/>
        <v>0</v>
      </c>
      <c r="K70" s="23"/>
      <c r="L70" s="23"/>
      <c r="N70" s="6">
        <f ca="1" t="shared" si="5"/>
        <v>0</v>
      </c>
      <c r="O70" s="6">
        <f ca="1" t="shared" si="6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25"/>
      <c r="J71" s="6">
        <f ca="1" t="shared" si="4"/>
        <v>0</v>
      </c>
      <c r="K71" s="23"/>
      <c r="L71" s="23"/>
      <c r="N71" s="6">
        <f ca="1" t="shared" si="5"/>
        <v>0</v>
      </c>
      <c r="O71" s="6">
        <f ca="1" t="shared" si="6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25"/>
      <c r="J72" s="6">
        <f ca="1" t="shared" si="4"/>
        <v>0</v>
      </c>
      <c r="K72" s="23"/>
      <c r="L72" s="23"/>
      <c r="N72" s="6">
        <f ca="1" t="shared" si="5"/>
        <v>0</v>
      </c>
      <c r="O72" s="6">
        <f ca="1" t="shared" si="6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25"/>
      <c r="J73" s="6">
        <f ca="1" t="shared" si="4"/>
        <v>0</v>
      </c>
      <c r="K73" s="23"/>
      <c r="L73" s="23"/>
      <c r="N73" s="6">
        <f ca="1" t="shared" si="5"/>
        <v>0</v>
      </c>
      <c r="O73" s="6">
        <f ca="1" t="shared" si="6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25"/>
      <c r="J74" s="6">
        <f ca="1" t="shared" si="4"/>
        <v>0</v>
      </c>
      <c r="K74" s="23"/>
      <c r="L74" s="23"/>
      <c r="N74" s="6">
        <f ca="1" t="shared" si="5"/>
        <v>0</v>
      </c>
      <c r="O74" s="6">
        <f ca="1" t="shared" si="6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25"/>
      <c r="J75" s="6">
        <f ca="1" t="shared" si="4"/>
        <v>0</v>
      </c>
      <c r="K75" s="23"/>
      <c r="L75" s="23"/>
      <c r="N75" s="6">
        <f ca="1" t="shared" si="5"/>
        <v>0</v>
      </c>
      <c r="O75" s="6">
        <f ca="1" t="shared" si="6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25"/>
      <c r="J76" s="6">
        <f ca="1" t="shared" si="4"/>
        <v>0</v>
      </c>
      <c r="K76" s="23"/>
      <c r="L76" s="23"/>
      <c r="N76" s="6">
        <f ca="1" t="shared" si="5"/>
        <v>0</v>
      </c>
      <c r="O76" s="6">
        <f ca="1" t="shared" si="6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25"/>
      <c r="J77" s="6">
        <f ca="1" t="shared" si="4"/>
        <v>0</v>
      </c>
      <c r="K77" s="23"/>
      <c r="L77" s="23"/>
      <c r="N77" s="6">
        <f ca="1" t="shared" si="5"/>
        <v>0</v>
      </c>
      <c r="O77" s="6">
        <f ca="1" t="shared" si="6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25"/>
      <c r="J78" s="6">
        <f ca="1" t="shared" si="4"/>
        <v>0</v>
      </c>
      <c r="K78" s="23"/>
      <c r="L78" s="23"/>
      <c r="N78" s="6">
        <f ca="1" t="shared" si="5"/>
        <v>0</v>
      </c>
      <c r="O78" s="6">
        <f ca="1" t="shared" si="6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25"/>
      <c r="J79" s="6">
        <f ca="1" t="shared" si="4"/>
        <v>0</v>
      </c>
      <c r="K79" s="23"/>
      <c r="L79" s="23"/>
      <c r="N79" s="6">
        <f ca="1" t="shared" si="5"/>
        <v>0</v>
      </c>
      <c r="O79" s="6">
        <f ca="1" t="shared" si="6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25"/>
      <c r="J80" s="6">
        <f ca="1" t="shared" si="4"/>
        <v>0</v>
      </c>
      <c r="K80" s="23"/>
      <c r="L80" s="23"/>
      <c r="N80" s="6">
        <f ca="1" t="shared" si="5"/>
        <v>0</v>
      </c>
      <c r="O80" s="6">
        <f ca="1" t="shared" si="6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25"/>
      <c r="J81" s="6">
        <f ca="1" t="shared" si="4"/>
        <v>0</v>
      </c>
      <c r="K81" s="23"/>
      <c r="L81" s="23"/>
      <c r="N81" s="6">
        <f ca="1" t="shared" si="5"/>
        <v>0</v>
      </c>
      <c r="O81" s="6">
        <f ca="1" t="shared" si="6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25"/>
      <c r="J82" s="6">
        <f ca="1" t="shared" si="4"/>
        <v>0</v>
      </c>
      <c r="K82" s="23"/>
      <c r="L82" s="23"/>
      <c r="N82" s="6">
        <f ca="1" t="shared" si="5"/>
        <v>0</v>
      </c>
      <c r="O82" s="6">
        <f ca="1" t="shared" si="6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25"/>
      <c r="J83" s="6">
        <f ca="1" t="shared" si="4"/>
        <v>0</v>
      </c>
      <c r="K83" s="23"/>
      <c r="L83" s="23"/>
      <c r="N83" s="6">
        <f ca="1" t="shared" si="5"/>
        <v>0</v>
      </c>
      <c r="O83" s="6">
        <f ca="1" t="shared" si="6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25"/>
      <c r="J84" s="6">
        <f ca="1" t="shared" si="4"/>
        <v>0</v>
      </c>
      <c r="K84" s="23"/>
      <c r="L84" s="23"/>
      <c r="N84" s="6">
        <f ca="1" t="shared" si="5"/>
        <v>0</v>
      </c>
      <c r="O84" s="6">
        <f ca="1" t="shared" si="6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25"/>
      <c r="J85" s="6">
        <f ca="1" t="shared" si="4"/>
        <v>0</v>
      </c>
      <c r="K85" s="23"/>
      <c r="L85" s="23"/>
      <c r="N85" s="6">
        <f ca="1" t="shared" si="5"/>
        <v>0</v>
      </c>
      <c r="O85" s="6">
        <f ca="1" t="shared" si="6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25"/>
      <c r="J86" s="6">
        <f ca="1" t="shared" si="4"/>
        <v>0</v>
      </c>
      <c r="K86" s="23"/>
      <c r="L86" s="23"/>
      <c r="N86" s="6">
        <f ca="1" t="shared" si="5"/>
        <v>0</v>
      </c>
      <c r="O86" s="6">
        <f ca="1" t="shared" si="6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25"/>
      <c r="J87" s="6">
        <f ca="1" t="shared" si="4"/>
        <v>0</v>
      </c>
      <c r="K87" s="23"/>
      <c r="L87" s="23"/>
      <c r="N87" s="6">
        <f ca="1" t="shared" si="5"/>
        <v>0</v>
      </c>
      <c r="O87" s="6">
        <f ca="1" t="shared" si="6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25"/>
      <c r="J88" s="6">
        <f ca="1" t="shared" si="4"/>
        <v>0</v>
      </c>
      <c r="K88" s="23"/>
      <c r="L88" s="23"/>
      <c r="N88" s="6">
        <f ca="1" t="shared" si="5"/>
        <v>0</v>
      </c>
      <c r="O88" s="6">
        <f ca="1" t="shared" si="6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25"/>
      <c r="J89" s="6">
        <f ca="1" t="shared" si="4"/>
        <v>0</v>
      </c>
      <c r="K89" s="23"/>
      <c r="L89" s="23"/>
      <c r="N89" s="6">
        <f ca="1" t="shared" si="5"/>
        <v>0</v>
      </c>
      <c r="O89" s="6">
        <f ca="1" t="shared" si="6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25"/>
      <c r="J90" s="6">
        <f ca="1" t="shared" si="4"/>
        <v>0</v>
      </c>
      <c r="K90" s="23"/>
      <c r="L90" s="23"/>
      <c r="N90" s="6">
        <f ca="1" t="shared" si="5"/>
        <v>0</v>
      </c>
      <c r="O90" s="6">
        <f ca="1" t="shared" si="6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25"/>
      <c r="J91" s="6">
        <f ca="1" t="shared" si="4"/>
        <v>0</v>
      </c>
      <c r="K91" s="23"/>
      <c r="L91" s="23"/>
      <c r="N91" s="6">
        <f ca="1" t="shared" si="5"/>
        <v>0</v>
      </c>
      <c r="O91" s="6">
        <f ca="1" t="shared" si="6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25"/>
      <c r="J92" s="6">
        <f ca="1" t="shared" si="4"/>
        <v>0</v>
      </c>
      <c r="K92" s="23"/>
      <c r="L92" s="23"/>
      <c r="N92" s="6">
        <f ca="1" t="shared" si="5"/>
        <v>0</v>
      </c>
      <c r="O92" s="6">
        <f ca="1" t="shared" si="6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25"/>
      <c r="J93" s="6">
        <f ca="1" t="shared" si="4"/>
        <v>0</v>
      </c>
      <c r="K93" s="23"/>
      <c r="L93" s="23"/>
      <c r="N93" s="6">
        <f ca="1" t="shared" si="5"/>
        <v>0</v>
      </c>
      <c r="O93" s="6">
        <f ca="1" t="shared" si="6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25"/>
      <c r="J94" s="6">
        <f ca="1" t="shared" si="4"/>
        <v>0</v>
      </c>
      <c r="K94" s="23"/>
      <c r="L94" s="23"/>
      <c r="N94" s="6">
        <f ca="1" t="shared" si="5"/>
        <v>0</v>
      </c>
      <c r="O94" s="6">
        <f ca="1" t="shared" si="6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25"/>
      <c r="J95" s="6">
        <f ca="1" t="shared" si="4"/>
        <v>0</v>
      </c>
      <c r="K95" s="23"/>
      <c r="L95" s="23"/>
      <c r="N95" s="6">
        <f ca="1" t="shared" si="5"/>
        <v>0</v>
      </c>
      <c r="O95" s="6">
        <f ca="1" t="shared" si="6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25"/>
      <c r="J96" s="6">
        <f ca="1" t="shared" si="4"/>
        <v>0</v>
      </c>
      <c r="K96" s="23"/>
      <c r="L96" s="23"/>
      <c r="N96" s="6">
        <f ca="1" t="shared" si="5"/>
        <v>0</v>
      </c>
      <c r="O96" s="6">
        <f ca="1" t="shared" si="6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25"/>
      <c r="J97" s="6">
        <f ca="1" t="shared" si="4"/>
        <v>0</v>
      </c>
      <c r="K97" s="23"/>
      <c r="L97" s="23"/>
      <c r="N97" s="6">
        <f ca="1" t="shared" si="5"/>
        <v>0</v>
      </c>
      <c r="O97" s="6">
        <f ca="1" t="shared" si="6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25"/>
      <c r="J98" s="6">
        <f ca="1" t="shared" si="4"/>
        <v>0</v>
      </c>
      <c r="K98" s="23"/>
      <c r="L98" s="23"/>
      <c r="N98" s="6">
        <f ca="1" t="shared" si="5"/>
        <v>0</v>
      </c>
      <c r="O98" s="6">
        <f ca="1" t="shared" si="6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25"/>
      <c r="J99" s="6">
        <f ca="1" t="shared" si="4"/>
        <v>0</v>
      </c>
      <c r="K99" s="23"/>
      <c r="L99" s="23"/>
      <c r="N99" s="6">
        <f ca="1" t="shared" si="5"/>
        <v>0</v>
      </c>
      <c r="O99" s="6">
        <f ca="1" t="shared" si="6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25"/>
      <c r="J100" s="6">
        <f ca="1" t="shared" si="4"/>
        <v>0</v>
      </c>
      <c r="K100" s="23"/>
      <c r="L100" s="23"/>
      <c r="N100" s="6">
        <f ca="1" t="shared" si="5"/>
        <v>0</v>
      </c>
      <c r="O100" s="6">
        <f ca="1" t="shared" si="6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25"/>
      <c r="I101" s="25"/>
      <c r="J101" s="6">
        <f t="shared" si="4"/>
        <v>0</v>
      </c>
      <c r="K101" s="23"/>
      <c r="L101" s="23"/>
      <c r="N101" s="6">
        <f t="shared" si="5"/>
        <v>0</v>
      </c>
      <c r="O101" s="6">
        <f t="shared" si="6"/>
        <v>0</v>
      </c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  <row r="180" s="21" customFormat="1" customHeight="1" spans="1:12">
      <c r="A180" s="22"/>
      <c r="B180" s="23"/>
      <c r="C180" s="24"/>
      <c r="D180" s="23"/>
      <c r="E180" s="23"/>
      <c r="F180" s="23"/>
      <c r="G180" s="23"/>
      <c r="H180" s="25"/>
      <c r="I180" s="25"/>
      <c r="J180" s="23"/>
      <c r="K180" s="23"/>
      <c r="L180" s="23"/>
    </row>
    <row r="181" s="21" customFormat="1" customHeight="1" spans="1:12">
      <c r="A181" s="22"/>
      <c r="B181" s="23"/>
      <c r="C181" s="24"/>
      <c r="D181" s="23"/>
      <c r="E181" s="23"/>
      <c r="F181" s="23"/>
      <c r="G181" s="23"/>
      <c r="H181" s="25"/>
      <c r="I181" s="25"/>
      <c r="J181" s="23"/>
      <c r="K181" s="23"/>
      <c r="L181" s="23"/>
    </row>
    <row r="182" s="21" customFormat="1" customHeight="1" spans="1:12">
      <c r="A182" s="22"/>
      <c r="B182" s="23"/>
      <c r="C182" s="24"/>
      <c r="D182" s="23"/>
      <c r="E182" s="23"/>
      <c r="F182" s="23"/>
      <c r="G182" s="23"/>
      <c r="H182" s="25"/>
      <c r="I182" s="25"/>
      <c r="J182" s="23"/>
      <c r="K182" s="23"/>
      <c r="L182" s="23"/>
    </row>
    <row r="183" s="21" customFormat="1" customHeight="1" spans="1:12">
      <c r="A183" s="22"/>
      <c r="B183" s="23"/>
      <c r="C183" s="24"/>
      <c r="D183" s="23"/>
      <c r="E183" s="23"/>
      <c r="F183" s="23"/>
      <c r="G183" s="23"/>
      <c r="H183" s="25"/>
      <c r="I183" s="25"/>
      <c r="J183" s="23"/>
      <c r="K183" s="23"/>
      <c r="L183" s="23"/>
    </row>
    <row r="184" s="21" customFormat="1" customHeight="1" spans="1:12">
      <c r="A184" s="22"/>
      <c r="B184" s="23"/>
      <c r="C184" s="24"/>
      <c r="D184" s="23"/>
      <c r="E184" s="23"/>
      <c r="F184" s="23"/>
      <c r="G184" s="23"/>
      <c r="H184" s="25"/>
      <c r="I184" s="25"/>
      <c r="J184" s="23"/>
      <c r="K184" s="23"/>
      <c r="L184" s="23"/>
    </row>
    <row r="185" s="21" customFormat="1" customHeight="1" spans="1:12">
      <c r="A185" s="22"/>
      <c r="B185" s="23"/>
      <c r="C185" s="24"/>
      <c r="D185" s="23"/>
      <c r="E185" s="23"/>
      <c r="F185" s="23"/>
      <c r="G185" s="23"/>
      <c r="H185" s="25"/>
      <c r="I185" s="25"/>
      <c r="J185" s="23"/>
      <c r="K185" s="23"/>
      <c r="L185" s="23"/>
    </row>
    <row r="186" s="21" customFormat="1" customHeight="1" spans="1:12">
      <c r="A186" s="22"/>
      <c r="B186" s="23"/>
      <c r="C186" s="24"/>
      <c r="D186" s="23"/>
      <c r="E186" s="23"/>
      <c r="F186" s="23"/>
      <c r="G186" s="23"/>
      <c r="H186" s="25"/>
      <c r="I186" s="25"/>
      <c r="J186" s="23"/>
      <c r="K186" s="23"/>
      <c r="L186" s="23"/>
    </row>
    <row r="187" s="21" customFormat="1" customHeight="1" spans="1:12">
      <c r="A187" s="22"/>
      <c r="B187" s="23"/>
      <c r="C187" s="24"/>
      <c r="D187" s="23"/>
      <c r="E187" s="23"/>
      <c r="F187" s="23"/>
      <c r="G187" s="23"/>
      <c r="H187" s="25"/>
      <c r="I187" s="25"/>
      <c r="J187" s="23"/>
      <c r="K187" s="23"/>
      <c r="L187" s="23"/>
    </row>
    <row r="188" s="21" customFormat="1" customHeight="1" spans="1:12">
      <c r="A188" s="22"/>
      <c r="B188" s="23"/>
      <c r="C188" s="24"/>
      <c r="D188" s="23"/>
      <c r="E188" s="23"/>
      <c r="F188" s="23"/>
      <c r="G188" s="23"/>
      <c r="H188" s="25"/>
      <c r="I188" s="25"/>
      <c r="J188" s="23"/>
      <c r="K188" s="23"/>
      <c r="L188" s="23"/>
    </row>
    <row r="189" s="21" customFormat="1" customHeight="1" spans="1:12">
      <c r="A189" s="22"/>
      <c r="B189" s="23"/>
      <c r="C189" s="24"/>
      <c r="D189" s="23"/>
      <c r="E189" s="23"/>
      <c r="F189" s="23"/>
      <c r="G189" s="23"/>
      <c r="H189" s="25"/>
      <c r="I189" s="25"/>
      <c r="J189" s="23"/>
      <c r="K189" s="23"/>
      <c r="L189" s="23"/>
    </row>
    <row r="190" s="21" customFormat="1" customHeight="1" spans="1:12">
      <c r="A190" s="22"/>
      <c r="B190" s="23"/>
      <c r="C190" s="24"/>
      <c r="D190" s="23"/>
      <c r="E190" s="23"/>
      <c r="F190" s="23"/>
      <c r="G190" s="23"/>
      <c r="H190" s="25"/>
      <c r="I190" s="25"/>
      <c r="J190" s="23"/>
      <c r="K190" s="23"/>
      <c r="L190" s="23"/>
    </row>
    <row r="191" s="21" customFormat="1" customHeight="1" spans="1:12">
      <c r="A191" s="22"/>
      <c r="B191" s="23"/>
      <c r="C191" s="24"/>
      <c r="D191" s="23"/>
      <c r="E191" s="23"/>
      <c r="F191" s="23"/>
      <c r="G191" s="23"/>
      <c r="H191" s="25"/>
      <c r="I191" s="25"/>
      <c r="J191" s="23"/>
      <c r="K191" s="23"/>
      <c r="L191" s="23"/>
    </row>
    <row r="192" s="21" customFormat="1" customHeight="1" spans="1:12">
      <c r="A192" s="22"/>
      <c r="B192" s="23"/>
      <c r="C192" s="24"/>
      <c r="D192" s="23"/>
      <c r="E192" s="23"/>
      <c r="F192" s="23"/>
      <c r="G192" s="23"/>
      <c r="H192" s="25"/>
      <c r="I192" s="25"/>
      <c r="J192" s="23"/>
      <c r="K192" s="23"/>
      <c r="L192" s="23"/>
    </row>
    <row r="193" s="21" customFormat="1" customHeight="1" spans="1:12">
      <c r="A193" s="22"/>
      <c r="B193" s="23"/>
      <c r="C193" s="24"/>
      <c r="D193" s="23"/>
      <c r="E193" s="23"/>
      <c r="F193" s="23"/>
      <c r="G193" s="23"/>
      <c r="H193" s="25"/>
      <c r="I193" s="25"/>
      <c r="J193" s="23"/>
      <c r="K193" s="23"/>
      <c r="L193" s="23"/>
    </row>
    <row r="194" s="21" customFormat="1" customHeight="1" spans="1:12">
      <c r="A194" s="22"/>
      <c r="B194" s="23"/>
      <c r="C194" s="24"/>
      <c r="D194" s="23"/>
      <c r="E194" s="23"/>
      <c r="F194" s="23"/>
      <c r="G194" s="23"/>
      <c r="H194" s="25"/>
      <c r="I194" s="25"/>
      <c r="J194" s="23"/>
      <c r="K194" s="23"/>
      <c r="L194" s="23"/>
    </row>
    <row r="195" s="21" customFormat="1" customHeight="1" spans="1:12">
      <c r="A195" s="22"/>
      <c r="B195" s="23"/>
      <c r="C195" s="24"/>
      <c r="D195" s="23"/>
      <c r="E195" s="23"/>
      <c r="F195" s="23"/>
      <c r="G195" s="23"/>
      <c r="H195" s="25"/>
      <c r="I195" s="25"/>
      <c r="J195" s="23"/>
      <c r="K195" s="23"/>
      <c r="L195" s="23"/>
    </row>
    <row r="196" s="21" customFormat="1" customHeight="1" spans="1:12">
      <c r="A196" s="22"/>
      <c r="B196" s="23"/>
      <c r="C196" s="24"/>
      <c r="D196" s="23"/>
      <c r="E196" s="23"/>
      <c r="F196" s="23"/>
      <c r="G196" s="23"/>
      <c r="H196" s="25"/>
      <c r="I196" s="25"/>
      <c r="J196" s="23"/>
      <c r="K196" s="23"/>
      <c r="L196" s="23"/>
    </row>
    <row r="197" s="21" customFormat="1" customHeight="1" spans="1:12">
      <c r="A197" s="22"/>
      <c r="B197" s="23"/>
      <c r="C197" s="24"/>
      <c r="D197" s="23"/>
      <c r="E197" s="23"/>
      <c r="F197" s="23"/>
      <c r="G197" s="23"/>
      <c r="H197" s="25"/>
      <c r="I197" s="25"/>
      <c r="J197" s="23"/>
      <c r="K197" s="23"/>
      <c r="L197" s="23"/>
    </row>
    <row r="198" s="21" customFormat="1" customHeight="1" spans="1:12">
      <c r="A198" s="22"/>
      <c r="B198" s="23"/>
      <c r="C198" s="24"/>
      <c r="D198" s="23"/>
      <c r="E198" s="23"/>
      <c r="F198" s="23"/>
      <c r="G198" s="23"/>
      <c r="H198" s="25"/>
      <c r="I198" s="25"/>
      <c r="J198" s="23"/>
      <c r="K198" s="23"/>
      <c r="L198" s="23"/>
    </row>
    <row r="199" s="21" customFormat="1" customHeight="1" spans="1:12">
      <c r="A199" s="22"/>
      <c r="B199" s="23"/>
      <c r="C199" s="24"/>
      <c r="D199" s="23"/>
      <c r="E199" s="23"/>
      <c r="F199" s="23"/>
      <c r="G199" s="23"/>
      <c r="H199" s="25"/>
      <c r="I199" s="25"/>
      <c r="J199" s="23"/>
      <c r="K199" s="23"/>
      <c r="L199" s="23"/>
    </row>
    <row r="200" s="21" customFormat="1" customHeight="1" spans="1:12">
      <c r="A200" s="22"/>
      <c r="B200" s="23"/>
      <c r="C200" s="24"/>
      <c r="D200" s="23"/>
      <c r="E200" s="23"/>
      <c r="F200" s="23"/>
      <c r="G200" s="23"/>
      <c r="H200" s="25"/>
      <c r="I200" s="25"/>
      <c r="J200" s="23"/>
      <c r="K200" s="23"/>
      <c r="L200" s="23"/>
    </row>
    <row r="201" s="21" customFormat="1" customHeight="1" spans="1:12">
      <c r="A201" s="22"/>
      <c r="B201" s="23"/>
      <c r="C201" s="24"/>
      <c r="D201" s="23"/>
      <c r="E201" s="23"/>
      <c r="F201" s="23"/>
      <c r="G201" s="23"/>
      <c r="H201" s="25"/>
      <c r="I201" s="25"/>
      <c r="J201" s="23"/>
      <c r="K201" s="23"/>
      <c r="L201" s="23"/>
    </row>
    <row r="202" s="21" customFormat="1" customHeight="1" spans="1:12">
      <c r="A202" s="22"/>
      <c r="B202" s="23"/>
      <c r="C202" s="24"/>
      <c r="D202" s="23"/>
      <c r="E202" s="23"/>
      <c r="F202" s="23"/>
      <c r="G202" s="23"/>
      <c r="H202" s="25"/>
      <c r="I202" s="25"/>
      <c r="J202" s="23"/>
      <c r="K202" s="23"/>
      <c r="L202" s="23"/>
    </row>
    <row r="203" s="21" customFormat="1" customHeight="1" spans="1:12">
      <c r="A203" s="22"/>
      <c r="B203" s="23"/>
      <c r="C203" s="24"/>
      <c r="D203" s="23"/>
      <c r="E203" s="23"/>
      <c r="F203" s="23"/>
      <c r="G203" s="23"/>
      <c r="H203" s="25"/>
      <c r="I203" s="25"/>
      <c r="J203" s="23"/>
      <c r="K203" s="23"/>
      <c r="L203" s="23"/>
    </row>
    <row r="204" s="21" customFormat="1" customHeight="1" spans="1:12">
      <c r="A204" s="22"/>
      <c r="B204" s="23"/>
      <c r="C204" s="24"/>
      <c r="D204" s="23"/>
      <c r="E204" s="23"/>
      <c r="F204" s="23"/>
      <c r="G204" s="23"/>
      <c r="H204" s="25"/>
      <c r="I204" s="25"/>
      <c r="J204" s="23"/>
      <c r="K204" s="23"/>
      <c r="L204" s="23"/>
    </row>
    <row r="205" s="21" customFormat="1" customHeight="1" spans="1:12">
      <c r="A205" s="22"/>
      <c r="B205" s="23"/>
      <c r="C205" s="24"/>
      <c r="D205" s="23"/>
      <c r="E205" s="23"/>
      <c r="F205" s="23"/>
      <c r="G205" s="23"/>
      <c r="H205" s="25"/>
      <c r="I205" s="25"/>
      <c r="J205" s="23"/>
      <c r="K205" s="23"/>
      <c r="L205" s="23"/>
    </row>
    <row r="206" s="21" customFormat="1" customHeight="1" spans="1:12">
      <c r="A206" s="22"/>
      <c r="B206" s="23"/>
      <c r="C206" s="24"/>
      <c r="D206" s="23"/>
      <c r="E206" s="23"/>
      <c r="F206" s="23"/>
      <c r="G206" s="23"/>
      <c r="H206" s="25"/>
      <c r="I206" s="25"/>
      <c r="J206" s="23"/>
      <c r="K206" s="23"/>
      <c r="L206" s="23"/>
    </row>
    <row r="207" s="21" customFormat="1" customHeight="1" spans="1:12">
      <c r="A207" s="22"/>
      <c r="B207" s="23"/>
      <c r="C207" s="24"/>
      <c r="D207" s="23"/>
      <c r="E207" s="23"/>
      <c r="F207" s="23"/>
      <c r="G207" s="23"/>
      <c r="H207" s="25"/>
      <c r="I207" s="25"/>
      <c r="J207" s="23"/>
      <c r="K207" s="23"/>
      <c r="L207" s="23"/>
    </row>
    <row r="208" s="21" customFormat="1" customHeight="1" spans="1:12">
      <c r="A208" s="22"/>
      <c r="B208" s="23"/>
      <c r="C208" s="24"/>
      <c r="D208" s="23"/>
      <c r="E208" s="23"/>
      <c r="F208" s="23"/>
      <c r="G208" s="23"/>
      <c r="H208" s="25"/>
      <c r="I208" s="25"/>
      <c r="J208" s="23"/>
      <c r="K208" s="23"/>
      <c r="L208" s="23"/>
    </row>
  </sheetData>
  <sheetCalcPr fullCalcOnLoad="1"/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190"/>
  <sheetViews>
    <sheetView workbookViewId="0">
      <pane ySplit="1" topLeftCell="A43" activePane="bottomLeft" state="frozen"/>
      <selection/>
      <selection pane="bottomLeft" activeCell="C2" sqref="C2"/>
    </sheetView>
  </sheetViews>
  <sheetFormatPr defaultColWidth="9" defaultRowHeight="14.25" customHeight="1"/>
  <cols>
    <col min="1" max="1" width="8.125" style="46" customWidth="1"/>
    <col min="2" max="2" width="15.625" style="32" customWidth="1"/>
    <col min="3" max="3" width="15.625" style="33" customWidth="1"/>
    <col min="4" max="4" width="12.625" style="32" customWidth="1"/>
    <col min="5" max="6" width="14.125" style="32"/>
    <col min="7" max="7" width="9" style="32"/>
    <col min="8" max="8" width="14.125" style="34"/>
    <col min="9" max="9" width="11" style="34" customWidth="1"/>
    <col min="10" max="10" width="9.875" style="32" customWidth="1"/>
    <col min="11" max="12" width="9" style="32"/>
    <col min="13" max="14" width="9" style="30"/>
    <col min="15" max="15" width="14.125" style="30"/>
    <col min="16" max="16384" width="9" style="30"/>
  </cols>
  <sheetData>
    <row r="1" s="30" customFormat="1" ht="40.5" spans="1:17">
      <c r="A1" s="47" t="s">
        <v>0</v>
      </c>
      <c r="B1" s="35" t="s">
        <v>1</v>
      </c>
      <c r="C1" s="2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</row>
    <row r="2" s="30" customFormat="1" ht="20" customHeight="1" spans="1:17">
      <c r="A2" s="48">
        <v>46082</v>
      </c>
      <c r="B2" s="37">
        <v>9.5</v>
      </c>
      <c r="C2" s="38">
        <f ca="1">SUM(O2:O4)/B2</f>
        <v>0.978362573099415</v>
      </c>
      <c r="D2" s="39" t="s">
        <v>54</v>
      </c>
      <c r="E2" s="39" t="s">
        <v>55</v>
      </c>
      <c r="F2" s="37">
        <v>1150</v>
      </c>
      <c r="G2" s="39" t="s">
        <v>56</v>
      </c>
      <c r="H2" s="37">
        <f ca="1" t="array" ref="H2">INDEX(成本核算表!J:J,MATCH(1,(成本核算表!D:D=E2)*(成本核算表!C:C=G2),0))</f>
        <v>15</v>
      </c>
      <c r="I2" s="37">
        <v>520</v>
      </c>
      <c r="J2" s="37">
        <f ca="1" t="shared" ref="J2:J65" si="0">H2*I2</f>
        <v>7800</v>
      </c>
      <c r="K2" s="37"/>
      <c r="L2" s="37"/>
      <c r="M2" s="37"/>
      <c r="N2" s="37">
        <f ca="1" t="shared" ref="N2:N65" si="1">J2-M2+L2</f>
        <v>7800</v>
      </c>
      <c r="O2" s="37">
        <f ca="1" t="shared" ref="O2:O65" si="2">N2/3600</f>
        <v>2.16666666666667</v>
      </c>
      <c r="P2" s="37"/>
      <c r="Q2" s="37"/>
    </row>
    <row r="3" s="30" customFormat="1" ht="20" customHeight="1" spans="1:17">
      <c r="A3" s="48">
        <v>46082</v>
      </c>
      <c r="B3" s="37"/>
      <c r="C3" s="38"/>
      <c r="D3" s="39" t="s">
        <v>54</v>
      </c>
      <c r="E3" s="39" t="s">
        <v>55</v>
      </c>
      <c r="F3" s="37">
        <v>1150</v>
      </c>
      <c r="G3" s="39" t="s">
        <v>57</v>
      </c>
      <c r="H3" s="37">
        <f ca="1" t="array" ref="H3">INDEX(成本核算表!J:J,MATCH(1,(成本核算表!D:D=E3)*(成本核算表!C:C=G3),0))</f>
        <v>25</v>
      </c>
      <c r="I3" s="37">
        <v>522</v>
      </c>
      <c r="J3" s="37">
        <f ca="1" t="shared" si="0"/>
        <v>13050</v>
      </c>
      <c r="K3" s="37">
        <f>2*2</f>
        <v>4</v>
      </c>
      <c r="L3" s="37"/>
      <c r="M3" s="37">
        <f ca="1">K3*H3</f>
        <v>100</v>
      </c>
      <c r="N3" s="37">
        <f ca="1" t="shared" si="1"/>
        <v>12950</v>
      </c>
      <c r="O3" s="37">
        <f ca="1" t="shared" si="2"/>
        <v>3.59722222222222</v>
      </c>
      <c r="P3" s="37"/>
      <c r="Q3" s="37"/>
    </row>
    <row r="4" s="30" customFormat="1" ht="20" customHeight="1" spans="1:17">
      <c r="A4" s="48">
        <v>46082</v>
      </c>
      <c r="B4" s="37"/>
      <c r="C4" s="38"/>
      <c r="D4" s="39" t="s">
        <v>40</v>
      </c>
      <c r="E4" s="39" t="s">
        <v>36</v>
      </c>
      <c r="F4" s="37">
        <v>119.5</v>
      </c>
      <c r="G4" s="39" t="s">
        <v>58</v>
      </c>
      <c r="H4" s="37">
        <f ca="1" t="array" ref="H4">INDEX(成本核算表!J:J,MATCH(1,(成本核算表!D:D=E4)*(成本核算表!C:C=G4),0))</f>
        <v>10</v>
      </c>
      <c r="I4" s="37">
        <v>1271</v>
      </c>
      <c r="J4" s="37">
        <f ca="1" t="shared" si="0"/>
        <v>12710</v>
      </c>
      <c r="K4" s="37"/>
      <c r="L4" s="37"/>
      <c r="M4" s="37"/>
      <c r="N4" s="37">
        <f ca="1" t="shared" si="1"/>
        <v>12710</v>
      </c>
      <c r="O4" s="37">
        <f ca="1" t="shared" si="2"/>
        <v>3.53055555555556</v>
      </c>
      <c r="P4" s="37"/>
      <c r="Q4" s="37"/>
    </row>
    <row r="5" s="30" customFormat="1" ht="20" customHeight="1" spans="1:17">
      <c r="A5" s="48">
        <v>46083</v>
      </c>
      <c r="B5" s="37">
        <v>11</v>
      </c>
      <c r="C5" s="38">
        <f ca="1">SUM(O5:O7)/B5</f>
        <v>0.909015151515152</v>
      </c>
      <c r="D5" s="39" t="s">
        <v>40</v>
      </c>
      <c r="E5" s="39" t="s">
        <v>36</v>
      </c>
      <c r="F5" s="37">
        <v>119.5</v>
      </c>
      <c r="G5" s="5" t="s">
        <v>53</v>
      </c>
      <c r="H5" s="37">
        <f ca="1" t="array" ref="H5">INDEX(成本核算表!J:J,MATCH(1,(成本核算表!D:D=E5)*(成本核算表!C:C=G5),0))</f>
        <v>12</v>
      </c>
      <c r="I5" s="37">
        <v>596</v>
      </c>
      <c r="J5" s="37">
        <f ca="1" t="shared" si="0"/>
        <v>7152</v>
      </c>
      <c r="K5" s="37"/>
      <c r="L5" s="37"/>
      <c r="M5" s="37"/>
      <c r="N5" s="37">
        <f ca="1" t="shared" si="1"/>
        <v>7152</v>
      </c>
      <c r="O5" s="37">
        <f ca="1" t="shared" si="2"/>
        <v>1.98666666666667</v>
      </c>
      <c r="P5" s="37"/>
      <c r="Q5" s="37"/>
    </row>
    <row r="6" s="30" customFormat="1" ht="20" customHeight="1" spans="1:17">
      <c r="A6" s="48">
        <v>46083</v>
      </c>
      <c r="B6" s="37"/>
      <c r="C6" s="38"/>
      <c r="D6" s="5" t="s">
        <v>35</v>
      </c>
      <c r="E6" s="39" t="s">
        <v>36</v>
      </c>
      <c r="F6" s="37">
        <v>119.5</v>
      </c>
      <c r="G6" s="5" t="s">
        <v>53</v>
      </c>
      <c r="H6" s="37">
        <f ca="1" t="array" ref="H6">INDEX(成本核算表!J:J,MATCH(1,(成本核算表!D:D=E6)*(成本核算表!C:C=G6),0))</f>
        <v>12</v>
      </c>
      <c r="I6" s="37">
        <v>1160</v>
      </c>
      <c r="J6" s="37">
        <f ca="1" t="shared" si="0"/>
        <v>13920</v>
      </c>
      <c r="K6" s="37"/>
      <c r="L6" s="37"/>
      <c r="M6" s="37"/>
      <c r="N6" s="37">
        <f ca="1" t="shared" si="1"/>
        <v>13920</v>
      </c>
      <c r="O6" s="37">
        <f ca="1" t="shared" si="2"/>
        <v>3.86666666666667</v>
      </c>
      <c r="P6" s="37"/>
      <c r="Q6" s="37"/>
    </row>
    <row r="7" s="30" customFormat="1" ht="20" customHeight="1" spans="1:17">
      <c r="A7" s="48">
        <v>46083</v>
      </c>
      <c r="B7" s="37"/>
      <c r="C7" s="38"/>
      <c r="D7" s="5" t="s">
        <v>59</v>
      </c>
      <c r="E7" s="5" t="s">
        <v>60</v>
      </c>
      <c r="F7" s="37">
        <v>1990</v>
      </c>
      <c r="G7" s="5" t="s">
        <v>61</v>
      </c>
      <c r="H7" s="37">
        <f ca="1" t="array" ref="H7">INDEX(成本核算表!J:J,MATCH(1,(成本核算表!D:D=E7)*(成本核算表!C:C=G7),0))</f>
        <v>25</v>
      </c>
      <c r="I7" s="37">
        <v>597</v>
      </c>
      <c r="J7" s="37">
        <f ca="1" t="shared" si="0"/>
        <v>14925</v>
      </c>
      <c r="K7" s="37"/>
      <c r="L7" s="37"/>
      <c r="M7" s="37"/>
      <c r="N7" s="37">
        <f ca="1" t="shared" si="1"/>
        <v>14925</v>
      </c>
      <c r="O7" s="37">
        <f ca="1" t="shared" si="2"/>
        <v>4.14583333333333</v>
      </c>
      <c r="P7" s="37"/>
      <c r="Q7" s="37"/>
    </row>
    <row r="8" s="30" customFormat="1" ht="20" customHeight="1" spans="1:17">
      <c r="A8" s="48">
        <v>46084</v>
      </c>
      <c r="B8" s="37">
        <v>11</v>
      </c>
      <c r="C8" s="38">
        <f ca="1">SUM(O8:O9)/B8</f>
        <v>1.01535353535354</v>
      </c>
      <c r="D8" s="39" t="s">
        <v>40</v>
      </c>
      <c r="E8" s="39" t="s">
        <v>36</v>
      </c>
      <c r="F8" s="37">
        <v>119.5</v>
      </c>
      <c r="G8" s="39" t="s">
        <v>53</v>
      </c>
      <c r="H8" s="37">
        <f ca="1" t="array" ref="H8">INDEX(成本核算表!J:J,MATCH(1,(成本核算表!D:D=E8)*(成本核算表!C:C=G8),0))</f>
        <v>12</v>
      </c>
      <c r="I8" s="37">
        <f>1313+750</f>
        <v>2063</v>
      </c>
      <c r="J8" s="37">
        <f ca="1" t="shared" si="0"/>
        <v>24756</v>
      </c>
      <c r="K8" s="37"/>
      <c r="L8" s="37"/>
      <c r="M8" s="37"/>
      <c r="N8" s="37">
        <f ca="1" t="shared" si="1"/>
        <v>24756</v>
      </c>
      <c r="O8" s="37">
        <f ca="1" t="shared" si="2"/>
        <v>6.87666666666667</v>
      </c>
      <c r="P8" s="37"/>
      <c r="Q8" s="37"/>
    </row>
    <row r="9" s="30" customFormat="1" ht="20" customHeight="1" spans="1:17">
      <c r="A9" s="48">
        <v>46084</v>
      </c>
      <c r="B9" s="37"/>
      <c r="C9" s="38"/>
      <c r="D9" s="39" t="s">
        <v>40</v>
      </c>
      <c r="E9" s="39" t="s">
        <v>36</v>
      </c>
      <c r="F9" s="37">
        <v>119.5</v>
      </c>
      <c r="G9" s="5" t="s">
        <v>30</v>
      </c>
      <c r="H9" s="37">
        <f ca="1" t="array" ref="H9">INDEX(成本核算表!J:J,MATCH(1,(成本核算表!D:D=E9)*(成本核算表!C:C=G9),0))</f>
        <v>4</v>
      </c>
      <c r="I9" s="37">
        <f>1313+750</f>
        <v>2063</v>
      </c>
      <c r="J9" s="37">
        <f ca="1" t="shared" si="0"/>
        <v>8252</v>
      </c>
      <c r="K9" s="37"/>
      <c r="L9" s="37">
        <v>7200</v>
      </c>
      <c r="M9" s="37"/>
      <c r="N9" s="37">
        <f ca="1" t="shared" si="1"/>
        <v>15452</v>
      </c>
      <c r="O9" s="37">
        <f ca="1" t="shared" si="2"/>
        <v>4.29222222222222</v>
      </c>
      <c r="P9" s="37"/>
      <c r="Q9" s="37"/>
    </row>
    <row r="10" s="30" customFormat="1" ht="20" customHeight="1" spans="1:17">
      <c r="A10" s="48">
        <v>46085</v>
      </c>
      <c r="B10" s="37">
        <v>11</v>
      </c>
      <c r="C10" s="38">
        <f ca="1">SUM(O10:O15)/B10</f>
        <v>1.08270202020202</v>
      </c>
      <c r="D10" s="5" t="s">
        <v>62</v>
      </c>
      <c r="E10" s="5" t="s">
        <v>55</v>
      </c>
      <c r="F10" s="37">
        <v>950</v>
      </c>
      <c r="G10" s="39" t="s">
        <v>56</v>
      </c>
      <c r="H10" s="37">
        <f ca="1" t="array" ref="H10">INDEX(成本核算表!J:J,MATCH(1,(成本核算表!D:D=E10)*(成本核算表!C:C=G10),0))</f>
        <v>15</v>
      </c>
      <c r="I10" s="37">
        <v>610</v>
      </c>
      <c r="J10" s="37">
        <f ca="1" t="shared" si="0"/>
        <v>9150</v>
      </c>
      <c r="K10" s="37"/>
      <c r="L10" s="37"/>
      <c r="M10" s="37"/>
      <c r="N10" s="37">
        <f ca="1" t="shared" si="1"/>
        <v>9150</v>
      </c>
      <c r="O10" s="37">
        <f ca="1" t="shared" si="2"/>
        <v>2.54166666666667</v>
      </c>
      <c r="P10" s="37"/>
      <c r="Q10" s="37"/>
    </row>
    <row r="11" s="30" customFormat="1" ht="20" customHeight="1" spans="1:17">
      <c r="A11" s="48">
        <v>46085</v>
      </c>
      <c r="B11" s="37"/>
      <c r="C11" s="38"/>
      <c r="D11" s="5" t="s">
        <v>62</v>
      </c>
      <c r="E11" s="5" t="s">
        <v>55</v>
      </c>
      <c r="F11" s="37">
        <v>950</v>
      </c>
      <c r="G11" s="39" t="s">
        <v>57</v>
      </c>
      <c r="H11" s="37">
        <f ca="1" t="array" ref="H11">INDEX(成本核算表!J:J,MATCH(1,(成本核算表!D:D=E11)*(成本核算表!C:C=G11),0))</f>
        <v>25</v>
      </c>
      <c r="I11" s="37">
        <v>610</v>
      </c>
      <c r="J11" s="37">
        <f ca="1" t="shared" si="0"/>
        <v>15250</v>
      </c>
      <c r="K11" s="37"/>
      <c r="L11" s="37"/>
      <c r="M11" s="37"/>
      <c r="N11" s="37">
        <f ca="1" t="shared" si="1"/>
        <v>15250</v>
      </c>
      <c r="O11" s="37">
        <f ca="1" t="shared" si="2"/>
        <v>4.23611111111111</v>
      </c>
      <c r="P11" s="37"/>
      <c r="Q11" s="37"/>
    </row>
    <row r="12" s="30" customFormat="1" ht="20" customHeight="1" spans="1:17">
      <c r="A12" s="48">
        <v>46085</v>
      </c>
      <c r="B12" s="37"/>
      <c r="C12" s="38"/>
      <c r="D12" s="5" t="s">
        <v>63</v>
      </c>
      <c r="E12" s="5" t="s">
        <v>55</v>
      </c>
      <c r="F12" s="37">
        <v>950</v>
      </c>
      <c r="G12" s="39" t="s">
        <v>56</v>
      </c>
      <c r="H12" s="37">
        <f ca="1" t="array" ref="H12">INDEX(成本核算表!J:J,MATCH(1,(成本核算表!D:D=E12)*(成本核算表!C:C=G12),0))</f>
        <v>15</v>
      </c>
      <c r="I12" s="37">
        <v>90</v>
      </c>
      <c r="J12" s="37">
        <f ca="1" t="shared" si="0"/>
        <v>1350</v>
      </c>
      <c r="K12" s="37"/>
      <c r="L12" s="37"/>
      <c r="M12" s="37"/>
      <c r="N12" s="37">
        <f ca="1" t="shared" si="1"/>
        <v>1350</v>
      </c>
      <c r="O12" s="37">
        <f ca="1" t="shared" si="2"/>
        <v>0.375</v>
      </c>
      <c r="P12" s="37"/>
      <c r="Q12" s="37"/>
    </row>
    <row r="13" s="30" customFormat="1" ht="20" customHeight="1" spans="1:17">
      <c r="A13" s="48">
        <v>46085</v>
      </c>
      <c r="B13" s="37"/>
      <c r="C13" s="38"/>
      <c r="D13" s="5" t="s">
        <v>63</v>
      </c>
      <c r="E13" s="5" t="s">
        <v>55</v>
      </c>
      <c r="F13" s="37">
        <v>950</v>
      </c>
      <c r="G13" s="39" t="s">
        <v>57</v>
      </c>
      <c r="H13" s="37">
        <f ca="1" t="array" ref="H13">INDEX(成本核算表!J:J,MATCH(1,(成本核算表!D:D=E13)*(成本核算表!C:C=G13),0))</f>
        <v>25</v>
      </c>
      <c r="I13" s="37">
        <v>90</v>
      </c>
      <c r="J13" s="37">
        <f ca="1" t="shared" si="0"/>
        <v>2250</v>
      </c>
      <c r="K13" s="37"/>
      <c r="L13" s="37"/>
      <c r="M13" s="37"/>
      <c r="N13" s="37">
        <f ca="1" t="shared" si="1"/>
        <v>2250</v>
      </c>
      <c r="O13" s="37">
        <f ca="1" t="shared" si="2"/>
        <v>0.625</v>
      </c>
      <c r="P13" s="37"/>
      <c r="Q13" s="37"/>
    </row>
    <row r="14" s="30" customFormat="1" ht="20" customHeight="1" spans="1:17">
      <c r="A14" s="48">
        <v>46085</v>
      </c>
      <c r="B14" s="37"/>
      <c r="C14" s="38"/>
      <c r="D14" s="5" t="s">
        <v>64</v>
      </c>
      <c r="E14" s="5" t="s">
        <v>55</v>
      </c>
      <c r="F14" s="37">
        <v>950</v>
      </c>
      <c r="G14" s="39" t="s">
        <v>56</v>
      </c>
      <c r="H14" s="37">
        <f ca="1" t="array" ref="H14">INDEX(成本核算表!J:J,MATCH(1,(成本核算表!D:D=E14)*(成本核算表!C:C=G14),0))</f>
        <v>15</v>
      </c>
      <c r="I14" s="37">
        <v>360</v>
      </c>
      <c r="J14" s="37">
        <f ca="1" t="shared" si="0"/>
        <v>5400</v>
      </c>
      <c r="K14" s="37"/>
      <c r="L14" s="37"/>
      <c r="M14" s="37"/>
      <c r="N14" s="37">
        <f ca="1" t="shared" si="1"/>
        <v>5400</v>
      </c>
      <c r="O14" s="37">
        <f ca="1" t="shared" si="2"/>
        <v>1.5</v>
      </c>
      <c r="P14" s="37"/>
      <c r="Q14" s="37"/>
    </row>
    <row r="15" s="30" customFormat="1" ht="20" customHeight="1" spans="1:17">
      <c r="A15" s="48">
        <v>46085</v>
      </c>
      <c r="B15" s="37"/>
      <c r="C15" s="38"/>
      <c r="D15" s="5" t="s">
        <v>64</v>
      </c>
      <c r="E15" s="5" t="s">
        <v>55</v>
      </c>
      <c r="F15" s="37">
        <v>950</v>
      </c>
      <c r="G15" s="39" t="s">
        <v>57</v>
      </c>
      <c r="H15" s="37">
        <f ca="1" t="array" ref="H15">INDEX(成本核算表!J:J,MATCH(1,(成本核算表!D:D=E15)*(成本核算表!C:C=G15),0))</f>
        <v>25</v>
      </c>
      <c r="I15" s="37">
        <v>379</v>
      </c>
      <c r="J15" s="37">
        <f ca="1" t="shared" si="0"/>
        <v>9475</v>
      </c>
      <c r="K15" s="37"/>
      <c r="L15" s="37"/>
      <c r="M15" s="37"/>
      <c r="N15" s="37">
        <f ca="1" t="shared" si="1"/>
        <v>9475</v>
      </c>
      <c r="O15" s="37">
        <f ca="1" t="shared" si="2"/>
        <v>2.63194444444444</v>
      </c>
      <c r="P15" s="37"/>
      <c r="Q15" s="37"/>
    </row>
    <row r="16" s="30" customFormat="1" ht="20" customHeight="1" spans="1:17">
      <c r="A16" s="48">
        <v>46086</v>
      </c>
      <c r="B16" s="37">
        <v>11</v>
      </c>
      <c r="C16" s="38">
        <f ca="1" t="shared" ref="C16:C20" si="3">SUM(O16)/B16</f>
        <v>0.960606060606061</v>
      </c>
      <c r="D16" s="5" t="s">
        <v>35</v>
      </c>
      <c r="E16" s="39" t="s">
        <v>36</v>
      </c>
      <c r="F16" s="37">
        <v>119.5</v>
      </c>
      <c r="G16" s="5" t="s">
        <v>53</v>
      </c>
      <c r="H16" s="37">
        <f ca="1" t="array" ref="H16">INDEX(成本核算表!J:J,MATCH(1,(成本核算表!D:D=E16)*(成本核算表!C:C=G16),0))</f>
        <v>12</v>
      </c>
      <c r="I16" s="37">
        <v>3170</v>
      </c>
      <c r="J16" s="37">
        <f ca="1" t="shared" si="0"/>
        <v>38040</v>
      </c>
      <c r="K16" s="37"/>
      <c r="L16" s="37"/>
      <c r="M16" s="37"/>
      <c r="N16" s="37">
        <f ca="1" t="shared" si="1"/>
        <v>38040</v>
      </c>
      <c r="O16" s="37">
        <f ca="1" t="shared" si="2"/>
        <v>10.5666666666667</v>
      </c>
      <c r="P16" s="37"/>
      <c r="Q16" s="37"/>
    </row>
    <row r="17" s="30" customFormat="1" ht="20" customHeight="1" spans="1:17">
      <c r="A17" s="48">
        <v>46087</v>
      </c>
      <c r="B17" s="37">
        <v>11</v>
      </c>
      <c r="C17" s="38">
        <f ca="1" t="shared" si="3"/>
        <v>0.933333333333333</v>
      </c>
      <c r="D17" s="5" t="s">
        <v>35</v>
      </c>
      <c r="E17" s="39" t="s">
        <v>36</v>
      </c>
      <c r="F17" s="37">
        <v>119.5</v>
      </c>
      <c r="G17" s="5" t="s">
        <v>53</v>
      </c>
      <c r="H17" s="37">
        <f ca="1" t="array" ref="H17">INDEX(成本核算表!J:J,MATCH(1,(成本核算表!D:D=E17)*(成本核算表!C:C=G17),0))</f>
        <v>12</v>
      </c>
      <c r="I17" s="37">
        <v>3080</v>
      </c>
      <c r="J17" s="37">
        <f ca="1" t="shared" si="0"/>
        <v>36960</v>
      </c>
      <c r="K17" s="37"/>
      <c r="L17" s="37"/>
      <c r="M17" s="37"/>
      <c r="N17" s="37">
        <f ca="1" t="shared" si="1"/>
        <v>36960</v>
      </c>
      <c r="O17" s="37">
        <f ca="1" t="shared" si="2"/>
        <v>10.2666666666667</v>
      </c>
      <c r="P17" s="37"/>
      <c r="Q17" s="37"/>
    </row>
    <row r="18" s="30" customFormat="1" ht="20" customHeight="1" spans="1:17">
      <c r="A18" s="48">
        <v>46088</v>
      </c>
      <c r="B18" s="37">
        <v>11</v>
      </c>
      <c r="C18" s="38">
        <f ca="1">SUM(O18:O19)/B18</f>
        <v>1.00181818181818</v>
      </c>
      <c r="D18" s="5" t="s">
        <v>35</v>
      </c>
      <c r="E18" s="39" t="s">
        <v>36</v>
      </c>
      <c r="F18" s="37">
        <v>119.5</v>
      </c>
      <c r="G18" s="5" t="s">
        <v>53</v>
      </c>
      <c r="H18" s="37">
        <f ca="1" t="array" ref="H18">INDEX(成本核算表!J:J,MATCH(1,(成本核算表!D:D=E18)*(成本核算表!C:C=G18),0))</f>
        <v>12</v>
      </c>
      <c r="I18" s="37">
        <v>1156</v>
      </c>
      <c r="J18" s="37">
        <f ca="1" t="shared" si="0"/>
        <v>13872</v>
      </c>
      <c r="K18" s="37"/>
      <c r="L18" s="37">
        <v>18000</v>
      </c>
      <c r="M18" s="37"/>
      <c r="N18" s="37">
        <f ca="1" t="shared" si="1"/>
        <v>31872</v>
      </c>
      <c r="O18" s="37">
        <f ca="1" t="shared" si="2"/>
        <v>8.85333333333333</v>
      </c>
      <c r="P18" s="37"/>
      <c r="Q18" s="37"/>
    </row>
    <row r="19" s="30" customFormat="1" ht="20" customHeight="1" spans="1:17">
      <c r="A19" s="48">
        <v>46088</v>
      </c>
      <c r="B19" s="37"/>
      <c r="C19" s="38"/>
      <c r="D19" s="5" t="s">
        <v>40</v>
      </c>
      <c r="E19" s="39" t="s">
        <v>36</v>
      </c>
      <c r="F19" s="37">
        <v>119.5</v>
      </c>
      <c r="G19" s="5" t="s">
        <v>53</v>
      </c>
      <c r="H19" s="37">
        <f ca="1" t="array" ref="H19">INDEX(成本核算表!J:J,MATCH(1,(成本核算表!D:D=E19)*(成本核算表!C:C=G19),0))</f>
        <v>12</v>
      </c>
      <c r="I19" s="37">
        <v>650</v>
      </c>
      <c r="J19" s="37">
        <f ca="1" t="shared" si="0"/>
        <v>7800</v>
      </c>
      <c r="K19" s="37"/>
      <c r="L19" s="37"/>
      <c r="M19" s="37"/>
      <c r="N19" s="37">
        <f ca="1" t="shared" si="1"/>
        <v>7800</v>
      </c>
      <c r="O19" s="37">
        <f ca="1" t="shared" si="2"/>
        <v>2.16666666666667</v>
      </c>
      <c r="P19" s="37"/>
      <c r="Q19" s="37"/>
    </row>
    <row r="20" s="30" customFormat="1" ht="20" customHeight="1" spans="1:17">
      <c r="A20" s="48">
        <v>46089</v>
      </c>
      <c r="B20" s="37">
        <v>4</v>
      </c>
      <c r="C20" s="38">
        <f ca="1" t="shared" si="3"/>
        <v>0.833333333333333</v>
      </c>
      <c r="D20" s="5" t="s">
        <v>35</v>
      </c>
      <c r="E20" s="39" t="s">
        <v>36</v>
      </c>
      <c r="F20" s="37">
        <v>119.5</v>
      </c>
      <c r="G20" s="5" t="s">
        <v>53</v>
      </c>
      <c r="H20" s="37">
        <f ca="1" t="array" ref="H20">INDEX(成本核算表!J:J,MATCH(1,(成本核算表!D:D=E20)*(成本核算表!C:C=G20),0))</f>
        <v>12</v>
      </c>
      <c r="I20" s="37">
        <v>700</v>
      </c>
      <c r="J20" s="37">
        <f ca="1" t="shared" si="0"/>
        <v>8400</v>
      </c>
      <c r="K20" s="37"/>
      <c r="L20" s="37">
        <v>3600</v>
      </c>
      <c r="M20" s="37"/>
      <c r="N20" s="37">
        <f ca="1" t="shared" si="1"/>
        <v>12000</v>
      </c>
      <c r="O20" s="37">
        <f ca="1" t="shared" si="2"/>
        <v>3.33333333333333</v>
      </c>
      <c r="P20" s="37"/>
      <c r="Q20" s="37"/>
    </row>
    <row r="21" s="30" customFormat="1" ht="20" customHeight="1" spans="1:17">
      <c r="A21" s="48">
        <v>46090</v>
      </c>
      <c r="B21" s="37">
        <v>11</v>
      </c>
      <c r="C21" s="38">
        <f ca="1">SUM(O21:O24)/B21</f>
        <v>0.933762626262626</v>
      </c>
      <c r="D21" s="5" t="s">
        <v>65</v>
      </c>
      <c r="E21" s="5" t="s">
        <v>66</v>
      </c>
      <c r="F21" s="37">
        <v>1825</v>
      </c>
      <c r="G21" s="5" t="s">
        <v>44</v>
      </c>
      <c r="H21" s="37">
        <f ca="1" t="array" ref="H21">INDEX(成本核算表!J:J,MATCH(1,(成本核算表!D:D=E21)*(成本核算表!C:C=G21),0))</f>
        <v>25</v>
      </c>
      <c r="I21" s="37">
        <v>258</v>
      </c>
      <c r="J21" s="37">
        <f ca="1" t="shared" si="0"/>
        <v>6450</v>
      </c>
      <c r="K21" s="37"/>
      <c r="L21" s="37"/>
      <c r="M21" s="37"/>
      <c r="N21" s="37">
        <f ca="1" t="shared" si="1"/>
        <v>6450</v>
      </c>
      <c r="O21" s="37">
        <f ca="1" t="shared" si="2"/>
        <v>1.79166666666667</v>
      </c>
      <c r="P21" s="37"/>
      <c r="Q21" s="37"/>
    </row>
    <row r="22" s="30" customFormat="1" ht="20" customHeight="1" spans="1:17">
      <c r="A22" s="48">
        <v>46090</v>
      </c>
      <c r="B22" s="37"/>
      <c r="C22" s="38"/>
      <c r="D22" s="5" t="s">
        <v>67</v>
      </c>
      <c r="E22" s="5" t="s">
        <v>66</v>
      </c>
      <c r="F22" s="37">
        <v>1825</v>
      </c>
      <c r="G22" s="5" t="s">
        <v>44</v>
      </c>
      <c r="H22" s="37">
        <f ca="1" t="array" ref="H22">INDEX(成本核算表!J:J,MATCH(1,(成本核算表!D:D=E22)*(成本核算表!C:C=G22),0))</f>
        <v>25</v>
      </c>
      <c r="I22" s="37">
        <v>539</v>
      </c>
      <c r="J22" s="37">
        <f ca="1" t="shared" si="0"/>
        <v>13475</v>
      </c>
      <c r="K22" s="37"/>
      <c r="L22" s="37"/>
      <c r="M22" s="37"/>
      <c r="N22" s="37">
        <f ca="1" t="shared" si="1"/>
        <v>13475</v>
      </c>
      <c r="O22" s="37">
        <f ca="1" t="shared" si="2"/>
        <v>3.74305555555556</v>
      </c>
      <c r="P22" s="37"/>
      <c r="Q22" s="37"/>
    </row>
    <row r="23" s="30" customFormat="1" ht="20" customHeight="1" spans="1:17">
      <c r="A23" s="48">
        <v>46090</v>
      </c>
      <c r="B23" s="37"/>
      <c r="C23" s="38"/>
      <c r="D23" s="5" t="s">
        <v>68</v>
      </c>
      <c r="E23" s="5" t="s">
        <v>69</v>
      </c>
      <c r="F23" s="37">
        <v>950</v>
      </c>
      <c r="G23" s="5" t="s">
        <v>70</v>
      </c>
      <c r="H23" s="37">
        <f ca="1" t="array" ref="H23">INDEX(成本核算表!J:J,MATCH(1,(成本核算表!D:D=E23)*(成本核算表!C:C=G23),0))</f>
        <v>12</v>
      </c>
      <c r="I23" s="37">
        <v>621</v>
      </c>
      <c r="J23" s="37">
        <f ca="1" t="shared" si="0"/>
        <v>7452</v>
      </c>
      <c r="K23" s="37"/>
      <c r="L23" s="37"/>
      <c r="M23" s="37"/>
      <c r="N23" s="37">
        <f ca="1" t="shared" si="1"/>
        <v>7452</v>
      </c>
      <c r="O23" s="37">
        <f ca="1" t="shared" si="2"/>
        <v>2.07</v>
      </c>
      <c r="P23" s="37"/>
      <c r="Q23" s="37"/>
    </row>
    <row r="24" s="30" customFormat="1" ht="20" customHeight="1" spans="1:17">
      <c r="A24" s="48">
        <v>46090</v>
      </c>
      <c r="B24" s="37"/>
      <c r="C24" s="38"/>
      <c r="D24" s="5" t="s">
        <v>71</v>
      </c>
      <c r="E24" s="5" t="s">
        <v>52</v>
      </c>
      <c r="F24" s="37">
        <v>1200</v>
      </c>
      <c r="G24" s="5" t="s">
        <v>70</v>
      </c>
      <c r="H24" s="37">
        <f ca="1" t="array" ref="H24">INDEX(成本核算表!J:J,MATCH(1,(成本核算表!D:D=E24)*(成本核算表!C:C=G24),0))</f>
        <v>12</v>
      </c>
      <c r="I24" s="37">
        <v>800</v>
      </c>
      <c r="J24" s="37">
        <f ca="1" t="shared" si="0"/>
        <v>9600</v>
      </c>
      <c r="K24" s="37"/>
      <c r="L24" s="37"/>
      <c r="M24" s="37"/>
      <c r="N24" s="37">
        <f ca="1" t="shared" si="1"/>
        <v>9600</v>
      </c>
      <c r="O24" s="37">
        <f ca="1" t="shared" si="2"/>
        <v>2.66666666666667</v>
      </c>
      <c r="P24" s="37"/>
      <c r="Q24" s="37"/>
    </row>
    <row r="25" s="30" customFormat="1" ht="20" customHeight="1" spans="1:17">
      <c r="A25" s="48">
        <v>46091</v>
      </c>
      <c r="B25" s="37">
        <v>11</v>
      </c>
      <c r="C25" s="38">
        <f ca="1">SUM(O25:O28)/B25</f>
        <v>1.02588383838384</v>
      </c>
      <c r="D25" s="5" t="s">
        <v>71</v>
      </c>
      <c r="E25" s="5" t="s">
        <v>52</v>
      </c>
      <c r="F25" s="37">
        <v>1200</v>
      </c>
      <c r="G25" s="5" t="s">
        <v>70</v>
      </c>
      <c r="H25" s="37">
        <f ca="1" t="array" ref="H25">INDEX(成本核算表!J:J,MATCH(1,(成本核算表!D:D=E25)*(成本核算表!C:C=G25),0))</f>
        <v>12</v>
      </c>
      <c r="I25" s="37">
        <v>785</v>
      </c>
      <c r="J25" s="37">
        <f ca="1" t="shared" si="0"/>
        <v>9420</v>
      </c>
      <c r="K25" s="37"/>
      <c r="L25" s="37">
        <v>7200</v>
      </c>
      <c r="M25" s="37"/>
      <c r="N25" s="37">
        <f ca="1" t="shared" si="1"/>
        <v>16620</v>
      </c>
      <c r="O25" s="37">
        <f ca="1" t="shared" si="2"/>
        <v>4.61666666666667</v>
      </c>
      <c r="P25" s="37"/>
      <c r="Q25" s="5" t="s">
        <v>72</v>
      </c>
    </row>
    <row r="26" s="30" customFormat="1" ht="20" customHeight="1" spans="1:17">
      <c r="A26" s="48">
        <v>46091</v>
      </c>
      <c r="B26" s="37"/>
      <c r="C26" s="38"/>
      <c r="D26" s="5" t="s">
        <v>45</v>
      </c>
      <c r="E26" s="5" t="s">
        <v>46</v>
      </c>
      <c r="F26" s="37">
        <v>156</v>
      </c>
      <c r="G26" s="5" t="s">
        <v>44</v>
      </c>
      <c r="H26" s="37">
        <f ca="1" t="array" ref="H26">INDEX(成本核算表!J:J,MATCH(1,(成本核算表!D:D=E26)*(成本核算表!C:C=G26),0))</f>
        <v>15</v>
      </c>
      <c r="I26" s="37">
        <v>1133</v>
      </c>
      <c r="J26" s="37">
        <f ca="1" t="shared" si="0"/>
        <v>16995</v>
      </c>
      <c r="K26" s="37"/>
      <c r="L26" s="37"/>
      <c r="M26" s="37"/>
      <c r="N26" s="37">
        <f ca="1" t="shared" si="1"/>
        <v>16995</v>
      </c>
      <c r="O26" s="37">
        <f ca="1" t="shared" si="2"/>
        <v>4.72083333333333</v>
      </c>
      <c r="P26" s="37"/>
      <c r="Q26" s="37"/>
    </row>
    <row r="27" s="30" customFormat="1" ht="20" customHeight="1" spans="1:17">
      <c r="A27" s="48">
        <v>46091</v>
      </c>
      <c r="B27" s="37"/>
      <c r="C27" s="38"/>
      <c r="D27" s="5" t="s">
        <v>73</v>
      </c>
      <c r="E27" s="5" t="s">
        <v>74</v>
      </c>
      <c r="F27" s="37">
        <v>156</v>
      </c>
      <c r="G27" s="5" t="s">
        <v>44</v>
      </c>
      <c r="H27" s="37">
        <f ca="1" t="array" ref="H27">INDEX(成本核算表!J:J,MATCH(1,(成本核算表!D:D=E27)*(成本核算表!C:C=G27),0))</f>
        <v>15</v>
      </c>
      <c r="I27" s="37">
        <v>150</v>
      </c>
      <c r="J27" s="37">
        <f ca="1" t="shared" si="0"/>
        <v>2250</v>
      </c>
      <c r="K27" s="37"/>
      <c r="L27" s="37"/>
      <c r="M27" s="37"/>
      <c r="N27" s="37">
        <f ca="1" t="shared" si="1"/>
        <v>2250</v>
      </c>
      <c r="O27" s="37">
        <f ca="1" t="shared" si="2"/>
        <v>0.625</v>
      </c>
      <c r="P27" s="37"/>
      <c r="Q27" s="37"/>
    </row>
    <row r="28" s="30" customFormat="1" ht="20" customHeight="1" spans="1:17">
      <c r="A28" s="48">
        <v>46091</v>
      </c>
      <c r="B28" s="37"/>
      <c r="C28" s="38"/>
      <c r="D28" s="5" t="s">
        <v>75</v>
      </c>
      <c r="E28" s="50" t="s">
        <v>76</v>
      </c>
      <c r="F28" s="37">
        <v>4166</v>
      </c>
      <c r="G28" s="5" t="s">
        <v>61</v>
      </c>
      <c r="H28" s="37">
        <f ca="1" t="array" ref="H28">INDEX(成本核算表!J:J,MATCH(1,(成本核算表!D:D=E28)*(成本核算表!C:C=G28),0))</f>
        <v>70</v>
      </c>
      <c r="I28" s="37">
        <v>68</v>
      </c>
      <c r="J28" s="37">
        <f ca="1" t="shared" si="0"/>
        <v>4760</v>
      </c>
      <c r="K28" s="37"/>
      <c r="L28" s="37"/>
      <c r="M28" s="37"/>
      <c r="N28" s="37">
        <f ca="1" t="shared" si="1"/>
        <v>4760</v>
      </c>
      <c r="O28" s="37">
        <f ca="1" t="shared" si="2"/>
        <v>1.32222222222222</v>
      </c>
      <c r="P28" s="37"/>
      <c r="Q28" s="37"/>
    </row>
    <row r="29" s="30" customFormat="1" ht="20" customHeight="1" spans="1:17">
      <c r="A29" s="48">
        <v>46092</v>
      </c>
      <c r="B29" s="37">
        <v>11</v>
      </c>
      <c r="C29" s="38">
        <f ca="1">SUM(O29:O32)/B29</f>
        <v>0.951515151515152</v>
      </c>
      <c r="D29" s="5" t="s">
        <v>77</v>
      </c>
      <c r="E29" s="5" t="s">
        <v>78</v>
      </c>
      <c r="F29" s="37">
        <v>1960</v>
      </c>
      <c r="G29" s="5" t="s">
        <v>79</v>
      </c>
      <c r="H29" s="37">
        <f ca="1" t="array" ref="H29">INDEX(成本核算表!J:J,MATCH(1,(成本核算表!D:D=E29)*(成本核算表!C:C=G29),0))</f>
        <v>15</v>
      </c>
      <c r="I29" s="37">
        <f>65+158</f>
        <v>223</v>
      </c>
      <c r="J29" s="37">
        <f ca="1" t="shared" si="0"/>
        <v>3345</v>
      </c>
      <c r="K29" s="37"/>
      <c r="L29" s="37"/>
      <c r="M29" s="37"/>
      <c r="N29" s="37">
        <f ca="1" t="shared" si="1"/>
        <v>3345</v>
      </c>
      <c r="O29" s="37">
        <f ca="1" t="shared" si="2"/>
        <v>0.929166666666667</v>
      </c>
      <c r="P29" s="37"/>
      <c r="Q29" s="37"/>
    </row>
    <row r="30" s="30" customFormat="1" ht="20" customHeight="1" spans="1:17">
      <c r="A30" s="48">
        <v>46092</v>
      </c>
      <c r="B30" s="37"/>
      <c r="C30" s="38"/>
      <c r="D30" s="5" t="s">
        <v>80</v>
      </c>
      <c r="E30" s="5" t="s">
        <v>78</v>
      </c>
      <c r="F30" s="37">
        <v>1960</v>
      </c>
      <c r="G30" s="5" t="s">
        <v>81</v>
      </c>
      <c r="H30" s="37">
        <f ca="1" t="array" ref="H30">INDEX(成本核算表!J:J,MATCH(1,(成本核算表!D:D=E30)*(成本核算表!C:C=G30),0))</f>
        <v>25</v>
      </c>
      <c r="I30" s="37">
        <v>245</v>
      </c>
      <c r="J30" s="37">
        <f ca="1" t="shared" si="0"/>
        <v>6125</v>
      </c>
      <c r="K30" s="37"/>
      <c r="L30" s="37"/>
      <c r="M30" s="37"/>
      <c r="N30" s="37">
        <f ca="1" t="shared" si="1"/>
        <v>6125</v>
      </c>
      <c r="O30" s="37">
        <f ca="1" t="shared" si="2"/>
        <v>1.70138888888889</v>
      </c>
      <c r="P30" s="37"/>
      <c r="Q30" s="37"/>
    </row>
    <row r="31" s="30" customFormat="1" ht="20" customHeight="1" spans="1:17">
      <c r="A31" s="48">
        <v>46092</v>
      </c>
      <c r="B31" s="37"/>
      <c r="C31" s="38"/>
      <c r="D31" s="5" t="s">
        <v>77</v>
      </c>
      <c r="E31" s="5" t="s">
        <v>78</v>
      </c>
      <c r="F31" s="37">
        <v>1960</v>
      </c>
      <c r="G31" s="5" t="s">
        <v>81</v>
      </c>
      <c r="H31" s="37">
        <f ca="1" t="array" ref="H31">INDEX(成本核算表!J:J,MATCH(1,(成本核算表!D:D=E31)*(成本核算表!C:C=G31),0))</f>
        <v>25</v>
      </c>
      <c r="I31" s="37">
        <v>154</v>
      </c>
      <c r="J31" s="37">
        <f ca="1" t="shared" si="0"/>
        <v>3850</v>
      </c>
      <c r="K31" s="37"/>
      <c r="L31" s="37"/>
      <c r="M31" s="37"/>
      <c r="N31" s="37">
        <f ca="1" t="shared" si="1"/>
        <v>3850</v>
      </c>
      <c r="O31" s="37">
        <f ca="1" t="shared" si="2"/>
        <v>1.06944444444444</v>
      </c>
      <c r="P31" s="37"/>
      <c r="Q31" s="37"/>
    </row>
    <row r="32" s="30" customFormat="1" ht="20" customHeight="1" spans="1:17">
      <c r="A32" s="48">
        <v>46092</v>
      </c>
      <c r="B32" s="37"/>
      <c r="C32" s="38"/>
      <c r="D32" s="5" t="s">
        <v>40</v>
      </c>
      <c r="E32" s="5" t="s">
        <v>36</v>
      </c>
      <c r="F32" s="37">
        <v>119.5</v>
      </c>
      <c r="G32" s="5" t="s">
        <v>53</v>
      </c>
      <c r="H32" s="37">
        <f ca="1" t="array" ref="H32">INDEX(成本核算表!J:J,MATCH(1,(成本核算表!D:D=E32)*(成本核算表!C:C=G32),0))</f>
        <v>12</v>
      </c>
      <c r="I32" s="37">
        <v>2030</v>
      </c>
      <c r="J32" s="37">
        <f ca="1" t="shared" si="0"/>
        <v>24360</v>
      </c>
      <c r="K32" s="37"/>
      <c r="L32" s="37"/>
      <c r="M32" s="37"/>
      <c r="N32" s="37">
        <f ca="1" t="shared" si="1"/>
        <v>24360</v>
      </c>
      <c r="O32" s="37">
        <f ca="1" t="shared" si="2"/>
        <v>6.76666666666667</v>
      </c>
      <c r="P32" s="37"/>
      <c r="Q32" s="37"/>
    </row>
    <row r="33" s="30" customFormat="1" ht="20" customHeight="1" spans="1:17">
      <c r="A33" s="48">
        <v>46093</v>
      </c>
      <c r="B33" s="37">
        <v>11</v>
      </c>
      <c r="C33" s="38">
        <f ca="1">SUM(O33:O37)/B33</f>
        <v>0.585606060606061</v>
      </c>
      <c r="D33" s="5" t="s">
        <v>77</v>
      </c>
      <c r="E33" s="5" t="s">
        <v>78</v>
      </c>
      <c r="F33" s="37">
        <v>1960</v>
      </c>
      <c r="G33" s="5" t="s">
        <v>82</v>
      </c>
      <c r="H33" s="37">
        <f ca="1" t="array" ref="H33">INDEX(成本核算表!J:J,MATCH(1,(成本核算表!D:D=E33)*(成本核算表!C:C=G33),0))</f>
        <v>15</v>
      </c>
      <c r="I33" s="37">
        <v>150</v>
      </c>
      <c r="J33" s="37">
        <f ca="1" t="shared" si="0"/>
        <v>2250</v>
      </c>
      <c r="K33" s="37"/>
      <c r="L33" s="37"/>
      <c r="M33" s="37"/>
      <c r="N33" s="37">
        <f ca="1" t="shared" si="1"/>
        <v>2250</v>
      </c>
      <c r="O33" s="37">
        <f ca="1" t="shared" si="2"/>
        <v>0.625</v>
      </c>
      <c r="P33" s="37"/>
      <c r="Q33" s="37"/>
    </row>
    <row r="34" s="30" customFormat="1" ht="20" customHeight="1" spans="1:17">
      <c r="A34" s="48">
        <v>46093</v>
      </c>
      <c r="B34" s="37"/>
      <c r="C34" s="38"/>
      <c r="D34" s="5" t="s">
        <v>80</v>
      </c>
      <c r="E34" s="5" t="s">
        <v>78</v>
      </c>
      <c r="F34" s="37">
        <v>1960</v>
      </c>
      <c r="G34" s="5" t="s">
        <v>82</v>
      </c>
      <c r="H34" s="37">
        <f ca="1" t="array" ref="H34">INDEX(成本核算表!J:J,MATCH(1,(成本核算表!D:D=E34)*(成本核算表!C:C=G34),0))</f>
        <v>15</v>
      </c>
      <c r="I34" s="37">
        <v>300</v>
      </c>
      <c r="J34" s="37">
        <f ca="1" t="shared" si="0"/>
        <v>4500</v>
      </c>
      <c r="K34" s="37"/>
      <c r="L34" s="37"/>
      <c r="M34" s="37"/>
      <c r="N34" s="37">
        <f ca="1" t="shared" si="1"/>
        <v>4500</v>
      </c>
      <c r="O34" s="37">
        <f ca="1" t="shared" si="2"/>
        <v>1.25</v>
      </c>
      <c r="P34" s="37"/>
      <c r="Q34" s="37"/>
    </row>
    <row r="35" s="30" customFormat="1" ht="20" customHeight="1" spans="1:17">
      <c r="A35" s="48">
        <v>46093</v>
      </c>
      <c r="B35" s="37"/>
      <c r="C35" s="38"/>
      <c r="D35" s="5" t="s">
        <v>80</v>
      </c>
      <c r="E35" s="5" t="s">
        <v>78</v>
      </c>
      <c r="F35" s="37">
        <v>1960</v>
      </c>
      <c r="G35" s="5" t="s">
        <v>79</v>
      </c>
      <c r="H35" s="37">
        <f ca="1" t="array" ref="H35">INDEX(成本核算表!J:J,MATCH(1,(成本核算表!D:D=E35)*(成本核算表!C:C=G35),0))</f>
        <v>15</v>
      </c>
      <c r="I35" s="37">
        <f>300+326</f>
        <v>626</v>
      </c>
      <c r="J35" s="37">
        <f ca="1" t="shared" si="0"/>
        <v>9390</v>
      </c>
      <c r="K35" s="37"/>
      <c r="L35" s="37"/>
      <c r="M35" s="37"/>
      <c r="N35" s="37">
        <f ca="1" t="shared" si="1"/>
        <v>9390</v>
      </c>
      <c r="O35" s="37">
        <f ca="1" t="shared" si="2"/>
        <v>2.60833333333333</v>
      </c>
      <c r="P35" s="37"/>
      <c r="Q35" s="37"/>
    </row>
    <row r="36" s="30" customFormat="1" ht="20" customHeight="1" spans="1:17">
      <c r="A36" s="48">
        <v>46093</v>
      </c>
      <c r="B36" s="37"/>
      <c r="C36" s="38"/>
      <c r="D36" s="5" t="s">
        <v>77</v>
      </c>
      <c r="E36" s="5" t="s">
        <v>78</v>
      </c>
      <c r="F36" s="37">
        <v>1960</v>
      </c>
      <c r="G36" s="5" t="s">
        <v>79</v>
      </c>
      <c r="H36" s="37">
        <f ca="1" t="array" ref="H36">INDEX(成本核算表!J:J,MATCH(1,(成本核算表!D:D=E36)*(成本核算表!C:C=G36),0))</f>
        <v>15</v>
      </c>
      <c r="I36" s="37">
        <f>169+104</f>
        <v>273</v>
      </c>
      <c r="J36" s="37">
        <f ca="1" t="shared" si="0"/>
        <v>4095</v>
      </c>
      <c r="K36" s="37"/>
      <c r="L36" s="37"/>
      <c r="M36" s="37"/>
      <c r="N36" s="37">
        <f ca="1" t="shared" si="1"/>
        <v>4095</v>
      </c>
      <c r="O36" s="37">
        <f ca="1" t="shared" si="2"/>
        <v>1.1375</v>
      </c>
      <c r="P36" s="37"/>
      <c r="Q36" s="37"/>
    </row>
    <row r="37" s="30" customFormat="1" ht="20" customHeight="1" spans="1:17">
      <c r="A37" s="48">
        <v>46093</v>
      </c>
      <c r="B37" s="37"/>
      <c r="C37" s="38"/>
      <c r="D37" s="5" t="s">
        <v>83</v>
      </c>
      <c r="E37" s="5" t="s">
        <v>78</v>
      </c>
      <c r="F37" s="37">
        <v>780</v>
      </c>
      <c r="G37" s="5" t="s">
        <v>82</v>
      </c>
      <c r="H37" s="37">
        <f ca="1" t="array" ref="H37">INDEX(成本核算表!J:J,MATCH(1,(成本核算表!D:D=E37)*(成本核算表!C:C=G37),0))</f>
        <v>15</v>
      </c>
      <c r="I37" s="37">
        <v>197</v>
      </c>
      <c r="J37" s="37">
        <f ca="1" t="shared" si="0"/>
        <v>2955</v>
      </c>
      <c r="K37" s="37"/>
      <c r="L37" s="37"/>
      <c r="M37" s="37"/>
      <c r="N37" s="37">
        <f ca="1" t="shared" si="1"/>
        <v>2955</v>
      </c>
      <c r="O37" s="37">
        <f ca="1" t="shared" si="2"/>
        <v>0.820833333333333</v>
      </c>
      <c r="P37" s="37"/>
      <c r="Q37" s="37"/>
    </row>
    <row r="38" s="30" customFormat="1" ht="20" customHeight="1" spans="1:17">
      <c r="A38" s="48">
        <v>46094</v>
      </c>
      <c r="B38" s="37">
        <v>11</v>
      </c>
      <c r="C38" s="38">
        <f ca="1">SUM(O38:O42)/B38</f>
        <v>0.689772727272727</v>
      </c>
      <c r="D38" s="5" t="s">
        <v>77</v>
      </c>
      <c r="E38" s="5" t="s">
        <v>78</v>
      </c>
      <c r="F38" s="37">
        <v>1960</v>
      </c>
      <c r="G38" s="5" t="s">
        <v>79</v>
      </c>
      <c r="H38" s="37">
        <f ca="1" t="array" ref="H38">INDEX(成本核算表!J:J,MATCH(1,(成本核算表!D:D=E38)*(成本核算表!C:C=G38),0))</f>
        <v>15</v>
      </c>
      <c r="I38" s="37">
        <f>175+288</f>
        <v>463</v>
      </c>
      <c r="J38" s="37">
        <f ca="1" t="shared" si="0"/>
        <v>6945</v>
      </c>
      <c r="K38" s="37"/>
      <c r="L38" s="37"/>
      <c r="M38" s="37"/>
      <c r="N38" s="37">
        <f ca="1" t="shared" si="1"/>
        <v>6945</v>
      </c>
      <c r="O38" s="37">
        <f ca="1" t="shared" si="2"/>
        <v>1.92916666666667</v>
      </c>
      <c r="P38" s="37"/>
      <c r="Q38" s="37"/>
    </row>
    <row r="39" s="30" customFormat="1" ht="20" customHeight="1" spans="1:17">
      <c r="A39" s="48">
        <v>46094</v>
      </c>
      <c r="B39" s="37"/>
      <c r="C39" s="38"/>
      <c r="D39" s="5" t="s">
        <v>77</v>
      </c>
      <c r="E39" s="5" t="s">
        <v>78</v>
      </c>
      <c r="F39" s="37">
        <v>1960</v>
      </c>
      <c r="G39" s="5" t="s">
        <v>82</v>
      </c>
      <c r="H39" s="37">
        <f ca="1" t="array" ref="H39">INDEX(成本核算表!J:J,MATCH(1,(成本核算表!D:D=E39)*(成本核算表!C:C=G39),0))</f>
        <v>15</v>
      </c>
      <c r="I39" s="37">
        <f>279+287</f>
        <v>566</v>
      </c>
      <c r="J39" s="37">
        <f ca="1" t="shared" si="0"/>
        <v>8490</v>
      </c>
      <c r="K39" s="37"/>
      <c r="L39" s="37"/>
      <c r="M39" s="37"/>
      <c r="N39" s="37">
        <f ca="1" t="shared" si="1"/>
        <v>8490</v>
      </c>
      <c r="O39" s="37">
        <f ca="1" t="shared" si="2"/>
        <v>2.35833333333333</v>
      </c>
      <c r="P39" s="37"/>
      <c r="Q39" s="37"/>
    </row>
    <row r="40" s="30" customFormat="1" ht="20" customHeight="1" spans="1:17">
      <c r="A40" s="48">
        <v>46094</v>
      </c>
      <c r="B40" s="37"/>
      <c r="C40" s="38"/>
      <c r="D40" s="5" t="s">
        <v>80</v>
      </c>
      <c r="E40" s="5" t="s">
        <v>78</v>
      </c>
      <c r="F40" s="37">
        <v>1960</v>
      </c>
      <c r="G40" s="5" t="s">
        <v>79</v>
      </c>
      <c r="H40" s="37">
        <f ca="1" t="array" ref="H40">INDEX(成本核算表!J:J,MATCH(1,(成本核算表!D:D=E40)*(成本核算表!C:C=G40),0))</f>
        <v>15</v>
      </c>
      <c r="I40" s="37">
        <v>297</v>
      </c>
      <c r="J40" s="37">
        <f ca="1" t="shared" si="0"/>
        <v>4455</v>
      </c>
      <c r="K40" s="37"/>
      <c r="L40" s="37"/>
      <c r="M40" s="37"/>
      <c r="N40" s="37">
        <f ca="1" t="shared" si="1"/>
        <v>4455</v>
      </c>
      <c r="O40" s="37">
        <f ca="1" t="shared" si="2"/>
        <v>1.2375</v>
      </c>
      <c r="P40" s="37"/>
      <c r="Q40" s="37"/>
    </row>
    <row r="41" s="30" customFormat="1" ht="20" customHeight="1" spans="1:17">
      <c r="A41" s="48">
        <v>46094</v>
      </c>
      <c r="B41" s="37"/>
      <c r="C41" s="38"/>
      <c r="D41" s="5" t="s">
        <v>80</v>
      </c>
      <c r="E41" s="5" t="s">
        <v>78</v>
      </c>
      <c r="F41" s="37">
        <v>1960</v>
      </c>
      <c r="G41" s="5" t="s">
        <v>82</v>
      </c>
      <c r="H41" s="37">
        <f ca="1" t="array" ref="H41">INDEX(成本核算表!J:J,MATCH(1,(成本核算表!D:D=E41)*(成本核算表!C:C=G41),0))</f>
        <v>15</v>
      </c>
      <c r="I41" s="37">
        <v>297</v>
      </c>
      <c r="J41" s="37">
        <f ca="1" t="shared" si="0"/>
        <v>4455</v>
      </c>
      <c r="K41" s="37"/>
      <c r="L41" s="37"/>
      <c r="M41" s="37"/>
      <c r="N41" s="37">
        <f ca="1" t="shared" si="1"/>
        <v>4455</v>
      </c>
      <c r="O41" s="37">
        <f ca="1" t="shared" si="2"/>
        <v>1.2375</v>
      </c>
      <c r="P41" s="37"/>
      <c r="Q41" s="37"/>
    </row>
    <row r="42" s="30" customFormat="1" ht="20" customHeight="1" spans="1:17">
      <c r="A42" s="48">
        <v>46094</v>
      </c>
      <c r="B42" s="32"/>
      <c r="C42" s="33"/>
      <c r="D42" s="5" t="s">
        <v>84</v>
      </c>
      <c r="E42" s="5" t="s">
        <v>78</v>
      </c>
      <c r="F42" s="37">
        <v>780</v>
      </c>
      <c r="G42" s="5" t="s">
        <v>82</v>
      </c>
      <c r="H42" s="37">
        <f ca="1" t="array" ref="H42">INDEX(成本核算表!J:J,MATCH(1,(成本核算表!D:D=E42)*(成本核算表!C:C=G42),0))</f>
        <v>15</v>
      </c>
      <c r="I42" s="34">
        <v>198</v>
      </c>
      <c r="J42" s="37">
        <f ca="1" t="shared" si="0"/>
        <v>2970</v>
      </c>
      <c r="K42" s="32"/>
      <c r="L42" s="32"/>
      <c r="N42" s="37">
        <f ca="1" t="shared" si="1"/>
        <v>2970</v>
      </c>
      <c r="O42" s="37">
        <f ca="1" t="shared" si="2"/>
        <v>0.825</v>
      </c>
    </row>
    <row r="43" s="30" customFormat="1" ht="20" customHeight="1" spans="1:17">
      <c r="A43" s="49">
        <v>46095</v>
      </c>
      <c r="B43" s="37">
        <v>11</v>
      </c>
      <c r="C43" s="38">
        <f ca="1">SUM(O43:O48)/B43</f>
        <v>0.726010101010101</v>
      </c>
      <c r="D43" s="5" t="s">
        <v>84</v>
      </c>
      <c r="E43" s="5" t="s">
        <v>78</v>
      </c>
      <c r="F43" s="37">
        <v>780</v>
      </c>
      <c r="G43" s="5" t="s">
        <v>82</v>
      </c>
      <c r="H43" s="37">
        <f ca="1" t="array" ref="H43">INDEX(成本核算表!J:J,MATCH(1,(成本核算表!D:D=E43)*(成本核算表!C:C=G43),0))</f>
        <v>15</v>
      </c>
      <c r="I43" s="34">
        <v>76</v>
      </c>
      <c r="J43" s="37">
        <f ca="1" t="shared" si="0"/>
        <v>1140</v>
      </c>
      <c r="K43" s="32"/>
      <c r="L43" s="32"/>
      <c r="N43" s="37">
        <f ca="1" t="shared" si="1"/>
        <v>1140</v>
      </c>
      <c r="O43" s="37">
        <f ca="1" t="shared" si="2"/>
        <v>0.316666666666667</v>
      </c>
    </row>
    <row r="44" s="30" customFormat="1" ht="20" customHeight="1" spans="1:17">
      <c r="A44" s="49">
        <v>46095</v>
      </c>
      <c r="B44" s="32"/>
      <c r="C44" s="33"/>
      <c r="D44" s="5" t="s">
        <v>83</v>
      </c>
      <c r="E44" s="5" t="s">
        <v>78</v>
      </c>
      <c r="F44" s="37">
        <v>780</v>
      </c>
      <c r="G44" s="5" t="s">
        <v>82</v>
      </c>
      <c r="H44" s="37">
        <f ca="1" t="array" ref="H44">INDEX(成本核算表!J:J,MATCH(1,(成本核算表!D:D=E44)*(成本核算表!C:C=G44),0))</f>
        <v>15</v>
      </c>
      <c r="I44" s="34">
        <v>275</v>
      </c>
      <c r="J44" s="37">
        <f ca="1" t="shared" si="0"/>
        <v>4125</v>
      </c>
      <c r="K44" s="32"/>
      <c r="L44" s="32"/>
      <c r="N44" s="37">
        <f ca="1" t="shared" si="1"/>
        <v>4125</v>
      </c>
      <c r="O44" s="37">
        <f ca="1" t="shared" si="2"/>
        <v>1.14583333333333</v>
      </c>
    </row>
    <row r="45" s="30" customFormat="1" ht="20" customHeight="1" spans="1:17">
      <c r="A45" s="49">
        <v>46095</v>
      </c>
      <c r="B45" s="32"/>
      <c r="C45" s="33"/>
      <c r="D45" s="5" t="s">
        <v>77</v>
      </c>
      <c r="E45" s="5" t="s">
        <v>78</v>
      </c>
      <c r="F45" s="37">
        <v>1960</v>
      </c>
      <c r="G45" s="5" t="s">
        <v>82</v>
      </c>
      <c r="H45" s="37">
        <f ca="1" t="array" ref="H45">INDEX(成本核算表!J:J,MATCH(1,(成本核算表!D:D=E45)*(成本核算表!C:C=G45),0))</f>
        <v>15</v>
      </c>
      <c r="I45" s="34">
        <f>121+100+124</f>
        <v>345</v>
      </c>
      <c r="J45" s="37">
        <f ca="1" t="shared" si="0"/>
        <v>5175</v>
      </c>
      <c r="K45" s="32"/>
      <c r="L45" s="32"/>
      <c r="N45" s="37">
        <f ca="1" t="shared" si="1"/>
        <v>5175</v>
      </c>
      <c r="O45" s="37">
        <f ca="1" t="shared" si="2"/>
        <v>1.4375</v>
      </c>
    </row>
    <row r="46" s="30" customFormat="1" ht="20" customHeight="1" spans="1:17">
      <c r="A46" s="49">
        <v>46095</v>
      </c>
      <c r="B46" s="32"/>
      <c r="C46" s="33"/>
      <c r="D46" s="5" t="s">
        <v>77</v>
      </c>
      <c r="E46" s="5" t="s">
        <v>78</v>
      </c>
      <c r="F46" s="37">
        <v>1960</v>
      </c>
      <c r="G46" s="5" t="s">
        <v>79</v>
      </c>
      <c r="H46" s="37">
        <f ca="1" t="array" ref="H46">INDEX(成本核算表!J:J,MATCH(1,(成本核算表!D:D=E46)*(成本核算表!C:C=G46),0))</f>
        <v>15</v>
      </c>
      <c r="I46" s="34">
        <v>121</v>
      </c>
      <c r="J46" s="37">
        <f ca="1" t="shared" si="0"/>
        <v>1815</v>
      </c>
      <c r="K46" s="32"/>
      <c r="L46" s="32"/>
      <c r="N46" s="37">
        <f ca="1" t="shared" si="1"/>
        <v>1815</v>
      </c>
      <c r="O46" s="37">
        <f ca="1" t="shared" si="2"/>
        <v>0.504166666666667</v>
      </c>
    </row>
    <row r="47" s="30" customFormat="1" ht="20" customHeight="1" spans="1:17">
      <c r="A47" s="49">
        <v>46095</v>
      </c>
      <c r="B47" s="32"/>
      <c r="C47" s="33"/>
      <c r="D47" s="5" t="s">
        <v>80</v>
      </c>
      <c r="E47" s="5" t="s">
        <v>78</v>
      </c>
      <c r="F47" s="37">
        <v>1960</v>
      </c>
      <c r="G47" s="5" t="s">
        <v>82</v>
      </c>
      <c r="H47" s="37">
        <f ca="1" t="array" ref="H47">INDEX(成本核算表!J:J,MATCH(1,(成本核算表!D:D=E47)*(成本核算表!C:C=G47),0))</f>
        <v>15</v>
      </c>
      <c r="I47" s="34">
        <f>120+198</f>
        <v>318</v>
      </c>
      <c r="J47" s="37">
        <f ca="1" t="shared" si="0"/>
        <v>4770</v>
      </c>
      <c r="K47" s="32"/>
      <c r="L47" s="32"/>
      <c r="N47" s="37">
        <f ca="1" t="shared" si="1"/>
        <v>4770</v>
      </c>
      <c r="O47" s="37">
        <f ca="1" t="shared" si="2"/>
        <v>1.325</v>
      </c>
    </row>
    <row r="48" s="30" customFormat="1" ht="20" customHeight="1" spans="1:17">
      <c r="A48" s="49">
        <v>46095</v>
      </c>
      <c r="B48" s="32"/>
      <c r="C48" s="33"/>
      <c r="D48" s="42" t="s">
        <v>85</v>
      </c>
      <c r="E48" s="42" t="s">
        <v>60</v>
      </c>
      <c r="F48" s="32">
        <v>1990</v>
      </c>
      <c r="G48" s="42" t="s">
        <v>61</v>
      </c>
      <c r="H48" s="37">
        <f ca="1" t="array" ref="H48">INDEX(成本核算表!J:J,MATCH(1,(成本核算表!D:D=E48)*(成本核算表!C:C=G48),0))</f>
        <v>25</v>
      </c>
      <c r="I48" s="34">
        <v>469</v>
      </c>
      <c r="J48" s="37">
        <f ca="1" t="shared" si="0"/>
        <v>11725</v>
      </c>
      <c r="K48" s="32"/>
      <c r="L48" s="32"/>
      <c r="N48" s="37">
        <f ca="1" t="shared" si="1"/>
        <v>11725</v>
      </c>
      <c r="O48" s="37">
        <f ca="1" t="shared" si="2"/>
        <v>3.25694444444444</v>
      </c>
    </row>
    <row r="49" s="30" customFormat="1" ht="20" customHeight="1" spans="1:17">
      <c r="A49" s="46">
        <v>46096</v>
      </c>
      <c r="B49" s="32">
        <v>9.5</v>
      </c>
      <c r="C49" s="38">
        <f ca="1">SUM(O49:O51)/B49</f>
        <v>1.44883040935673</v>
      </c>
      <c r="D49" s="42" t="s">
        <v>86</v>
      </c>
      <c r="E49" s="42" t="s">
        <v>52</v>
      </c>
      <c r="F49" s="32">
        <v>950</v>
      </c>
      <c r="G49" s="42" t="s">
        <v>49</v>
      </c>
      <c r="H49" s="37">
        <f ca="1" t="array" ref="H49">INDEX(成本核算表!J:J,MATCH(1,(成本核算表!D:D=E49)*(成本核算表!C:C=G49),0))</f>
        <v>25</v>
      </c>
      <c r="I49" s="32">
        <v>682</v>
      </c>
      <c r="J49" s="37">
        <f ca="1" t="shared" si="0"/>
        <v>17050</v>
      </c>
      <c r="K49" s="32"/>
      <c r="L49" s="32"/>
      <c r="N49" s="37">
        <f ca="1" t="shared" si="1"/>
        <v>17050</v>
      </c>
      <c r="O49" s="37">
        <f ca="1" t="shared" si="2"/>
        <v>4.73611111111111</v>
      </c>
    </row>
    <row r="50" s="30" customFormat="1" ht="20" customHeight="1" spans="1:17">
      <c r="A50" s="46">
        <v>46096</v>
      </c>
      <c r="B50" s="32"/>
      <c r="C50" s="33"/>
      <c r="D50" s="42" t="s">
        <v>87</v>
      </c>
      <c r="E50" s="42" t="s">
        <v>52</v>
      </c>
      <c r="F50" s="32">
        <v>950</v>
      </c>
      <c r="G50" s="42" t="s">
        <v>49</v>
      </c>
      <c r="H50" s="37">
        <f ca="1" t="array" ref="H50">INDEX(成本核算表!J:J,MATCH(1,(成本核算表!D:D=E50)*(成本核算表!C:C=G50),0))</f>
        <v>25</v>
      </c>
      <c r="I50" s="32">
        <v>1200</v>
      </c>
      <c r="J50" s="37">
        <f ca="1" t="shared" si="0"/>
        <v>30000</v>
      </c>
      <c r="K50" s="32"/>
      <c r="L50" s="32"/>
      <c r="N50" s="37">
        <f ca="1" t="shared" si="1"/>
        <v>30000</v>
      </c>
      <c r="O50" s="37">
        <f ca="1" t="shared" si="2"/>
        <v>8.33333333333333</v>
      </c>
    </row>
    <row r="51" s="30" customFormat="1" ht="20" customHeight="1" spans="1:17">
      <c r="A51" s="46">
        <v>46096</v>
      </c>
      <c r="B51" s="32"/>
      <c r="C51" s="33"/>
      <c r="D51" s="42" t="s">
        <v>88</v>
      </c>
      <c r="E51" s="42" t="s">
        <v>52</v>
      </c>
      <c r="F51" s="32">
        <v>950</v>
      </c>
      <c r="G51" s="42" t="s">
        <v>49</v>
      </c>
      <c r="H51" s="37">
        <f ca="1" t="array" ref="H51">INDEX(成本核算表!J:J,MATCH(1,(成本核算表!D:D=E51)*(成本核算表!C:C=G51),0))</f>
        <v>25</v>
      </c>
      <c r="I51" s="32">
        <v>100</v>
      </c>
      <c r="J51" s="37">
        <f ca="1" t="shared" si="0"/>
        <v>2500</v>
      </c>
      <c r="K51" s="32"/>
      <c r="L51" s="32"/>
      <c r="N51" s="37">
        <f ca="1" t="shared" si="1"/>
        <v>2500</v>
      </c>
      <c r="O51" s="37">
        <f ca="1" t="shared" si="2"/>
        <v>0.694444444444444</v>
      </c>
    </row>
    <row r="52" s="30" customFormat="1" ht="20" customHeight="1" spans="1:17">
      <c r="A52" s="46">
        <v>46097</v>
      </c>
      <c r="B52" s="32">
        <v>11</v>
      </c>
      <c r="C52" s="38">
        <f ca="1">SUM(O52:O57)/B52</f>
        <v>0.90530303030303</v>
      </c>
      <c r="D52" s="42" t="s">
        <v>89</v>
      </c>
      <c r="E52" s="42" t="s">
        <v>52</v>
      </c>
      <c r="F52" s="32">
        <v>950</v>
      </c>
      <c r="G52" s="42" t="s">
        <v>49</v>
      </c>
      <c r="H52" s="37">
        <f ca="1" t="array" ref="H52">INDEX(成本核算表!J:J,MATCH(1,(成本核算表!D:D=E52)*(成本核算表!C:C=G52),0))</f>
        <v>25</v>
      </c>
      <c r="I52" s="32">
        <v>197</v>
      </c>
      <c r="J52" s="37">
        <f ca="1" t="shared" si="0"/>
        <v>4925</v>
      </c>
      <c r="K52" s="32"/>
      <c r="L52" s="32"/>
      <c r="N52" s="37">
        <f ca="1" t="shared" si="1"/>
        <v>4925</v>
      </c>
      <c r="O52" s="37">
        <f ca="1" t="shared" si="2"/>
        <v>1.36805555555556</v>
      </c>
    </row>
    <row r="53" s="30" customFormat="1" ht="20" customHeight="1" spans="1:17">
      <c r="A53" s="46">
        <v>46097</v>
      </c>
      <c r="B53" s="32"/>
      <c r="C53" s="33"/>
      <c r="D53" s="42" t="s">
        <v>77</v>
      </c>
      <c r="E53" s="5" t="s">
        <v>78</v>
      </c>
      <c r="F53" s="37">
        <v>1960</v>
      </c>
      <c r="G53" s="5" t="s">
        <v>82</v>
      </c>
      <c r="H53" s="37">
        <f ca="1" t="array" ref="H53">INDEX(成本核算表!J:J,MATCH(1,(成本核算表!D:D=E53)*(成本核算表!C:C=G53),0))</f>
        <v>15</v>
      </c>
      <c r="I53" s="32">
        <v>153</v>
      </c>
      <c r="J53" s="37">
        <f ca="1" t="shared" si="0"/>
        <v>2295</v>
      </c>
      <c r="K53" s="32"/>
      <c r="L53" s="32"/>
      <c r="N53" s="37">
        <f ca="1" t="shared" si="1"/>
        <v>2295</v>
      </c>
      <c r="O53" s="37">
        <f ca="1" t="shared" si="2"/>
        <v>0.6375</v>
      </c>
    </row>
    <row r="54" s="30" customFormat="1" ht="20" customHeight="1" spans="1:17">
      <c r="A54" s="46">
        <v>46097</v>
      </c>
      <c r="B54" s="32"/>
      <c r="C54" s="33"/>
      <c r="D54" s="5" t="s">
        <v>80</v>
      </c>
      <c r="E54" s="5" t="s">
        <v>78</v>
      </c>
      <c r="F54" s="37">
        <v>1960</v>
      </c>
      <c r="G54" s="5" t="s">
        <v>82</v>
      </c>
      <c r="H54" s="37">
        <f ca="1" t="array" ref="H54">INDEX(成本核算表!J:J,MATCH(1,(成本核算表!D:D=E54)*(成本核算表!C:C=G54),0))</f>
        <v>15</v>
      </c>
      <c r="I54" s="32">
        <v>278</v>
      </c>
      <c r="J54" s="37">
        <f ca="1" t="shared" si="0"/>
        <v>4170</v>
      </c>
      <c r="K54" s="32"/>
      <c r="L54" s="32"/>
      <c r="N54" s="37">
        <f ca="1" t="shared" si="1"/>
        <v>4170</v>
      </c>
      <c r="O54" s="37">
        <f ca="1" t="shared" si="2"/>
        <v>1.15833333333333</v>
      </c>
    </row>
    <row r="55" s="30" customFormat="1" ht="20" customHeight="1" spans="1:17">
      <c r="A55" s="46">
        <v>46097</v>
      </c>
      <c r="B55" s="32"/>
      <c r="C55" s="33"/>
      <c r="D55" s="5" t="s">
        <v>80</v>
      </c>
      <c r="E55" s="5" t="s">
        <v>78</v>
      </c>
      <c r="F55" s="37">
        <v>1960</v>
      </c>
      <c r="G55" s="5" t="s">
        <v>79</v>
      </c>
      <c r="H55" s="37">
        <f ca="1" t="array" ref="H55">INDEX(成本核算表!J:J,MATCH(1,(成本核算表!D:D=E55)*(成本核算表!C:C=G55),0))</f>
        <v>15</v>
      </c>
      <c r="I55" s="32">
        <f>281+103</f>
        <v>384</v>
      </c>
      <c r="J55" s="37">
        <f ca="1" t="shared" si="0"/>
        <v>5760</v>
      </c>
      <c r="K55" s="32"/>
      <c r="L55" s="32"/>
      <c r="N55" s="37">
        <f ca="1" t="shared" si="1"/>
        <v>5760</v>
      </c>
      <c r="O55" s="37">
        <f ca="1" t="shared" si="2"/>
        <v>1.6</v>
      </c>
    </row>
    <row r="56" s="30" customFormat="1" ht="20" customHeight="1" spans="1:17">
      <c r="A56" s="46">
        <v>46097</v>
      </c>
      <c r="B56" s="32"/>
      <c r="C56" s="33"/>
      <c r="D56" s="42" t="s">
        <v>77</v>
      </c>
      <c r="E56" s="5" t="s">
        <v>78</v>
      </c>
      <c r="F56" s="37">
        <v>1960</v>
      </c>
      <c r="G56" s="5" t="s">
        <v>79</v>
      </c>
      <c r="H56" s="37">
        <f ca="1" t="array" ref="H56">INDEX(成本核算表!J:J,MATCH(1,(成本核算表!D:D=E56)*(成本核算表!C:C=G56),0))</f>
        <v>15</v>
      </c>
      <c r="I56" s="32">
        <f>117+143</f>
        <v>260</v>
      </c>
      <c r="J56" s="37">
        <f ca="1" t="shared" si="0"/>
        <v>3900</v>
      </c>
      <c r="K56" s="32"/>
      <c r="L56" s="32"/>
      <c r="N56" s="37">
        <f ca="1" t="shared" si="1"/>
        <v>3900</v>
      </c>
      <c r="O56" s="37">
        <f ca="1" t="shared" si="2"/>
        <v>1.08333333333333</v>
      </c>
    </row>
    <row r="57" s="30" customFormat="1" ht="20" customHeight="1" spans="1:17">
      <c r="A57" s="46">
        <v>46097</v>
      </c>
      <c r="B57" s="32"/>
      <c r="C57" s="33"/>
      <c r="D57" s="42" t="s">
        <v>90</v>
      </c>
      <c r="E57" s="42" t="s">
        <v>48</v>
      </c>
      <c r="F57" s="32">
        <v>950</v>
      </c>
      <c r="G57" s="42" t="s">
        <v>49</v>
      </c>
      <c r="H57" s="37">
        <f ca="1" t="array" ref="H57">INDEX(成本核算表!J:J,MATCH(1,(成本核算表!D:D=E57)*(成本核算表!C:C=G57),0))</f>
        <v>25</v>
      </c>
      <c r="I57" s="32">
        <f>304</f>
        <v>304</v>
      </c>
      <c r="J57" s="37">
        <f ca="1" t="shared" si="0"/>
        <v>7600</v>
      </c>
      <c r="K57" s="32"/>
      <c r="L57" s="32">
        <v>7200</v>
      </c>
      <c r="N57" s="37">
        <f ca="1" t="shared" si="1"/>
        <v>14800</v>
      </c>
      <c r="O57" s="37">
        <f ca="1" t="shared" si="2"/>
        <v>4.11111111111111</v>
      </c>
      <c r="Q57" s="43" t="s">
        <v>91</v>
      </c>
    </row>
    <row r="58" s="30" customFormat="1" ht="20" customHeight="1" spans="1:17">
      <c r="A58" s="46">
        <v>46098</v>
      </c>
      <c r="B58" s="32">
        <v>11</v>
      </c>
      <c r="C58" s="38">
        <f ca="1">SUM(O58:O60)/B58</f>
        <v>1.12310606060606</v>
      </c>
      <c r="D58" s="42" t="s">
        <v>92</v>
      </c>
      <c r="E58" s="42" t="s">
        <v>48</v>
      </c>
      <c r="F58" s="32">
        <v>950</v>
      </c>
      <c r="G58" s="42" t="s">
        <v>49</v>
      </c>
      <c r="H58" s="37">
        <f ca="1" t="array" ref="H58">INDEX(成本核算表!J:J,MATCH(1,(成本核算表!D:D=E58)*(成本核算表!C:C=G58),0))</f>
        <v>25</v>
      </c>
      <c r="I58" s="32">
        <v>15</v>
      </c>
      <c r="J58" s="37">
        <f ca="1" t="shared" si="0"/>
        <v>375</v>
      </c>
      <c r="K58" s="32"/>
      <c r="L58" s="32">
        <v>3600</v>
      </c>
      <c r="N58" s="37">
        <f ca="1" t="shared" si="1"/>
        <v>3975</v>
      </c>
      <c r="O58" s="37">
        <f ca="1" t="shared" si="2"/>
        <v>1.10416666666667</v>
      </c>
    </row>
    <row r="59" s="30" customFormat="1" ht="20" customHeight="1" spans="1:17">
      <c r="A59" s="46">
        <v>46098</v>
      </c>
      <c r="B59" s="32"/>
      <c r="C59" s="33"/>
      <c r="D59" s="42" t="s">
        <v>93</v>
      </c>
      <c r="E59" s="42" t="s">
        <v>48</v>
      </c>
      <c r="F59" s="32">
        <v>950</v>
      </c>
      <c r="G59" s="42" t="s">
        <v>49</v>
      </c>
      <c r="H59" s="37">
        <f ca="1" t="array" ref="H59">INDEX(成本核算表!J:J,MATCH(1,(成本核算表!D:D=E59)*(成本核算表!C:C=G59),0))</f>
        <v>25</v>
      </c>
      <c r="I59" s="32">
        <v>1210</v>
      </c>
      <c r="J59" s="37">
        <f ca="1" t="shared" si="0"/>
        <v>30250</v>
      </c>
      <c r="K59" s="32"/>
      <c r="L59" s="32"/>
      <c r="N59" s="37">
        <f ca="1" t="shared" si="1"/>
        <v>30250</v>
      </c>
      <c r="O59" s="37">
        <f ca="1" t="shared" si="2"/>
        <v>8.40277777777778</v>
      </c>
    </row>
    <row r="60" s="30" customFormat="1" ht="20" customHeight="1" spans="1:17">
      <c r="A60" s="46">
        <v>46098</v>
      </c>
      <c r="B60" s="32"/>
      <c r="C60" s="33"/>
      <c r="D60" s="42" t="s">
        <v>94</v>
      </c>
      <c r="E60" s="42" t="s">
        <v>48</v>
      </c>
      <c r="F60" s="32">
        <v>950</v>
      </c>
      <c r="G60" s="42" t="s">
        <v>49</v>
      </c>
      <c r="H60" s="37">
        <f ca="1" t="array" ref="H60">INDEX(成本核算表!J:J,MATCH(1,(成本核算表!D:D=E60)*(成本核算表!C:C=G60),0))</f>
        <v>25</v>
      </c>
      <c r="I60" s="32">
        <v>410</v>
      </c>
      <c r="J60" s="37">
        <f ca="1" t="shared" si="0"/>
        <v>10250</v>
      </c>
      <c r="K60" s="32"/>
      <c r="L60" s="32"/>
      <c r="N60" s="37">
        <f ca="1" t="shared" si="1"/>
        <v>10250</v>
      </c>
      <c r="O60" s="37">
        <f ca="1" t="shared" si="2"/>
        <v>2.84722222222222</v>
      </c>
    </row>
    <row r="61" s="30" customFormat="1" ht="20" customHeight="1" spans="1:17">
      <c r="A61" s="46">
        <v>46099</v>
      </c>
      <c r="B61" s="32">
        <v>11</v>
      </c>
      <c r="C61" s="38">
        <f ca="1">SUM(O61:O64)/B61</f>
        <v>0.828787878787879</v>
      </c>
      <c r="D61" s="42" t="s">
        <v>77</v>
      </c>
      <c r="E61" s="5" t="s">
        <v>78</v>
      </c>
      <c r="F61" s="37">
        <v>1960</v>
      </c>
      <c r="G61" s="5" t="s">
        <v>79</v>
      </c>
      <c r="H61" s="37">
        <f ca="1" t="array" ref="H61">INDEX(成本核算表!J:J,MATCH(1,(成本核算表!D:D=E61)*(成本核算表!C:C=G61),0))</f>
        <v>15</v>
      </c>
      <c r="I61" s="32">
        <f>96+436</f>
        <v>532</v>
      </c>
      <c r="J61" s="37">
        <f ca="1" t="shared" si="0"/>
        <v>7980</v>
      </c>
      <c r="K61" s="32"/>
      <c r="L61" s="32">
        <v>7200</v>
      </c>
      <c r="N61" s="37">
        <f ca="1" t="shared" si="1"/>
        <v>15180</v>
      </c>
      <c r="O61" s="37">
        <f ca="1" t="shared" si="2"/>
        <v>4.21666666666667</v>
      </c>
    </row>
    <row r="62" s="30" customFormat="1" ht="20" customHeight="1" spans="1:17">
      <c r="A62" s="46">
        <v>46099</v>
      </c>
      <c r="B62" s="32"/>
      <c r="C62" s="33"/>
      <c r="D62" s="5" t="s">
        <v>80</v>
      </c>
      <c r="E62" s="5" t="s">
        <v>78</v>
      </c>
      <c r="F62" s="37">
        <v>1960</v>
      </c>
      <c r="G62" s="5" t="s">
        <v>79</v>
      </c>
      <c r="H62" s="37">
        <f ca="1" t="array" ref="H62">INDEX(成本核算表!J:J,MATCH(1,(成本核算表!D:D=E62)*(成本核算表!C:C=G62),0))</f>
        <v>15</v>
      </c>
      <c r="I62" s="32">
        <f>101+367</f>
        <v>468</v>
      </c>
      <c r="J62" s="37">
        <f ca="1" t="shared" si="0"/>
        <v>7020</v>
      </c>
      <c r="K62" s="32"/>
      <c r="L62" s="32"/>
      <c r="N62" s="37">
        <f ca="1" t="shared" si="1"/>
        <v>7020</v>
      </c>
      <c r="O62" s="37">
        <f ca="1" t="shared" si="2"/>
        <v>1.95</v>
      </c>
    </row>
    <row r="63" s="30" customFormat="1" ht="20" customHeight="1" spans="1:17">
      <c r="A63" s="46">
        <v>46099</v>
      </c>
      <c r="B63" s="32"/>
      <c r="C63" s="33"/>
      <c r="D63" s="5" t="s">
        <v>95</v>
      </c>
      <c r="E63" s="5" t="s">
        <v>96</v>
      </c>
      <c r="F63" s="6">
        <v>2200</v>
      </c>
      <c r="G63" s="42" t="s">
        <v>97</v>
      </c>
      <c r="H63" s="37">
        <f ca="1" t="array" ref="H63">INDEX(成本核算表!J:J,MATCH(1,(成本核算表!D:D=E63)*(成本核算表!C:C=G63),0))</f>
        <v>10</v>
      </c>
      <c r="I63" s="32">
        <v>262</v>
      </c>
      <c r="J63" s="37">
        <f ca="1" t="shared" si="0"/>
        <v>2620</v>
      </c>
      <c r="K63" s="32"/>
      <c r="L63" s="32"/>
      <c r="N63" s="37">
        <f ca="1" t="shared" si="1"/>
        <v>2620</v>
      </c>
      <c r="O63" s="37">
        <f ca="1" t="shared" si="2"/>
        <v>0.727777777777778</v>
      </c>
    </row>
    <row r="64" s="30" customFormat="1" ht="20" customHeight="1" spans="1:17">
      <c r="A64" s="46">
        <v>46099</v>
      </c>
      <c r="B64" s="32"/>
      <c r="C64" s="33"/>
      <c r="D64" s="5" t="s">
        <v>98</v>
      </c>
      <c r="E64" s="5" t="s">
        <v>96</v>
      </c>
      <c r="F64" s="6">
        <v>2200</v>
      </c>
      <c r="G64" s="42" t="s">
        <v>97</v>
      </c>
      <c r="H64" s="37">
        <f ca="1" t="array" ref="H64">INDEX(成本核算表!J:J,MATCH(1,(成本核算表!D:D=E64)*(成本核算表!C:C=G64),0))</f>
        <v>10</v>
      </c>
      <c r="I64" s="32">
        <v>800</v>
      </c>
      <c r="J64" s="37">
        <f ca="1" t="shared" si="0"/>
        <v>8000</v>
      </c>
      <c r="K64" s="32"/>
      <c r="L64" s="32"/>
      <c r="N64" s="37">
        <f ca="1" t="shared" si="1"/>
        <v>8000</v>
      </c>
      <c r="O64" s="37">
        <f ca="1" t="shared" si="2"/>
        <v>2.22222222222222</v>
      </c>
    </row>
    <row r="65" s="30" customFormat="1" ht="20" customHeight="1" spans="1:15">
      <c r="A65" s="46">
        <v>46100</v>
      </c>
      <c r="B65" s="32">
        <v>11</v>
      </c>
      <c r="C65" s="38">
        <f ca="1">SUM(O65:O68)/B65</f>
        <v>0.918939393939394</v>
      </c>
      <c r="D65" s="42" t="s">
        <v>80</v>
      </c>
      <c r="E65" s="42" t="s">
        <v>78</v>
      </c>
      <c r="F65" s="32">
        <v>1960</v>
      </c>
      <c r="G65" s="5" t="s">
        <v>81</v>
      </c>
      <c r="H65" s="37">
        <f ca="1" t="array" ref="H65">INDEX(成本核算表!J:J,MATCH(1,(成本核算表!D:D=E65)*(成本核算表!C:C=G65),0))</f>
        <v>25</v>
      </c>
      <c r="I65" s="32">
        <v>66</v>
      </c>
      <c r="J65" s="37">
        <f ca="1" t="shared" si="0"/>
        <v>1650</v>
      </c>
      <c r="K65" s="32"/>
      <c r="L65" s="32">
        <v>10800</v>
      </c>
      <c r="N65" s="37">
        <f ca="1" t="shared" si="1"/>
        <v>12450</v>
      </c>
      <c r="O65" s="37">
        <f ca="1" t="shared" si="2"/>
        <v>3.45833333333333</v>
      </c>
    </row>
    <row r="66" s="30" customFormat="1" ht="20" customHeight="1" spans="1:15">
      <c r="A66" s="46">
        <v>46100</v>
      </c>
      <c r="B66" s="32"/>
      <c r="C66" s="33"/>
      <c r="D66" s="5" t="s">
        <v>95</v>
      </c>
      <c r="E66" s="5" t="s">
        <v>96</v>
      </c>
      <c r="F66" s="6">
        <v>2200</v>
      </c>
      <c r="G66" s="42" t="s">
        <v>97</v>
      </c>
      <c r="H66" s="37">
        <f ca="1" t="array" ref="H66">INDEX(成本核算表!J:J,MATCH(1,(成本核算表!D:D=E66)*(成本核算表!C:C=G66),0))</f>
        <v>10</v>
      </c>
      <c r="I66" s="32">
        <v>342</v>
      </c>
      <c r="J66" s="37">
        <f ca="1" t="shared" ref="J66:J101" si="4">H66*I66</f>
        <v>3420</v>
      </c>
      <c r="K66" s="32"/>
      <c r="L66" s="32"/>
      <c r="N66" s="37">
        <f ca="1" t="shared" ref="N66:N101" si="5">J66-M66+L66</f>
        <v>3420</v>
      </c>
      <c r="O66" s="37">
        <f ca="1" t="shared" ref="O66:O101" si="6">N66/3600</f>
        <v>0.95</v>
      </c>
    </row>
    <row r="67" s="30" customFormat="1" ht="20" customHeight="1" spans="1:15">
      <c r="A67" s="46">
        <v>46100</v>
      </c>
      <c r="B67" s="32"/>
      <c r="C67" s="33"/>
      <c r="D67" s="5" t="s">
        <v>98</v>
      </c>
      <c r="E67" s="5" t="s">
        <v>96</v>
      </c>
      <c r="F67" s="6">
        <v>2200</v>
      </c>
      <c r="G67" s="42" t="s">
        <v>97</v>
      </c>
      <c r="H67" s="37">
        <f ca="1" t="array" ref="H67">INDEX(成本核算表!J:J,MATCH(1,(成本核算表!D:D=E67)*(成本核算表!C:C=G67),0))</f>
        <v>10</v>
      </c>
      <c r="I67" s="32">
        <v>1149</v>
      </c>
      <c r="J67" s="37">
        <f ca="1" t="shared" si="4"/>
        <v>11490</v>
      </c>
      <c r="K67" s="32"/>
      <c r="L67" s="32"/>
      <c r="N67" s="37">
        <f ca="1" t="shared" si="5"/>
        <v>11490</v>
      </c>
      <c r="O67" s="37">
        <f ca="1" t="shared" si="6"/>
        <v>3.19166666666667</v>
      </c>
    </row>
    <row r="68" s="30" customFormat="1" ht="20" customHeight="1" spans="1:15">
      <c r="A68" s="46">
        <v>46100</v>
      </c>
      <c r="B68" s="32"/>
      <c r="C68" s="33"/>
      <c r="D68" s="42" t="s">
        <v>99</v>
      </c>
      <c r="E68" s="5" t="s">
        <v>96</v>
      </c>
      <c r="F68" s="32">
        <v>2400</v>
      </c>
      <c r="G68" s="42" t="s">
        <v>97</v>
      </c>
      <c r="H68" s="37">
        <f ca="1" t="array" ref="H68">INDEX(成本核算表!J:J,MATCH(1,(成本核算表!D:D=E68)*(成本核算表!C:C=G68),0))</f>
        <v>10</v>
      </c>
      <c r="I68" s="32">
        <v>903</v>
      </c>
      <c r="J68" s="37">
        <f ca="1" t="shared" si="4"/>
        <v>9030</v>
      </c>
      <c r="K68" s="32"/>
      <c r="L68" s="32"/>
      <c r="N68" s="37">
        <f ca="1" t="shared" si="5"/>
        <v>9030</v>
      </c>
      <c r="O68" s="37">
        <f ca="1" t="shared" si="6"/>
        <v>2.50833333333333</v>
      </c>
    </row>
    <row r="69" s="30" customFormat="1" ht="20" customHeight="1" spans="1:15">
      <c r="A69" s="46">
        <v>46100</v>
      </c>
      <c r="B69" s="32"/>
      <c r="C69" s="33"/>
      <c r="D69" s="42" t="s">
        <v>100</v>
      </c>
      <c r="E69" s="5" t="s">
        <v>96</v>
      </c>
      <c r="F69" s="32">
        <v>2400</v>
      </c>
      <c r="G69" s="42" t="s">
        <v>97</v>
      </c>
      <c r="H69" s="37">
        <f ca="1" t="array" ref="H69">INDEX(成本核算表!J:J,MATCH(1,(成本核算表!D:D=E69)*(成本核算表!C:C=G69),0))</f>
        <v>10</v>
      </c>
      <c r="I69" s="32">
        <v>900</v>
      </c>
      <c r="J69" s="37">
        <f ca="1" t="shared" si="4"/>
        <v>9000</v>
      </c>
      <c r="K69" s="32"/>
      <c r="L69" s="32"/>
      <c r="N69" s="37">
        <f ca="1" t="shared" si="5"/>
        <v>9000</v>
      </c>
      <c r="O69" s="37">
        <f ca="1" t="shared" si="6"/>
        <v>2.5</v>
      </c>
    </row>
    <row r="70" s="30" customFormat="1" ht="20" customHeight="1" spans="1:15">
      <c r="A70" s="46"/>
      <c r="B70" s="32"/>
      <c r="C70" s="33"/>
      <c r="D70" s="32"/>
      <c r="E70" s="32"/>
      <c r="F70" s="32"/>
      <c r="G70" s="32"/>
      <c r="H70" s="37">
        <f ca="1" t="array" ref="H70">INDEX(成本核算表!J:J,MATCH(1,(成本核算表!D:D=E70)*(成本核算表!C:C=G70),0))</f>
        <v>0</v>
      </c>
      <c r="I70" s="32"/>
      <c r="J70" s="37">
        <f ca="1" t="shared" si="4"/>
        <v>0</v>
      </c>
      <c r="K70" s="32"/>
      <c r="L70" s="32"/>
      <c r="N70" s="37">
        <f ca="1" t="shared" si="5"/>
        <v>0</v>
      </c>
      <c r="O70" s="37">
        <f ca="1" t="shared" si="6"/>
        <v>0</v>
      </c>
    </row>
    <row r="71" s="30" customFormat="1" ht="20" customHeight="1" spans="1:15">
      <c r="A71" s="46"/>
      <c r="B71" s="32"/>
      <c r="C71" s="33"/>
      <c r="D71" s="32"/>
      <c r="E71" s="32"/>
      <c r="F71" s="32"/>
      <c r="G71" s="32"/>
      <c r="H71" s="37">
        <f ca="1" t="array" ref="H71">INDEX(成本核算表!J:J,MATCH(1,(成本核算表!D:D=E71)*(成本核算表!C:C=G71),0))</f>
        <v>0</v>
      </c>
      <c r="I71" s="32"/>
      <c r="J71" s="37">
        <f ca="1" t="shared" si="4"/>
        <v>0</v>
      </c>
      <c r="K71" s="32"/>
      <c r="L71" s="32"/>
      <c r="N71" s="37">
        <f ca="1" t="shared" si="5"/>
        <v>0</v>
      </c>
      <c r="O71" s="37">
        <f ca="1" t="shared" si="6"/>
        <v>0</v>
      </c>
    </row>
    <row r="72" s="30" customFormat="1" ht="20" customHeight="1" spans="1:15">
      <c r="A72" s="46"/>
      <c r="B72" s="32"/>
      <c r="C72" s="33"/>
      <c r="D72" s="32"/>
      <c r="E72" s="32"/>
      <c r="F72" s="32"/>
      <c r="G72" s="32"/>
      <c r="H72" s="37">
        <f ca="1" t="array" ref="H72">INDEX(成本核算表!J:J,MATCH(1,(成本核算表!D:D=E72)*(成本核算表!C:C=G72),0))</f>
        <v>0</v>
      </c>
      <c r="I72" s="32"/>
      <c r="J72" s="37">
        <f ca="1" t="shared" si="4"/>
        <v>0</v>
      </c>
      <c r="K72" s="32"/>
      <c r="L72" s="32"/>
      <c r="N72" s="37">
        <f ca="1" t="shared" si="5"/>
        <v>0</v>
      </c>
      <c r="O72" s="37">
        <f ca="1" t="shared" si="6"/>
        <v>0</v>
      </c>
    </row>
    <row r="73" s="30" customFormat="1" ht="20" customHeight="1" spans="1:15">
      <c r="A73" s="46"/>
      <c r="B73" s="32"/>
      <c r="C73" s="33"/>
      <c r="D73" s="32"/>
      <c r="E73" s="32"/>
      <c r="F73" s="32"/>
      <c r="G73" s="32"/>
      <c r="H73" s="37">
        <f ca="1" t="array" ref="H73">INDEX(成本核算表!J:J,MATCH(1,(成本核算表!D:D=E73)*(成本核算表!C:C=G73),0))</f>
        <v>0</v>
      </c>
      <c r="I73" s="32"/>
      <c r="J73" s="37">
        <f ca="1" t="shared" si="4"/>
        <v>0</v>
      </c>
      <c r="K73" s="32"/>
      <c r="L73" s="32"/>
      <c r="N73" s="37">
        <f ca="1" t="shared" si="5"/>
        <v>0</v>
      </c>
      <c r="O73" s="37">
        <f ca="1" t="shared" si="6"/>
        <v>0</v>
      </c>
    </row>
    <row r="74" s="30" customFormat="1" ht="20" customHeight="1" spans="1:15">
      <c r="A74" s="46"/>
      <c r="B74" s="32"/>
      <c r="C74" s="33"/>
      <c r="D74" s="32"/>
      <c r="E74" s="32"/>
      <c r="F74" s="32"/>
      <c r="G74" s="32"/>
      <c r="H74" s="37">
        <f ca="1" t="array" ref="H74">INDEX(成本核算表!J:J,MATCH(1,(成本核算表!D:D=E74)*(成本核算表!C:C=G74),0))</f>
        <v>0</v>
      </c>
      <c r="I74" s="32"/>
      <c r="J74" s="37">
        <f ca="1" t="shared" si="4"/>
        <v>0</v>
      </c>
      <c r="K74" s="32"/>
      <c r="L74" s="32"/>
      <c r="N74" s="37">
        <f ca="1" t="shared" si="5"/>
        <v>0</v>
      </c>
      <c r="O74" s="37">
        <f ca="1" t="shared" si="6"/>
        <v>0</v>
      </c>
    </row>
    <row r="75" s="30" customFormat="1" ht="20" customHeight="1" spans="1:15">
      <c r="A75" s="46"/>
      <c r="B75" s="32"/>
      <c r="C75" s="33"/>
      <c r="D75" s="32"/>
      <c r="E75" s="32"/>
      <c r="F75" s="32"/>
      <c r="G75" s="32"/>
      <c r="H75" s="37">
        <f ca="1" t="array" ref="H75">INDEX(成本核算表!J:J,MATCH(1,(成本核算表!D:D=E75)*(成本核算表!C:C=G75),0))</f>
        <v>0</v>
      </c>
      <c r="I75" s="32"/>
      <c r="J75" s="37">
        <f ca="1" t="shared" si="4"/>
        <v>0</v>
      </c>
      <c r="K75" s="32"/>
      <c r="L75" s="32"/>
      <c r="N75" s="37">
        <f ca="1" t="shared" si="5"/>
        <v>0</v>
      </c>
      <c r="O75" s="37">
        <f ca="1" t="shared" si="6"/>
        <v>0</v>
      </c>
    </row>
    <row r="76" s="30" customFormat="1" ht="20" customHeight="1" spans="1:15">
      <c r="A76" s="46"/>
      <c r="B76" s="32"/>
      <c r="C76" s="33"/>
      <c r="D76" s="32"/>
      <c r="E76" s="32"/>
      <c r="F76" s="32"/>
      <c r="G76" s="32"/>
      <c r="H76" s="37">
        <f ca="1" t="array" ref="H76">INDEX(成本核算表!J:J,MATCH(1,(成本核算表!D:D=E76)*(成本核算表!C:C=G76),0))</f>
        <v>0</v>
      </c>
      <c r="I76" s="32"/>
      <c r="J76" s="37">
        <f ca="1" t="shared" si="4"/>
        <v>0</v>
      </c>
      <c r="K76" s="32"/>
      <c r="L76" s="32"/>
      <c r="N76" s="37">
        <f ca="1" t="shared" si="5"/>
        <v>0</v>
      </c>
      <c r="O76" s="37">
        <f ca="1" t="shared" si="6"/>
        <v>0</v>
      </c>
    </row>
    <row r="77" s="30" customFormat="1" ht="20" customHeight="1" spans="1:15">
      <c r="A77" s="46"/>
      <c r="B77" s="32"/>
      <c r="C77" s="33"/>
      <c r="D77" s="32"/>
      <c r="E77" s="32"/>
      <c r="F77" s="32"/>
      <c r="G77" s="32"/>
      <c r="H77" s="37">
        <f ca="1" t="array" ref="H77">INDEX(成本核算表!J:J,MATCH(1,(成本核算表!D:D=E77)*(成本核算表!C:C=G77),0))</f>
        <v>0</v>
      </c>
      <c r="I77" s="32"/>
      <c r="J77" s="37">
        <f ca="1" t="shared" si="4"/>
        <v>0</v>
      </c>
      <c r="K77" s="32"/>
      <c r="L77" s="32"/>
      <c r="N77" s="37">
        <f ca="1" t="shared" si="5"/>
        <v>0</v>
      </c>
      <c r="O77" s="37">
        <f ca="1" t="shared" si="6"/>
        <v>0</v>
      </c>
    </row>
    <row r="78" s="30" customFormat="1" ht="20" customHeight="1" spans="1:15">
      <c r="A78" s="46"/>
      <c r="B78" s="32"/>
      <c r="C78" s="33"/>
      <c r="D78" s="32"/>
      <c r="E78" s="32"/>
      <c r="F78" s="32"/>
      <c r="G78" s="32"/>
      <c r="H78" s="37">
        <f ca="1" t="array" ref="H78">INDEX(成本核算表!J:J,MATCH(1,(成本核算表!D:D=E78)*(成本核算表!C:C=G78),0))</f>
        <v>0</v>
      </c>
      <c r="I78" s="32"/>
      <c r="J78" s="37">
        <f ca="1" t="shared" si="4"/>
        <v>0</v>
      </c>
      <c r="K78" s="32"/>
      <c r="L78" s="32"/>
      <c r="N78" s="37">
        <f ca="1" t="shared" si="5"/>
        <v>0</v>
      </c>
      <c r="O78" s="37">
        <f ca="1" t="shared" si="6"/>
        <v>0</v>
      </c>
    </row>
    <row r="79" s="30" customFormat="1" ht="20" customHeight="1" spans="1:15">
      <c r="A79" s="46"/>
      <c r="B79" s="32"/>
      <c r="C79" s="33"/>
      <c r="D79" s="32"/>
      <c r="E79" s="32"/>
      <c r="F79" s="32"/>
      <c r="G79" s="32"/>
      <c r="H79" s="37">
        <f ca="1" t="array" ref="H79">INDEX(成本核算表!J:J,MATCH(1,(成本核算表!D:D=E79)*(成本核算表!C:C=G79),0))</f>
        <v>0</v>
      </c>
      <c r="I79" s="32"/>
      <c r="J79" s="37">
        <f ca="1" t="shared" si="4"/>
        <v>0</v>
      </c>
      <c r="K79" s="32"/>
      <c r="L79" s="32"/>
      <c r="N79" s="37">
        <f ca="1" t="shared" si="5"/>
        <v>0</v>
      </c>
      <c r="O79" s="37">
        <f ca="1" t="shared" si="6"/>
        <v>0</v>
      </c>
    </row>
    <row r="80" s="30" customFormat="1" ht="20" customHeight="1" spans="1:15">
      <c r="A80" s="46"/>
      <c r="B80" s="32"/>
      <c r="C80" s="33"/>
      <c r="D80" s="32"/>
      <c r="E80" s="32"/>
      <c r="F80" s="32"/>
      <c r="G80" s="32"/>
      <c r="H80" s="37">
        <f ca="1" t="array" ref="H80">INDEX(成本核算表!J:J,MATCH(1,(成本核算表!D:D=E80)*(成本核算表!C:C=G80),0))</f>
        <v>0</v>
      </c>
      <c r="I80" s="32"/>
      <c r="J80" s="37">
        <f ca="1" t="shared" si="4"/>
        <v>0</v>
      </c>
      <c r="K80" s="32"/>
      <c r="L80" s="32"/>
      <c r="N80" s="37">
        <f ca="1" t="shared" si="5"/>
        <v>0</v>
      </c>
      <c r="O80" s="37">
        <f ca="1" t="shared" si="6"/>
        <v>0</v>
      </c>
    </row>
    <row r="81" s="30" customFormat="1" ht="20" customHeight="1" spans="1:15">
      <c r="A81" s="46"/>
      <c r="B81" s="32"/>
      <c r="C81" s="33"/>
      <c r="D81" s="32"/>
      <c r="E81" s="32"/>
      <c r="F81" s="32"/>
      <c r="G81" s="32"/>
      <c r="H81" s="37">
        <f ca="1" t="array" ref="H81">INDEX(成本核算表!J:J,MATCH(1,(成本核算表!D:D=E81)*(成本核算表!C:C=G81),0))</f>
        <v>0</v>
      </c>
      <c r="I81" s="32"/>
      <c r="J81" s="37">
        <f ca="1" t="shared" si="4"/>
        <v>0</v>
      </c>
      <c r="K81" s="32"/>
      <c r="L81" s="32"/>
      <c r="N81" s="37">
        <f ca="1" t="shared" si="5"/>
        <v>0</v>
      </c>
      <c r="O81" s="37">
        <f ca="1" t="shared" si="6"/>
        <v>0</v>
      </c>
    </row>
    <row r="82" s="30" customFormat="1" ht="20" customHeight="1" spans="1:15">
      <c r="A82" s="46"/>
      <c r="B82" s="32"/>
      <c r="C82" s="33"/>
      <c r="D82" s="32"/>
      <c r="E82" s="32"/>
      <c r="F82" s="32"/>
      <c r="G82" s="32"/>
      <c r="H82" s="37">
        <f ca="1" t="array" ref="H82">INDEX(成本核算表!J:J,MATCH(1,(成本核算表!D:D=E82)*(成本核算表!C:C=G82),0))</f>
        <v>0</v>
      </c>
      <c r="I82" s="32"/>
      <c r="J82" s="37">
        <f ca="1" t="shared" si="4"/>
        <v>0</v>
      </c>
      <c r="K82" s="32"/>
      <c r="L82" s="32"/>
      <c r="N82" s="37">
        <f ca="1" t="shared" si="5"/>
        <v>0</v>
      </c>
      <c r="O82" s="37">
        <f ca="1" t="shared" si="6"/>
        <v>0</v>
      </c>
    </row>
    <row r="83" s="30" customFormat="1" ht="20" customHeight="1" spans="1:15">
      <c r="A83" s="46"/>
      <c r="B83" s="32"/>
      <c r="C83" s="33"/>
      <c r="D83" s="32"/>
      <c r="E83" s="32"/>
      <c r="F83" s="32"/>
      <c r="G83" s="32"/>
      <c r="H83" s="37">
        <f ca="1" t="array" ref="H83">INDEX(成本核算表!J:J,MATCH(1,(成本核算表!D:D=E83)*(成本核算表!C:C=G83),0))</f>
        <v>0</v>
      </c>
      <c r="I83" s="32"/>
      <c r="J83" s="37">
        <f ca="1" t="shared" si="4"/>
        <v>0</v>
      </c>
      <c r="K83" s="32"/>
      <c r="L83" s="32"/>
      <c r="N83" s="37">
        <f ca="1" t="shared" si="5"/>
        <v>0</v>
      </c>
      <c r="O83" s="37">
        <f ca="1" t="shared" si="6"/>
        <v>0</v>
      </c>
    </row>
    <row r="84" s="30" customFormat="1" ht="20" customHeight="1" spans="1:15">
      <c r="A84" s="46"/>
      <c r="B84" s="32"/>
      <c r="C84" s="33"/>
      <c r="D84" s="32"/>
      <c r="E84" s="32"/>
      <c r="F84" s="32"/>
      <c r="G84" s="32"/>
      <c r="H84" s="37">
        <f ca="1" t="array" ref="H84">INDEX(成本核算表!J:J,MATCH(1,(成本核算表!D:D=E84)*(成本核算表!C:C=G84),0))</f>
        <v>0</v>
      </c>
      <c r="I84" s="32"/>
      <c r="J84" s="37">
        <f ca="1" t="shared" si="4"/>
        <v>0</v>
      </c>
      <c r="K84" s="32"/>
      <c r="L84" s="32"/>
      <c r="N84" s="37">
        <f ca="1" t="shared" si="5"/>
        <v>0</v>
      </c>
      <c r="O84" s="37">
        <f ca="1" t="shared" si="6"/>
        <v>0</v>
      </c>
    </row>
    <row r="85" s="30" customFormat="1" ht="20" customHeight="1" spans="1:15">
      <c r="A85" s="46"/>
      <c r="B85" s="32"/>
      <c r="C85" s="33"/>
      <c r="D85" s="32"/>
      <c r="E85" s="32"/>
      <c r="F85" s="32"/>
      <c r="G85" s="32"/>
      <c r="H85" s="37">
        <f ca="1" t="array" ref="H85">INDEX(成本核算表!J:J,MATCH(1,(成本核算表!D:D=E85)*(成本核算表!C:C=G85),0))</f>
        <v>0</v>
      </c>
      <c r="I85" s="32"/>
      <c r="J85" s="37">
        <f ca="1" t="shared" si="4"/>
        <v>0</v>
      </c>
      <c r="K85" s="32"/>
      <c r="L85" s="32"/>
      <c r="N85" s="37">
        <f ca="1" t="shared" si="5"/>
        <v>0</v>
      </c>
      <c r="O85" s="37">
        <f ca="1" t="shared" si="6"/>
        <v>0</v>
      </c>
    </row>
    <row r="86" s="30" customFormat="1" ht="20" customHeight="1" spans="1:15">
      <c r="A86" s="46"/>
      <c r="B86" s="32"/>
      <c r="C86" s="33"/>
      <c r="D86" s="32"/>
      <c r="E86" s="32"/>
      <c r="F86" s="32"/>
      <c r="G86" s="32"/>
      <c r="H86" s="37">
        <f ca="1" t="array" ref="H86">INDEX(成本核算表!J:J,MATCH(1,(成本核算表!D:D=E86)*(成本核算表!C:C=G86),0))</f>
        <v>0</v>
      </c>
      <c r="I86" s="32"/>
      <c r="J86" s="37">
        <f ca="1" t="shared" si="4"/>
        <v>0</v>
      </c>
      <c r="K86" s="32"/>
      <c r="L86" s="32"/>
      <c r="N86" s="37">
        <f ca="1" t="shared" si="5"/>
        <v>0</v>
      </c>
      <c r="O86" s="37">
        <f ca="1" t="shared" si="6"/>
        <v>0</v>
      </c>
    </row>
    <row r="87" s="30" customFormat="1" ht="20" customHeight="1" spans="1:15">
      <c r="A87" s="46"/>
      <c r="B87" s="32"/>
      <c r="C87" s="33"/>
      <c r="D87" s="32"/>
      <c r="E87" s="32"/>
      <c r="F87" s="32"/>
      <c r="G87" s="32"/>
      <c r="H87" s="37">
        <f ca="1" t="array" ref="H87">INDEX(成本核算表!J:J,MATCH(1,(成本核算表!D:D=E87)*(成本核算表!C:C=G87),0))</f>
        <v>0</v>
      </c>
      <c r="I87" s="32"/>
      <c r="J87" s="37">
        <f ca="1" t="shared" si="4"/>
        <v>0</v>
      </c>
      <c r="K87" s="32"/>
      <c r="L87" s="32"/>
      <c r="N87" s="37">
        <f ca="1" t="shared" si="5"/>
        <v>0</v>
      </c>
      <c r="O87" s="37">
        <f ca="1" t="shared" si="6"/>
        <v>0</v>
      </c>
    </row>
    <row r="88" s="30" customFormat="1" ht="20" customHeight="1" spans="1:15">
      <c r="A88" s="46"/>
      <c r="B88" s="32"/>
      <c r="C88" s="33"/>
      <c r="D88" s="32"/>
      <c r="E88" s="32"/>
      <c r="F88" s="32"/>
      <c r="G88" s="32"/>
      <c r="H88" s="37">
        <f ca="1" t="array" ref="H88">INDEX(成本核算表!J:J,MATCH(1,(成本核算表!D:D=E88)*(成本核算表!C:C=G88),0))</f>
        <v>0</v>
      </c>
      <c r="I88" s="32"/>
      <c r="J88" s="37">
        <f ca="1" t="shared" si="4"/>
        <v>0</v>
      </c>
      <c r="K88" s="32"/>
      <c r="L88" s="32"/>
      <c r="N88" s="37">
        <f ca="1" t="shared" si="5"/>
        <v>0</v>
      </c>
      <c r="O88" s="37">
        <f ca="1" t="shared" si="6"/>
        <v>0</v>
      </c>
    </row>
    <row r="89" s="30" customFormat="1" ht="20" customHeight="1" spans="1:15">
      <c r="A89" s="46"/>
      <c r="B89" s="32"/>
      <c r="C89" s="33"/>
      <c r="D89" s="32"/>
      <c r="E89" s="32"/>
      <c r="F89" s="32"/>
      <c r="G89" s="32"/>
      <c r="H89" s="37">
        <f ca="1" t="array" ref="H89">INDEX(成本核算表!J:J,MATCH(1,(成本核算表!D:D=E89)*(成本核算表!C:C=G89),0))</f>
        <v>0</v>
      </c>
      <c r="I89" s="32"/>
      <c r="J89" s="37">
        <f ca="1" t="shared" si="4"/>
        <v>0</v>
      </c>
      <c r="K89" s="32"/>
      <c r="L89" s="32"/>
      <c r="N89" s="37">
        <f ca="1" t="shared" si="5"/>
        <v>0</v>
      </c>
      <c r="O89" s="37">
        <f ca="1" t="shared" si="6"/>
        <v>0</v>
      </c>
    </row>
    <row r="90" s="30" customFormat="1" ht="20" customHeight="1" spans="1:15">
      <c r="A90" s="46"/>
      <c r="B90" s="32"/>
      <c r="C90" s="33"/>
      <c r="D90" s="32"/>
      <c r="E90" s="32"/>
      <c r="F90" s="32"/>
      <c r="G90" s="32"/>
      <c r="H90" s="37">
        <f ca="1" t="array" ref="H90">INDEX(成本核算表!J:J,MATCH(1,(成本核算表!D:D=E90)*(成本核算表!C:C=G90),0))</f>
        <v>0</v>
      </c>
      <c r="I90" s="32"/>
      <c r="J90" s="37">
        <f ca="1" t="shared" si="4"/>
        <v>0</v>
      </c>
      <c r="K90" s="32"/>
      <c r="L90" s="32"/>
      <c r="N90" s="37">
        <f ca="1" t="shared" si="5"/>
        <v>0</v>
      </c>
      <c r="O90" s="37">
        <f ca="1" t="shared" si="6"/>
        <v>0</v>
      </c>
    </row>
    <row r="91" s="30" customFormat="1" ht="20" customHeight="1" spans="1:15">
      <c r="A91" s="46"/>
      <c r="B91" s="32"/>
      <c r="C91" s="33"/>
      <c r="D91" s="32"/>
      <c r="E91" s="32"/>
      <c r="F91" s="32"/>
      <c r="G91" s="32"/>
      <c r="H91" s="37">
        <f ca="1" t="array" ref="H91">INDEX(成本核算表!J:J,MATCH(1,(成本核算表!D:D=E91)*(成本核算表!C:C=G91),0))</f>
        <v>0</v>
      </c>
      <c r="I91" s="32"/>
      <c r="J91" s="37">
        <f ca="1" t="shared" si="4"/>
        <v>0</v>
      </c>
      <c r="K91" s="32"/>
      <c r="L91" s="32"/>
      <c r="N91" s="37">
        <f ca="1" t="shared" si="5"/>
        <v>0</v>
      </c>
      <c r="O91" s="37">
        <f ca="1" t="shared" si="6"/>
        <v>0</v>
      </c>
    </row>
    <row r="92" s="30" customFormat="1" ht="20" customHeight="1" spans="1:15">
      <c r="A92" s="46"/>
      <c r="B92" s="32"/>
      <c r="C92" s="33"/>
      <c r="D92" s="32"/>
      <c r="E92" s="32"/>
      <c r="F92" s="32"/>
      <c r="G92" s="32"/>
      <c r="H92" s="37">
        <f ca="1" t="array" ref="H92">INDEX(成本核算表!J:J,MATCH(1,(成本核算表!D:D=E92)*(成本核算表!C:C=G92),0))</f>
        <v>0</v>
      </c>
      <c r="I92" s="32"/>
      <c r="J92" s="37">
        <f ca="1" t="shared" si="4"/>
        <v>0</v>
      </c>
      <c r="K92" s="32"/>
      <c r="L92" s="32"/>
      <c r="N92" s="37">
        <f ca="1" t="shared" si="5"/>
        <v>0</v>
      </c>
      <c r="O92" s="37">
        <f ca="1" t="shared" si="6"/>
        <v>0</v>
      </c>
    </row>
    <row r="93" s="30" customFormat="1" ht="20" customHeight="1" spans="1:15">
      <c r="A93" s="46"/>
      <c r="B93" s="32"/>
      <c r="C93" s="33"/>
      <c r="D93" s="32"/>
      <c r="E93" s="32"/>
      <c r="F93" s="32"/>
      <c r="G93" s="32"/>
      <c r="H93" s="37">
        <f ca="1" t="array" ref="H93">INDEX(成本核算表!J:J,MATCH(1,(成本核算表!D:D=E93)*(成本核算表!C:C=G93),0))</f>
        <v>0</v>
      </c>
      <c r="I93" s="32"/>
      <c r="J93" s="37">
        <f ca="1" t="shared" si="4"/>
        <v>0</v>
      </c>
      <c r="K93" s="32"/>
      <c r="L93" s="32"/>
      <c r="N93" s="37">
        <f ca="1" t="shared" si="5"/>
        <v>0</v>
      </c>
      <c r="O93" s="37">
        <f ca="1" t="shared" si="6"/>
        <v>0</v>
      </c>
    </row>
    <row r="94" s="30" customFormat="1" ht="20" customHeight="1" spans="1:15">
      <c r="A94" s="46"/>
      <c r="B94" s="32"/>
      <c r="C94" s="33"/>
      <c r="D94" s="32"/>
      <c r="E94" s="32"/>
      <c r="F94" s="32"/>
      <c r="G94" s="32"/>
      <c r="H94" s="37">
        <f ca="1" t="array" ref="H94">INDEX(成本核算表!J:J,MATCH(1,(成本核算表!D:D=E94)*(成本核算表!C:C=G94),0))</f>
        <v>0</v>
      </c>
      <c r="I94" s="32"/>
      <c r="J94" s="37">
        <f ca="1" t="shared" si="4"/>
        <v>0</v>
      </c>
      <c r="K94" s="32"/>
      <c r="L94" s="32"/>
      <c r="N94" s="37">
        <f ca="1" t="shared" si="5"/>
        <v>0</v>
      </c>
      <c r="O94" s="37">
        <f ca="1" t="shared" si="6"/>
        <v>0</v>
      </c>
    </row>
    <row r="95" s="30" customFormat="1" ht="20" customHeight="1" spans="1:15">
      <c r="A95" s="46"/>
      <c r="B95" s="32"/>
      <c r="C95" s="33"/>
      <c r="D95" s="32"/>
      <c r="E95" s="32"/>
      <c r="F95" s="32"/>
      <c r="G95" s="32"/>
      <c r="H95" s="37">
        <f ca="1" t="array" ref="H95">INDEX(成本核算表!J:J,MATCH(1,(成本核算表!D:D=E95)*(成本核算表!C:C=G95),0))</f>
        <v>0</v>
      </c>
      <c r="I95" s="32"/>
      <c r="J95" s="37">
        <f ca="1" t="shared" si="4"/>
        <v>0</v>
      </c>
      <c r="K95" s="32"/>
      <c r="L95" s="32"/>
      <c r="N95" s="37">
        <f ca="1" t="shared" si="5"/>
        <v>0</v>
      </c>
      <c r="O95" s="37">
        <f ca="1" t="shared" si="6"/>
        <v>0</v>
      </c>
    </row>
    <row r="96" s="30" customFormat="1" ht="20" customHeight="1" spans="1:15">
      <c r="A96" s="46"/>
      <c r="B96" s="32"/>
      <c r="C96" s="33"/>
      <c r="D96" s="32"/>
      <c r="E96" s="32"/>
      <c r="F96" s="32"/>
      <c r="G96" s="32"/>
      <c r="H96" s="37">
        <f ca="1" t="array" ref="H96">INDEX(成本核算表!J:J,MATCH(1,(成本核算表!D:D=E96)*(成本核算表!C:C=G96),0))</f>
        <v>0</v>
      </c>
      <c r="I96" s="32"/>
      <c r="J96" s="37">
        <f ca="1" t="shared" si="4"/>
        <v>0</v>
      </c>
      <c r="K96" s="32"/>
      <c r="L96" s="32"/>
      <c r="N96" s="37">
        <f ca="1" t="shared" si="5"/>
        <v>0</v>
      </c>
      <c r="O96" s="37">
        <f ca="1" t="shared" si="6"/>
        <v>0</v>
      </c>
    </row>
    <row r="97" s="30" customFormat="1" ht="20" customHeight="1" spans="1:15">
      <c r="A97" s="46"/>
      <c r="B97" s="32"/>
      <c r="C97" s="33"/>
      <c r="D97" s="32"/>
      <c r="E97" s="32"/>
      <c r="F97" s="32"/>
      <c r="G97" s="32"/>
      <c r="H97" s="37">
        <f ca="1" t="array" ref="H97">INDEX(成本核算表!J:J,MATCH(1,(成本核算表!D:D=E97)*(成本核算表!C:C=G97),0))</f>
        <v>0</v>
      </c>
      <c r="I97" s="32"/>
      <c r="J97" s="37">
        <f ca="1" t="shared" si="4"/>
        <v>0</v>
      </c>
      <c r="K97" s="32"/>
      <c r="L97" s="32"/>
      <c r="N97" s="37">
        <f ca="1" t="shared" si="5"/>
        <v>0</v>
      </c>
      <c r="O97" s="37">
        <f ca="1" t="shared" si="6"/>
        <v>0</v>
      </c>
    </row>
    <row r="98" s="30" customFormat="1" ht="20" customHeight="1" spans="1:15">
      <c r="A98" s="46"/>
      <c r="B98" s="32"/>
      <c r="C98" s="33"/>
      <c r="D98" s="32"/>
      <c r="E98" s="32"/>
      <c r="F98" s="32"/>
      <c r="G98" s="32"/>
      <c r="H98" s="37">
        <f ca="1" t="array" ref="H98">INDEX(成本核算表!J:J,MATCH(1,(成本核算表!D:D=E98)*(成本核算表!C:C=G98),0))</f>
        <v>0</v>
      </c>
      <c r="I98" s="32"/>
      <c r="J98" s="37">
        <f ca="1" t="shared" si="4"/>
        <v>0</v>
      </c>
      <c r="K98" s="32"/>
      <c r="L98" s="32"/>
      <c r="N98" s="37">
        <f ca="1" t="shared" si="5"/>
        <v>0</v>
      </c>
      <c r="O98" s="37">
        <f ca="1" t="shared" si="6"/>
        <v>0</v>
      </c>
    </row>
    <row r="99" s="30" customFormat="1" ht="20" customHeight="1" spans="1:15">
      <c r="A99" s="46"/>
      <c r="B99" s="32"/>
      <c r="C99" s="33"/>
      <c r="D99" s="32"/>
      <c r="E99" s="32"/>
      <c r="F99" s="32"/>
      <c r="G99" s="32"/>
      <c r="H99" s="37">
        <f ca="1" t="array" ref="H99">INDEX(成本核算表!J:J,MATCH(1,(成本核算表!D:D=E99)*(成本核算表!C:C=G99),0))</f>
        <v>0</v>
      </c>
      <c r="I99" s="32"/>
      <c r="J99" s="37">
        <f ca="1" t="shared" si="4"/>
        <v>0</v>
      </c>
      <c r="K99" s="32"/>
      <c r="L99" s="32"/>
      <c r="N99" s="37">
        <f ca="1" t="shared" si="5"/>
        <v>0</v>
      </c>
      <c r="O99" s="37">
        <f ca="1" t="shared" si="6"/>
        <v>0</v>
      </c>
    </row>
    <row r="100" s="30" customFormat="1" ht="20" customHeight="1" spans="1:15">
      <c r="A100" s="46"/>
      <c r="B100" s="32"/>
      <c r="C100" s="33"/>
      <c r="D100" s="32"/>
      <c r="E100" s="32"/>
      <c r="F100" s="32"/>
      <c r="G100" s="32"/>
      <c r="H100" s="37">
        <f ca="1" t="array" ref="H100">INDEX(成本核算表!J:J,MATCH(1,(成本核算表!D:D=E100)*(成本核算表!C:C=G100),0))</f>
        <v>0</v>
      </c>
      <c r="I100" s="32"/>
      <c r="J100" s="37">
        <f ca="1" t="shared" si="4"/>
        <v>0</v>
      </c>
      <c r="K100" s="32"/>
      <c r="L100" s="32"/>
      <c r="N100" s="37">
        <f ca="1" t="shared" si="5"/>
        <v>0</v>
      </c>
      <c r="O100" s="37">
        <f ca="1" t="shared" si="6"/>
        <v>0</v>
      </c>
    </row>
    <row r="101" s="30" customFormat="1" ht="20" customHeight="1" spans="1:15">
      <c r="A101" s="46"/>
      <c r="B101" s="32"/>
      <c r="C101" s="33"/>
      <c r="D101" s="32"/>
      <c r="E101" s="32"/>
      <c r="F101" s="32"/>
      <c r="G101" s="32"/>
      <c r="H101" s="37">
        <f ca="1" t="array" ref="H101">INDEX(成本核算表!J:J,MATCH(1,(成本核算表!D:D=E101)*(成本核算表!C:C=G101),0))</f>
        <v>0</v>
      </c>
      <c r="I101" s="32"/>
      <c r="J101" s="37">
        <f ca="1" t="shared" si="4"/>
        <v>0</v>
      </c>
      <c r="K101" s="32"/>
      <c r="L101" s="32"/>
      <c r="N101" s="37">
        <f ca="1" t="shared" si="5"/>
        <v>0</v>
      </c>
      <c r="O101" s="37">
        <f ca="1" t="shared" si="6"/>
        <v>0</v>
      </c>
    </row>
    <row r="102" s="30" customFormat="1" customHeight="1" spans="1:15">
      <c r="A102" s="46"/>
      <c r="B102" s="32"/>
      <c r="C102" s="33"/>
      <c r="D102" s="32"/>
      <c r="E102" s="32"/>
      <c r="F102" s="32"/>
      <c r="G102" s="32"/>
      <c r="H102" s="34"/>
      <c r="I102" s="34"/>
      <c r="J102" s="32"/>
      <c r="K102" s="32"/>
      <c r="L102" s="32"/>
    </row>
    <row r="103" s="30" customFormat="1" customHeight="1" spans="1:15">
      <c r="A103" s="46"/>
      <c r="B103" s="32"/>
      <c r="C103" s="33"/>
      <c r="D103" s="32"/>
      <c r="E103" s="32"/>
      <c r="F103" s="32"/>
      <c r="G103" s="32"/>
      <c r="H103" s="34"/>
      <c r="I103" s="34"/>
      <c r="J103" s="32"/>
      <c r="K103" s="32"/>
      <c r="L103" s="32"/>
    </row>
    <row r="104" s="30" customFormat="1" customHeight="1" spans="1:15">
      <c r="A104" s="46"/>
      <c r="B104" s="32"/>
      <c r="C104" s="33"/>
      <c r="D104" s="32"/>
      <c r="E104" s="32"/>
      <c r="F104" s="32"/>
      <c r="G104" s="32"/>
      <c r="H104" s="34"/>
      <c r="I104" s="34"/>
      <c r="J104" s="32"/>
      <c r="K104" s="32"/>
      <c r="L104" s="32"/>
    </row>
    <row r="105" s="30" customFormat="1" customHeight="1" spans="1:15">
      <c r="A105" s="46"/>
      <c r="B105" s="32"/>
      <c r="C105" s="33"/>
      <c r="D105" s="32"/>
      <c r="E105" s="32"/>
      <c r="F105" s="32"/>
      <c r="G105" s="32"/>
      <c r="H105" s="34"/>
      <c r="I105" s="34"/>
      <c r="J105" s="32"/>
      <c r="K105" s="32"/>
      <c r="L105" s="32"/>
    </row>
    <row r="106" s="30" customFormat="1" customHeight="1" spans="1:15">
      <c r="A106" s="46"/>
      <c r="B106" s="32"/>
      <c r="C106" s="33"/>
      <c r="D106" s="32"/>
      <c r="E106" s="32"/>
      <c r="F106" s="32"/>
      <c r="G106" s="32"/>
      <c r="H106" s="34"/>
      <c r="I106" s="34"/>
      <c r="J106" s="32"/>
      <c r="K106" s="32"/>
      <c r="L106" s="32"/>
    </row>
    <row r="107" s="30" customFormat="1" customHeight="1" spans="1:15">
      <c r="A107" s="46"/>
      <c r="B107" s="32"/>
      <c r="C107" s="33"/>
      <c r="D107" s="32"/>
      <c r="E107" s="32"/>
      <c r="F107" s="32"/>
      <c r="G107" s="32"/>
      <c r="H107" s="34"/>
      <c r="I107" s="34"/>
      <c r="J107" s="32"/>
      <c r="K107" s="32"/>
      <c r="L107" s="32"/>
    </row>
    <row r="108" s="30" customFormat="1" customHeight="1" spans="1:15">
      <c r="A108" s="46"/>
      <c r="B108" s="32"/>
      <c r="C108" s="33"/>
      <c r="D108" s="32"/>
      <c r="E108" s="32"/>
      <c r="F108" s="32"/>
      <c r="G108" s="32"/>
      <c r="H108" s="34"/>
      <c r="I108" s="34"/>
      <c r="J108" s="32"/>
      <c r="K108" s="32"/>
      <c r="L108" s="32"/>
    </row>
    <row r="109" s="30" customFormat="1" customHeight="1" spans="1:15">
      <c r="A109" s="46"/>
      <c r="B109" s="32"/>
      <c r="C109" s="33"/>
      <c r="D109" s="32"/>
      <c r="E109" s="32"/>
      <c r="F109" s="32"/>
      <c r="G109" s="32"/>
      <c r="H109" s="34"/>
      <c r="I109" s="34"/>
      <c r="J109" s="32"/>
      <c r="K109" s="32"/>
      <c r="L109" s="32"/>
    </row>
    <row r="110" s="30" customFormat="1" customHeight="1" spans="1:15">
      <c r="A110" s="46"/>
      <c r="B110" s="32"/>
      <c r="C110" s="33"/>
      <c r="D110" s="32"/>
      <c r="E110" s="32"/>
      <c r="F110" s="32"/>
      <c r="G110" s="32"/>
      <c r="H110" s="34"/>
      <c r="I110" s="34"/>
      <c r="J110" s="32"/>
      <c r="K110" s="32"/>
      <c r="L110" s="32"/>
    </row>
    <row r="111" s="30" customFormat="1" customHeight="1" spans="1:15">
      <c r="A111" s="46"/>
      <c r="B111" s="32"/>
      <c r="C111" s="33"/>
      <c r="D111" s="32"/>
      <c r="E111" s="32"/>
      <c r="F111" s="32"/>
      <c r="G111" s="32"/>
      <c r="H111" s="34"/>
      <c r="I111" s="34"/>
      <c r="J111" s="32"/>
      <c r="K111" s="32"/>
      <c r="L111" s="32"/>
    </row>
    <row r="112" s="30" customFormat="1" customHeight="1" spans="1:15">
      <c r="A112" s="46"/>
      <c r="B112" s="32"/>
      <c r="C112" s="33"/>
      <c r="D112" s="32"/>
      <c r="E112" s="32"/>
      <c r="F112" s="32"/>
      <c r="G112" s="32"/>
      <c r="H112" s="34"/>
      <c r="I112" s="34"/>
      <c r="J112" s="32"/>
      <c r="K112" s="32"/>
      <c r="L112" s="32"/>
    </row>
    <row r="113" s="30" customFormat="1" customHeight="1" spans="1:12">
      <c r="A113" s="46"/>
      <c r="B113" s="32"/>
      <c r="C113" s="33"/>
      <c r="D113" s="32"/>
      <c r="E113" s="32"/>
      <c r="F113" s="32"/>
      <c r="G113" s="32"/>
      <c r="H113" s="34"/>
      <c r="I113" s="34"/>
      <c r="J113" s="32"/>
      <c r="K113" s="32"/>
      <c r="L113" s="32"/>
    </row>
    <row r="114" s="30" customFormat="1" customHeight="1" spans="1:12">
      <c r="A114" s="46"/>
      <c r="B114" s="32"/>
      <c r="C114" s="33"/>
      <c r="D114" s="32"/>
      <c r="E114" s="32"/>
      <c r="F114" s="32"/>
      <c r="G114" s="32"/>
      <c r="H114" s="34"/>
      <c r="I114" s="34"/>
      <c r="J114" s="32"/>
      <c r="K114" s="32"/>
      <c r="L114" s="32"/>
    </row>
    <row r="115" s="30" customFormat="1" customHeight="1" spans="1:12">
      <c r="A115" s="46"/>
      <c r="B115" s="32"/>
      <c r="C115" s="33"/>
      <c r="D115" s="32"/>
      <c r="E115" s="32"/>
      <c r="F115" s="32"/>
      <c r="G115" s="32"/>
      <c r="H115" s="34"/>
      <c r="I115" s="34"/>
      <c r="J115" s="32"/>
      <c r="K115" s="32"/>
      <c r="L115" s="32"/>
    </row>
    <row r="116" s="30" customFormat="1" customHeight="1" spans="1:12">
      <c r="A116" s="46"/>
      <c r="B116" s="32"/>
      <c r="C116" s="33"/>
      <c r="D116" s="32"/>
      <c r="E116" s="32"/>
      <c r="F116" s="32"/>
      <c r="G116" s="32"/>
      <c r="H116" s="34"/>
      <c r="I116" s="34"/>
      <c r="J116" s="32"/>
      <c r="K116" s="32"/>
      <c r="L116" s="32"/>
    </row>
    <row r="117" s="30" customFormat="1" customHeight="1" spans="1:12">
      <c r="A117" s="46"/>
      <c r="B117" s="32"/>
      <c r="C117" s="33"/>
      <c r="D117" s="32"/>
      <c r="E117" s="32"/>
      <c r="F117" s="32"/>
      <c r="G117" s="32"/>
      <c r="H117" s="34"/>
      <c r="I117" s="34"/>
      <c r="J117" s="32"/>
      <c r="K117" s="32"/>
      <c r="L117" s="32"/>
    </row>
    <row r="118" s="30" customFormat="1" customHeight="1" spans="1:12">
      <c r="A118" s="46"/>
      <c r="B118" s="32"/>
      <c r="C118" s="33"/>
      <c r="D118" s="32"/>
      <c r="E118" s="32"/>
      <c r="F118" s="32"/>
      <c r="G118" s="32"/>
      <c r="H118" s="34"/>
      <c r="I118" s="34"/>
      <c r="J118" s="32"/>
      <c r="K118" s="32"/>
      <c r="L118" s="32"/>
    </row>
    <row r="119" s="30" customFormat="1" customHeight="1" spans="1:12">
      <c r="A119" s="46"/>
      <c r="B119" s="32"/>
      <c r="C119" s="33"/>
      <c r="D119" s="32"/>
      <c r="E119" s="32"/>
      <c r="F119" s="32"/>
      <c r="G119" s="32"/>
      <c r="H119" s="34"/>
      <c r="I119" s="34"/>
      <c r="J119" s="32"/>
      <c r="K119" s="32"/>
      <c r="L119" s="32"/>
    </row>
    <row r="120" s="30" customFormat="1" customHeight="1" spans="1:12">
      <c r="A120" s="46"/>
      <c r="B120" s="32"/>
      <c r="C120" s="33"/>
      <c r="D120" s="32"/>
      <c r="E120" s="32"/>
      <c r="F120" s="32"/>
      <c r="G120" s="32"/>
      <c r="H120" s="34"/>
      <c r="I120" s="34"/>
      <c r="J120" s="32"/>
      <c r="K120" s="32"/>
      <c r="L120" s="32"/>
    </row>
    <row r="121" s="30" customFormat="1" customHeight="1" spans="1:12">
      <c r="A121" s="46"/>
      <c r="B121" s="32"/>
      <c r="C121" s="33"/>
      <c r="D121" s="32"/>
      <c r="E121" s="32"/>
      <c r="F121" s="32"/>
      <c r="G121" s="32"/>
      <c r="H121" s="34"/>
      <c r="I121" s="34"/>
      <c r="J121" s="32"/>
      <c r="K121" s="32"/>
      <c r="L121" s="32"/>
    </row>
    <row r="122" s="30" customFormat="1" customHeight="1" spans="1:12">
      <c r="A122" s="46"/>
      <c r="B122" s="32"/>
      <c r="C122" s="33"/>
      <c r="D122" s="32"/>
      <c r="E122" s="32"/>
      <c r="F122" s="32"/>
      <c r="G122" s="32"/>
      <c r="H122" s="34"/>
      <c r="I122" s="34"/>
      <c r="J122" s="32"/>
      <c r="K122" s="32"/>
      <c r="L122" s="32"/>
    </row>
    <row r="123" s="30" customFormat="1" customHeight="1" spans="1:12">
      <c r="A123" s="46"/>
      <c r="B123" s="32"/>
      <c r="C123" s="33"/>
      <c r="D123" s="32"/>
      <c r="E123" s="32"/>
      <c r="F123" s="32"/>
      <c r="G123" s="32"/>
      <c r="H123" s="34"/>
      <c r="I123" s="34"/>
      <c r="J123" s="32"/>
      <c r="K123" s="32"/>
      <c r="L123" s="32"/>
    </row>
    <row r="124" s="30" customFormat="1" customHeight="1" spans="1:12">
      <c r="A124" s="46"/>
      <c r="B124" s="32"/>
      <c r="C124" s="33"/>
      <c r="D124" s="32"/>
      <c r="E124" s="32"/>
      <c r="F124" s="32"/>
      <c r="G124" s="32"/>
      <c r="H124" s="34"/>
      <c r="I124" s="34"/>
      <c r="J124" s="32"/>
      <c r="K124" s="32"/>
      <c r="L124" s="32"/>
    </row>
    <row r="125" s="30" customFormat="1" customHeight="1" spans="1:12">
      <c r="A125" s="46"/>
      <c r="B125" s="32"/>
      <c r="C125" s="33"/>
      <c r="D125" s="32"/>
      <c r="E125" s="32"/>
      <c r="F125" s="32"/>
      <c r="G125" s="32"/>
      <c r="H125" s="34"/>
      <c r="I125" s="34"/>
      <c r="J125" s="32"/>
      <c r="K125" s="32"/>
      <c r="L125" s="32"/>
    </row>
    <row r="126" s="30" customFormat="1" customHeight="1" spans="1:12">
      <c r="A126" s="46"/>
      <c r="B126" s="32"/>
      <c r="C126" s="33"/>
      <c r="D126" s="32"/>
      <c r="E126" s="32"/>
      <c r="F126" s="32"/>
      <c r="G126" s="32"/>
      <c r="H126" s="34"/>
      <c r="I126" s="34"/>
      <c r="J126" s="32"/>
      <c r="K126" s="32"/>
      <c r="L126" s="32"/>
    </row>
    <row r="127" s="30" customFormat="1" customHeight="1" spans="1:12">
      <c r="A127" s="46"/>
      <c r="B127" s="32"/>
      <c r="C127" s="33"/>
      <c r="D127" s="32"/>
      <c r="E127" s="32"/>
      <c r="F127" s="32"/>
      <c r="G127" s="32"/>
      <c r="H127" s="34"/>
      <c r="I127" s="34"/>
      <c r="J127" s="32"/>
      <c r="K127" s="32"/>
      <c r="L127" s="32"/>
    </row>
    <row r="128" s="30" customFormat="1" customHeight="1" spans="1:12">
      <c r="A128" s="46"/>
      <c r="B128" s="32"/>
      <c r="C128" s="33"/>
      <c r="D128" s="32"/>
      <c r="E128" s="32"/>
      <c r="F128" s="32"/>
      <c r="G128" s="32"/>
      <c r="H128" s="34"/>
      <c r="I128" s="34"/>
      <c r="J128" s="32"/>
      <c r="K128" s="32"/>
      <c r="L128" s="32"/>
    </row>
    <row r="129" s="30" customFormat="1" customHeight="1" spans="1:12">
      <c r="A129" s="46"/>
      <c r="B129" s="32"/>
      <c r="C129" s="33"/>
      <c r="D129" s="32"/>
      <c r="E129" s="32"/>
      <c r="F129" s="32"/>
      <c r="G129" s="32"/>
      <c r="H129" s="34"/>
      <c r="I129" s="34"/>
      <c r="J129" s="32"/>
      <c r="K129" s="32"/>
      <c r="L129" s="32"/>
    </row>
    <row r="130" s="30" customFormat="1" customHeight="1" spans="1:12">
      <c r="A130" s="46"/>
      <c r="B130" s="32"/>
      <c r="C130" s="33"/>
      <c r="D130" s="32"/>
      <c r="E130" s="32"/>
      <c r="F130" s="32"/>
      <c r="G130" s="32"/>
      <c r="H130" s="34"/>
      <c r="I130" s="34"/>
      <c r="J130" s="32"/>
      <c r="K130" s="32"/>
      <c r="L130" s="32"/>
    </row>
    <row r="131" s="30" customFormat="1" customHeight="1" spans="1:12">
      <c r="A131" s="46"/>
      <c r="B131" s="32"/>
      <c r="C131" s="33"/>
      <c r="D131" s="32"/>
      <c r="E131" s="32"/>
      <c r="F131" s="32"/>
      <c r="G131" s="32"/>
      <c r="H131" s="34"/>
      <c r="I131" s="34"/>
      <c r="J131" s="32"/>
      <c r="K131" s="32"/>
      <c r="L131" s="32"/>
    </row>
    <row r="132" s="30" customFormat="1" customHeight="1" spans="1:12">
      <c r="A132" s="46"/>
      <c r="B132" s="32"/>
      <c r="C132" s="33"/>
      <c r="D132" s="32"/>
      <c r="E132" s="32"/>
      <c r="F132" s="32"/>
      <c r="G132" s="32"/>
      <c r="H132" s="34"/>
      <c r="I132" s="34"/>
      <c r="J132" s="32"/>
      <c r="K132" s="32"/>
      <c r="L132" s="32"/>
    </row>
    <row r="133" s="30" customFormat="1" customHeight="1" spans="1:12">
      <c r="A133" s="46"/>
      <c r="B133" s="32"/>
      <c r="C133" s="33"/>
      <c r="D133" s="32"/>
      <c r="E133" s="32"/>
      <c r="F133" s="32"/>
      <c r="G133" s="32"/>
      <c r="H133" s="34"/>
      <c r="I133" s="34"/>
      <c r="J133" s="32"/>
      <c r="K133" s="32"/>
      <c r="L133" s="32"/>
    </row>
    <row r="134" s="30" customFormat="1" customHeight="1" spans="1:12">
      <c r="A134" s="46"/>
      <c r="B134" s="32"/>
      <c r="C134" s="33"/>
      <c r="D134" s="32"/>
      <c r="E134" s="32"/>
      <c r="F134" s="32"/>
      <c r="G134" s="32"/>
      <c r="H134" s="34"/>
      <c r="I134" s="34"/>
      <c r="J134" s="32"/>
      <c r="K134" s="32"/>
      <c r="L134" s="32"/>
    </row>
    <row r="135" s="30" customFormat="1" customHeight="1" spans="1:12">
      <c r="A135" s="46"/>
      <c r="B135" s="32"/>
      <c r="C135" s="33"/>
      <c r="D135" s="32"/>
      <c r="E135" s="32"/>
      <c r="F135" s="32"/>
      <c r="G135" s="32"/>
      <c r="H135" s="34"/>
      <c r="I135" s="34"/>
      <c r="J135" s="32"/>
      <c r="K135" s="32"/>
      <c r="L135" s="32"/>
    </row>
    <row r="136" s="30" customFormat="1" customHeight="1" spans="1:12">
      <c r="A136" s="46"/>
      <c r="B136" s="32"/>
      <c r="C136" s="33"/>
      <c r="D136" s="32"/>
      <c r="E136" s="32"/>
      <c r="F136" s="32"/>
      <c r="G136" s="32"/>
      <c r="H136" s="34"/>
      <c r="I136" s="34"/>
      <c r="J136" s="32"/>
      <c r="K136" s="32"/>
      <c r="L136" s="32"/>
    </row>
    <row r="137" s="30" customFormat="1" customHeight="1" spans="1:12">
      <c r="A137" s="46"/>
      <c r="B137" s="32"/>
      <c r="C137" s="33"/>
      <c r="D137" s="32"/>
      <c r="E137" s="32"/>
      <c r="F137" s="32"/>
      <c r="G137" s="32"/>
      <c r="H137" s="34"/>
      <c r="I137" s="34"/>
      <c r="J137" s="32"/>
      <c r="K137" s="32"/>
      <c r="L137" s="32"/>
    </row>
    <row r="138" s="30" customFormat="1" customHeight="1" spans="1:12">
      <c r="A138" s="46"/>
      <c r="B138" s="32"/>
      <c r="C138" s="33"/>
      <c r="D138" s="32"/>
      <c r="E138" s="32"/>
      <c r="F138" s="32"/>
      <c r="G138" s="32"/>
      <c r="H138" s="34"/>
      <c r="I138" s="34"/>
      <c r="J138" s="32"/>
      <c r="K138" s="32"/>
      <c r="L138" s="32"/>
    </row>
    <row r="139" s="30" customFormat="1" customHeight="1" spans="1:12">
      <c r="A139" s="46"/>
      <c r="B139" s="32"/>
      <c r="C139" s="33"/>
      <c r="D139" s="32"/>
      <c r="E139" s="32"/>
      <c r="F139" s="32"/>
      <c r="G139" s="32"/>
      <c r="H139" s="34"/>
      <c r="I139" s="34"/>
      <c r="J139" s="32"/>
      <c r="K139" s="32"/>
      <c r="L139" s="32"/>
    </row>
    <row r="140" s="30" customFormat="1" customHeight="1" spans="1:12">
      <c r="A140" s="46"/>
      <c r="B140" s="32"/>
      <c r="C140" s="33"/>
      <c r="D140" s="32"/>
      <c r="E140" s="32"/>
      <c r="F140" s="32"/>
      <c r="G140" s="32"/>
      <c r="H140" s="34"/>
      <c r="I140" s="34"/>
      <c r="J140" s="32"/>
      <c r="K140" s="32"/>
      <c r="L140" s="32"/>
    </row>
    <row r="141" s="30" customFormat="1" customHeight="1" spans="1:12">
      <c r="A141" s="46"/>
      <c r="B141" s="32"/>
      <c r="C141" s="33"/>
      <c r="D141" s="32"/>
      <c r="E141" s="32"/>
      <c r="F141" s="32"/>
      <c r="G141" s="32"/>
      <c r="H141" s="34"/>
      <c r="I141" s="34"/>
      <c r="J141" s="32"/>
      <c r="K141" s="32"/>
      <c r="L141" s="32"/>
    </row>
    <row r="142" s="30" customFormat="1" customHeight="1" spans="1:12">
      <c r="A142" s="46"/>
      <c r="B142" s="32"/>
      <c r="C142" s="33"/>
      <c r="D142" s="32"/>
      <c r="E142" s="32"/>
      <c r="F142" s="32"/>
      <c r="G142" s="32"/>
      <c r="H142" s="34"/>
      <c r="I142" s="34"/>
      <c r="J142" s="32"/>
      <c r="K142" s="32"/>
      <c r="L142" s="32"/>
    </row>
    <row r="143" s="30" customFormat="1" customHeight="1" spans="1:12">
      <c r="A143" s="46"/>
      <c r="B143" s="32"/>
      <c r="C143" s="33"/>
      <c r="D143" s="32"/>
      <c r="E143" s="32"/>
      <c r="F143" s="32"/>
      <c r="G143" s="32"/>
      <c r="H143" s="34"/>
      <c r="I143" s="34"/>
      <c r="J143" s="32"/>
      <c r="K143" s="32"/>
      <c r="L143" s="32"/>
    </row>
    <row r="144" s="30" customFormat="1" customHeight="1" spans="1:12">
      <c r="A144" s="46"/>
      <c r="B144" s="32"/>
      <c r="C144" s="33"/>
      <c r="D144" s="32"/>
      <c r="E144" s="32"/>
      <c r="F144" s="32"/>
      <c r="G144" s="32"/>
      <c r="H144" s="34"/>
      <c r="I144" s="34"/>
      <c r="J144" s="32"/>
      <c r="K144" s="32"/>
      <c r="L144" s="32"/>
    </row>
    <row r="145" s="30" customFormat="1" customHeight="1" spans="1:12">
      <c r="A145" s="46"/>
      <c r="B145" s="32"/>
      <c r="C145" s="33"/>
      <c r="D145" s="32"/>
      <c r="E145" s="32"/>
      <c r="F145" s="32"/>
      <c r="G145" s="32"/>
      <c r="H145" s="34"/>
      <c r="I145" s="34"/>
      <c r="J145" s="32"/>
      <c r="K145" s="32"/>
      <c r="L145" s="32"/>
    </row>
    <row r="146" s="30" customFormat="1" customHeight="1" spans="1:12">
      <c r="A146" s="46"/>
      <c r="B146" s="32"/>
      <c r="C146" s="33"/>
      <c r="D146" s="32"/>
      <c r="E146" s="32"/>
      <c r="F146" s="32"/>
      <c r="G146" s="32"/>
      <c r="H146" s="34"/>
      <c r="I146" s="34"/>
      <c r="J146" s="32"/>
      <c r="K146" s="32"/>
      <c r="L146" s="32"/>
    </row>
    <row r="147" s="30" customFormat="1" customHeight="1" spans="1:12">
      <c r="A147" s="46"/>
      <c r="B147" s="32"/>
      <c r="C147" s="33"/>
      <c r="D147" s="32"/>
      <c r="E147" s="32"/>
      <c r="F147" s="32"/>
      <c r="G147" s="32"/>
      <c r="H147" s="34"/>
      <c r="I147" s="34"/>
      <c r="J147" s="32"/>
      <c r="K147" s="32"/>
      <c r="L147" s="32"/>
    </row>
    <row r="148" s="30" customFormat="1" customHeight="1" spans="1:12">
      <c r="A148" s="46"/>
      <c r="B148" s="32"/>
      <c r="C148" s="33"/>
      <c r="D148" s="32"/>
      <c r="E148" s="32"/>
      <c r="F148" s="32"/>
      <c r="G148" s="32"/>
      <c r="H148" s="34"/>
      <c r="I148" s="34"/>
      <c r="J148" s="32"/>
      <c r="K148" s="32"/>
      <c r="L148" s="32"/>
    </row>
    <row r="149" s="30" customFormat="1" customHeight="1" spans="1:12">
      <c r="A149" s="46"/>
      <c r="B149" s="32"/>
      <c r="C149" s="33"/>
      <c r="D149" s="32"/>
      <c r="E149" s="32"/>
      <c r="F149" s="32"/>
      <c r="G149" s="32"/>
      <c r="H149" s="34"/>
      <c r="I149" s="34"/>
      <c r="J149" s="32"/>
      <c r="K149" s="32"/>
      <c r="L149" s="32"/>
    </row>
    <row r="150" s="30" customFormat="1" customHeight="1" spans="1:12">
      <c r="A150" s="46"/>
      <c r="B150" s="32"/>
      <c r="C150" s="33"/>
      <c r="D150" s="32"/>
      <c r="E150" s="32"/>
      <c r="F150" s="32"/>
      <c r="G150" s="32"/>
      <c r="H150" s="34"/>
      <c r="I150" s="34"/>
      <c r="J150" s="32"/>
      <c r="K150" s="32"/>
      <c r="L150" s="32"/>
    </row>
    <row r="151" s="30" customFormat="1" customHeight="1" spans="1:12">
      <c r="A151" s="46"/>
      <c r="B151" s="32"/>
      <c r="C151" s="33"/>
      <c r="D151" s="32"/>
      <c r="E151" s="32"/>
      <c r="F151" s="32"/>
      <c r="G151" s="32"/>
      <c r="H151" s="34"/>
      <c r="I151" s="34"/>
      <c r="J151" s="32"/>
      <c r="K151" s="32"/>
      <c r="L151" s="32"/>
    </row>
    <row r="152" s="30" customFormat="1" customHeight="1" spans="1:12">
      <c r="A152" s="46"/>
      <c r="B152" s="32"/>
      <c r="C152" s="33"/>
      <c r="D152" s="32"/>
      <c r="E152" s="32"/>
      <c r="F152" s="32"/>
      <c r="G152" s="32"/>
      <c r="H152" s="34"/>
      <c r="I152" s="34"/>
      <c r="J152" s="32"/>
      <c r="K152" s="32"/>
      <c r="L152" s="32"/>
    </row>
    <row r="153" s="30" customFormat="1" customHeight="1" spans="1:12">
      <c r="A153" s="46"/>
      <c r="B153" s="32"/>
      <c r="C153" s="33"/>
      <c r="D153" s="32"/>
      <c r="E153" s="32"/>
      <c r="F153" s="32"/>
      <c r="G153" s="32"/>
      <c r="H153" s="34"/>
      <c r="I153" s="34"/>
      <c r="J153" s="32"/>
      <c r="K153" s="32"/>
      <c r="L153" s="32"/>
    </row>
    <row r="154" s="30" customFormat="1" customHeight="1" spans="1:12">
      <c r="A154" s="46"/>
      <c r="B154" s="32"/>
      <c r="C154" s="33"/>
      <c r="D154" s="32"/>
      <c r="E154" s="32"/>
      <c r="F154" s="32"/>
      <c r="G154" s="32"/>
      <c r="H154" s="34"/>
      <c r="I154" s="34"/>
      <c r="J154" s="32"/>
      <c r="K154" s="32"/>
      <c r="L154" s="32"/>
    </row>
    <row r="155" s="30" customFormat="1" customHeight="1" spans="1:12">
      <c r="A155" s="46"/>
      <c r="B155" s="32"/>
      <c r="C155" s="33"/>
      <c r="D155" s="32"/>
      <c r="E155" s="32"/>
      <c r="F155" s="32"/>
      <c r="G155" s="32"/>
      <c r="H155" s="34"/>
      <c r="I155" s="34"/>
      <c r="J155" s="32"/>
      <c r="K155" s="32"/>
      <c r="L155" s="32"/>
    </row>
    <row r="156" s="30" customFormat="1" customHeight="1" spans="1:12">
      <c r="A156" s="46"/>
      <c r="B156" s="32"/>
      <c r="C156" s="33"/>
      <c r="D156" s="32"/>
      <c r="E156" s="32"/>
      <c r="F156" s="32"/>
      <c r="G156" s="32"/>
      <c r="H156" s="34"/>
      <c r="I156" s="34"/>
      <c r="J156" s="32"/>
      <c r="K156" s="32"/>
      <c r="L156" s="32"/>
    </row>
    <row r="157" s="30" customFormat="1" customHeight="1" spans="1:12">
      <c r="A157" s="46"/>
      <c r="B157" s="32"/>
      <c r="C157" s="33"/>
      <c r="D157" s="32"/>
      <c r="E157" s="32"/>
      <c r="F157" s="32"/>
      <c r="G157" s="32"/>
      <c r="H157" s="34"/>
      <c r="I157" s="34"/>
      <c r="J157" s="32"/>
      <c r="K157" s="32"/>
      <c r="L157" s="32"/>
    </row>
    <row r="158" s="30" customFormat="1" customHeight="1" spans="1:12">
      <c r="A158" s="46"/>
      <c r="B158" s="32"/>
      <c r="C158" s="33"/>
      <c r="D158" s="32"/>
      <c r="E158" s="32"/>
      <c r="F158" s="32"/>
      <c r="G158" s="32"/>
      <c r="H158" s="34"/>
      <c r="I158" s="34"/>
      <c r="J158" s="32"/>
      <c r="K158" s="32"/>
      <c r="L158" s="32"/>
    </row>
    <row r="159" s="30" customFormat="1" customHeight="1" spans="1:12">
      <c r="A159" s="46"/>
      <c r="B159" s="32"/>
      <c r="C159" s="33"/>
      <c r="D159" s="32"/>
      <c r="E159" s="32"/>
      <c r="F159" s="32"/>
      <c r="G159" s="32"/>
      <c r="H159" s="34"/>
      <c r="I159" s="34"/>
      <c r="J159" s="32"/>
      <c r="K159" s="32"/>
      <c r="L159" s="32"/>
    </row>
    <row r="160" s="30" customFormat="1" customHeight="1" spans="1:12">
      <c r="A160" s="46"/>
      <c r="B160" s="32"/>
      <c r="C160" s="33"/>
      <c r="D160" s="32"/>
      <c r="E160" s="32"/>
      <c r="F160" s="32"/>
      <c r="G160" s="32"/>
      <c r="H160" s="34"/>
      <c r="I160" s="34"/>
      <c r="J160" s="32"/>
      <c r="K160" s="32"/>
      <c r="L160" s="32"/>
    </row>
    <row r="161" s="30" customFormat="1" customHeight="1" spans="1:12">
      <c r="A161" s="46"/>
      <c r="B161" s="32"/>
      <c r="C161" s="33"/>
      <c r="D161" s="32"/>
      <c r="E161" s="32"/>
      <c r="F161" s="32"/>
      <c r="G161" s="32"/>
      <c r="H161" s="34"/>
      <c r="I161" s="34"/>
      <c r="J161" s="32"/>
      <c r="K161" s="32"/>
      <c r="L161" s="32"/>
    </row>
    <row r="162" s="30" customFormat="1" customHeight="1" spans="1:12">
      <c r="A162" s="46"/>
      <c r="B162" s="32"/>
      <c r="C162" s="33"/>
      <c r="D162" s="32"/>
      <c r="E162" s="32"/>
      <c r="F162" s="32"/>
      <c r="G162" s="32"/>
      <c r="H162" s="34"/>
      <c r="I162" s="34"/>
      <c r="J162" s="32"/>
      <c r="K162" s="32"/>
      <c r="L162" s="32"/>
    </row>
    <row r="163" s="30" customFormat="1" customHeight="1" spans="1:12">
      <c r="A163" s="46"/>
      <c r="B163" s="32"/>
      <c r="C163" s="33"/>
      <c r="D163" s="32"/>
      <c r="E163" s="32"/>
      <c r="F163" s="32"/>
      <c r="G163" s="32"/>
      <c r="H163" s="34"/>
      <c r="I163" s="34"/>
      <c r="J163" s="32"/>
      <c r="K163" s="32"/>
      <c r="L163" s="32"/>
    </row>
    <row r="164" s="30" customFormat="1" customHeight="1" spans="1:12">
      <c r="A164" s="46"/>
      <c r="B164" s="32"/>
      <c r="C164" s="33"/>
      <c r="D164" s="32"/>
      <c r="E164" s="32"/>
      <c r="F164" s="32"/>
      <c r="G164" s="32"/>
      <c r="H164" s="34"/>
      <c r="I164" s="34"/>
      <c r="J164" s="32"/>
      <c r="K164" s="32"/>
      <c r="L164" s="32"/>
    </row>
    <row r="165" s="30" customFormat="1" customHeight="1" spans="1:12">
      <c r="A165" s="46"/>
      <c r="B165" s="32"/>
      <c r="C165" s="33"/>
      <c r="D165" s="32"/>
      <c r="E165" s="32"/>
      <c r="F165" s="32"/>
      <c r="G165" s="32"/>
      <c r="H165" s="34"/>
      <c r="I165" s="34"/>
      <c r="J165" s="32"/>
      <c r="K165" s="32"/>
      <c r="L165" s="32"/>
    </row>
    <row r="166" s="30" customFormat="1" customHeight="1" spans="1:12">
      <c r="A166" s="46"/>
      <c r="B166" s="32"/>
      <c r="C166" s="33"/>
      <c r="D166" s="32"/>
      <c r="E166" s="32"/>
      <c r="F166" s="32"/>
      <c r="G166" s="32"/>
      <c r="H166" s="34"/>
      <c r="I166" s="34"/>
      <c r="J166" s="32"/>
      <c r="K166" s="32"/>
      <c r="L166" s="32"/>
    </row>
    <row r="167" s="30" customFormat="1" customHeight="1" spans="1:12">
      <c r="A167" s="46"/>
      <c r="B167" s="32"/>
      <c r="C167" s="33"/>
      <c r="D167" s="32"/>
      <c r="E167" s="32"/>
      <c r="F167" s="32"/>
      <c r="G167" s="32"/>
      <c r="H167" s="34"/>
      <c r="I167" s="34"/>
      <c r="J167" s="32"/>
      <c r="K167" s="32"/>
      <c r="L167" s="32"/>
    </row>
    <row r="168" s="30" customFormat="1" customHeight="1" spans="1:12">
      <c r="A168" s="46"/>
      <c r="B168" s="32"/>
      <c r="C168" s="33"/>
      <c r="D168" s="32"/>
      <c r="E168" s="32"/>
      <c r="F168" s="32"/>
      <c r="G168" s="32"/>
      <c r="H168" s="34"/>
      <c r="I168" s="34"/>
      <c r="J168" s="32"/>
      <c r="K168" s="32"/>
      <c r="L168" s="32"/>
    </row>
    <row r="169" s="30" customFormat="1" customHeight="1" spans="1:12">
      <c r="A169" s="46"/>
      <c r="B169" s="32"/>
      <c r="C169" s="33"/>
      <c r="D169" s="32"/>
      <c r="E169" s="32"/>
      <c r="F169" s="32"/>
      <c r="G169" s="32"/>
      <c r="H169" s="34"/>
      <c r="I169" s="34"/>
      <c r="J169" s="32"/>
      <c r="K169" s="32"/>
      <c r="L169" s="32"/>
    </row>
    <row r="170" s="30" customFormat="1" customHeight="1" spans="1:12">
      <c r="A170" s="46"/>
      <c r="B170" s="32"/>
      <c r="C170" s="33"/>
      <c r="D170" s="32"/>
      <c r="E170" s="32"/>
      <c r="F170" s="32"/>
      <c r="G170" s="32"/>
      <c r="H170" s="34"/>
      <c r="I170" s="34"/>
      <c r="J170" s="32"/>
      <c r="K170" s="32"/>
      <c r="L170" s="32"/>
    </row>
    <row r="171" s="30" customFormat="1" customHeight="1" spans="1:12">
      <c r="A171" s="46"/>
      <c r="B171" s="32"/>
      <c r="C171" s="33"/>
      <c r="D171" s="32"/>
      <c r="E171" s="32"/>
      <c r="F171" s="32"/>
      <c r="G171" s="32"/>
      <c r="H171" s="34"/>
      <c r="I171" s="34"/>
      <c r="J171" s="32"/>
      <c r="K171" s="32"/>
      <c r="L171" s="32"/>
    </row>
    <row r="172" s="30" customFormat="1" customHeight="1" spans="1:12">
      <c r="A172" s="46"/>
      <c r="B172" s="32"/>
      <c r="C172" s="33"/>
      <c r="D172" s="32"/>
      <c r="E172" s="32"/>
      <c r="F172" s="32"/>
      <c r="G172" s="32"/>
      <c r="H172" s="34"/>
      <c r="I172" s="34"/>
      <c r="J172" s="32"/>
      <c r="K172" s="32"/>
      <c r="L172" s="32"/>
    </row>
    <row r="173" s="30" customFormat="1" customHeight="1" spans="1:12">
      <c r="A173" s="46"/>
      <c r="B173" s="32"/>
      <c r="C173" s="33"/>
      <c r="D173" s="32"/>
      <c r="E173" s="32"/>
      <c r="F173" s="32"/>
      <c r="G173" s="32"/>
      <c r="H173" s="34"/>
      <c r="I173" s="34"/>
      <c r="J173" s="32"/>
      <c r="K173" s="32"/>
      <c r="L173" s="32"/>
    </row>
    <row r="174" s="30" customFormat="1" customHeight="1" spans="1:12">
      <c r="A174" s="46"/>
      <c r="B174" s="32"/>
      <c r="C174" s="33"/>
      <c r="D174" s="32"/>
      <c r="E174" s="32"/>
      <c r="F174" s="32"/>
      <c r="G174" s="32"/>
      <c r="H174" s="34"/>
      <c r="I174" s="34"/>
      <c r="J174" s="32"/>
      <c r="K174" s="32"/>
      <c r="L174" s="32"/>
    </row>
    <row r="175" s="30" customFormat="1" customHeight="1" spans="1:12">
      <c r="A175" s="46"/>
      <c r="B175" s="32"/>
      <c r="C175" s="33"/>
      <c r="D175" s="32"/>
      <c r="E175" s="32"/>
      <c r="F175" s="32"/>
      <c r="G175" s="32"/>
      <c r="H175" s="34"/>
      <c r="I175" s="34"/>
      <c r="J175" s="32"/>
      <c r="K175" s="32"/>
      <c r="L175" s="32"/>
    </row>
    <row r="176" s="30" customFormat="1" customHeight="1" spans="1:12">
      <c r="A176" s="46"/>
      <c r="B176" s="32"/>
      <c r="C176" s="33"/>
      <c r="D176" s="32"/>
      <c r="E176" s="32"/>
      <c r="F176" s="32"/>
      <c r="G176" s="32"/>
      <c r="H176" s="34"/>
      <c r="I176" s="34"/>
      <c r="J176" s="32"/>
      <c r="K176" s="32"/>
      <c r="L176" s="32"/>
    </row>
    <row r="177" s="30" customFormat="1" customHeight="1" spans="1:12">
      <c r="A177" s="46"/>
      <c r="B177" s="32"/>
      <c r="C177" s="33"/>
      <c r="D177" s="32"/>
      <c r="E177" s="32"/>
      <c r="F177" s="32"/>
      <c r="G177" s="32"/>
      <c r="H177" s="34"/>
      <c r="I177" s="34"/>
      <c r="J177" s="32"/>
      <c r="K177" s="32"/>
      <c r="L177" s="32"/>
    </row>
    <row r="178" s="30" customFormat="1" customHeight="1" spans="1:12">
      <c r="A178" s="46"/>
      <c r="B178" s="32"/>
      <c r="C178" s="33"/>
      <c r="D178" s="32"/>
      <c r="E178" s="32"/>
      <c r="F178" s="32"/>
      <c r="G178" s="32"/>
      <c r="H178" s="34"/>
      <c r="I178" s="34"/>
      <c r="J178" s="32"/>
      <c r="K178" s="32"/>
      <c r="L178" s="32"/>
    </row>
    <row r="179" s="30" customFormat="1" customHeight="1" spans="1:12">
      <c r="A179" s="46"/>
      <c r="B179" s="32"/>
      <c r="C179" s="33"/>
      <c r="D179" s="32"/>
      <c r="E179" s="32"/>
      <c r="F179" s="32"/>
      <c r="G179" s="32"/>
      <c r="H179" s="34"/>
      <c r="I179" s="34"/>
      <c r="J179" s="32"/>
      <c r="K179" s="32"/>
      <c r="L179" s="32"/>
    </row>
    <row r="180" s="30" customFormat="1" customHeight="1" spans="1:12">
      <c r="A180" s="46"/>
      <c r="B180" s="32"/>
      <c r="C180" s="33"/>
      <c r="D180" s="32"/>
      <c r="E180" s="32"/>
      <c r="F180" s="32"/>
      <c r="G180" s="32"/>
      <c r="H180" s="34"/>
      <c r="I180" s="34"/>
      <c r="J180" s="32"/>
      <c r="K180" s="32"/>
      <c r="L180" s="32"/>
    </row>
    <row r="181" s="30" customFormat="1" customHeight="1" spans="1:12">
      <c r="A181" s="46"/>
      <c r="B181" s="32"/>
      <c r="C181" s="33"/>
      <c r="D181" s="32"/>
      <c r="E181" s="32"/>
      <c r="F181" s="32"/>
      <c r="G181" s="32"/>
      <c r="H181" s="34"/>
      <c r="I181" s="34"/>
      <c r="J181" s="32"/>
      <c r="K181" s="32"/>
      <c r="L181" s="32"/>
    </row>
    <row r="182" s="30" customFormat="1" customHeight="1" spans="1:12">
      <c r="A182" s="46"/>
      <c r="B182" s="32"/>
      <c r="C182" s="33"/>
      <c r="D182" s="32"/>
      <c r="E182" s="32"/>
      <c r="F182" s="32"/>
      <c r="G182" s="32"/>
      <c r="H182" s="34"/>
      <c r="I182" s="34"/>
      <c r="J182" s="32"/>
      <c r="K182" s="32"/>
      <c r="L182" s="32"/>
    </row>
    <row r="183" s="30" customFormat="1" customHeight="1" spans="1:12">
      <c r="A183" s="46"/>
      <c r="B183" s="32"/>
      <c r="C183" s="33"/>
      <c r="D183" s="32"/>
      <c r="E183" s="32"/>
      <c r="F183" s="32"/>
      <c r="G183" s="32"/>
      <c r="H183" s="34"/>
      <c r="I183" s="34"/>
      <c r="J183" s="32"/>
      <c r="K183" s="32"/>
      <c r="L183" s="32"/>
    </row>
    <row r="184" s="30" customFormat="1" customHeight="1" spans="1:12">
      <c r="A184" s="46"/>
      <c r="B184" s="32"/>
      <c r="C184" s="33"/>
      <c r="D184" s="32"/>
      <c r="E184" s="32"/>
      <c r="F184" s="32"/>
      <c r="G184" s="32"/>
      <c r="H184" s="34"/>
      <c r="I184" s="34"/>
      <c r="J184" s="32"/>
      <c r="K184" s="32"/>
      <c r="L184" s="32"/>
    </row>
    <row r="185" s="30" customFormat="1" customHeight="1" spans="1:12">
      <c r="A185" s="46"/>
      <c r="B185" s="32"/>
      <c r="C185" s="33"/>
      <c r="D185" s="32"/>
      <c r="E185" s="32"/>
      <c r="F185" s="32"/>
      <c r="G185" s="32"/>
      <c r="H185" s="34"/>
      <c r="I185" s="34"/>
      <c r="J185" s="32"/>
      <c r="K185" s="32"/>
      <c r="L185" s="32"/>
    </row>
    <row r="186" s="30" customFormat="1" customHeight="1" spans="1:12">
      <c r="A186" s="46"/>
      <c r="B186" s="32"/>
      <c r="C186" s="33"/>
      <c r="D186" s="32"/>
      <c r="E186" s="32"/>
      <c r="F186" s="32"/>
      <c r="G186" s="32"/>
      <c r="H186" s="34"/>
      <c r="I186" s="34"/>
      <c r="J186" s="32"/>
      <c r="K186" s="32"/>
      <c r="L186" s="32"/>
    </row>
    <row r="187" s="30" customFormat="1" customHeight="1" spans="1:12">
      <c r="A187" s="46"/>
      <c r="B187" s="32"/>
      <c r="C187" s="33"/>
      <c r="D187" s="32"/>
      <c r="E187" s="32"/>
      <c r="F187" s="32"/>
      <c r="G187" s="32"/>
      <c r="H187" s="34"/>
      <c r="I187" s="34"/>
      <c r="J187" s="32"/>
      <c r="K187" s="32"/>
      <c r="L187" s="32"/>
    </row>
    <row r="188" s="30" customFormat="1" customHeight="1" spans="1:12">
      <c r="A188" s="46"/>
      <c r="B188" s="32"/>
      <c r="C188" s="33"/>
      <c r="D188" s="32"/>
      <c r="E188" s="32"/>
      <c r="F188" s="32"/>
      <c r="G188" s="32"/>
      <c r="H188" s="34"/>
      <c r="I188" s="34"/>
      <c r="J188" s="32"/>
      <c r="K188" s="32"/>
      <c r="L188" s="32"/>
    </row>
    <row r="189" s="30" customFormat="1" customHeight="1" spans="1:12">
      <c r="A189" s="46"/>
      <c r="B189" s="32"/>
      <c r="C189" s="33"/>
      <c r="D189" s="32"/>
      <c r="E189" s="32"/>
      <c r="F189" s="32"/>
      <c r="G189" s="32"/>
      <c r="H189" s="34"/>
      <c r="I189" s="34"/>
      <c r="J189" s="32"/>
      <c r="K189" s="32"/>
      <c r="L189" s="32"/>
    </row>
    <row r="190" s="30" customFormat="1" customHeight="1" spans="1:12">
      <c r="A190" s="46"/>
      <c r="B190" s="32"/>
      <c r="C190" s="33"/>
      <c r="D190" s="32"/>
      <c r="E190" s="32"/>
      <c r="F190" s="32"/>
      <c r="G190" s="32"/>
      <c r="H190" s="34"/>
      <c r="I190" s="34"/>
      <c r="J190" s="32"/>
      <c r="K190" s="32"/>
      <c r="L190" s="32"/>
    </row>
  </sheetData>
  <sheetCalcPr fullCalcOnLoad="1"/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180"/>
  <sheetViews>
    <sheetView topLeftCell="I1" workbookViewId="0">
      <pane ySplit="1" topLeftCell="A28" activePane="bottomLeft" state="frozen"/>
      <selection/>
      <selection pane="bottomLeft" activeCell="C3" sqref="C3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4" width="9" style="21"/>
    <col min="15" max="15" width="12.625" style="21"/>
    <col min="16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9.5</v>
      </c>
      <c r="C2" s="28">
        <f ca="1">O2/B2</f>
        <v>1.36754385964912</v>
      </c>
      <c r="D2" s="6" t="s">
        <v>35</v>
      </c>
      <c r="E2" s="6" t="s">
        <v>36</v>
      </c>
      <c r="F2" s="6">
        <v>119.5</v>
      </c>
      <c r="G2" s="6" t="s">
        <v>37</v>
      </c>
      <c r="H2" s="6">
        <f ca="1" t="array" ref="H2">INDEX(成本核算表!J:J,MATCH(1,(成本核算表!D:D=E2)*(成本核算表!C:C=G2),0))</f>
        <v>15</v>
      </c>
      <c r="I2" s="6">
        <v>3118</v>
      </c>
      <c r="J2" s="6">
        <f ca="1" t="shared" ref="J2:J24" si="0">H2*I2</f>
        <v>46770</v>
      </c>
      <c r="K2" s="6"/>
      <c r="L2" s="6"/>
      <c r="M2" s="6"/>
      <c r="N2" s="6">
        <f ca="1" t="shared" ref="N2:N24" si="1">J2-M2+L2</f>
        <v>46770</v>
      </c>
      <c r="O2" s="6">
        <f ca="1" t="shared" ref="O2:O24" si="2">N2/3600</f>
        <v>12.9916666666667</v>
      </c>
      <c r="P2" s="6"/>
      <c r="Q2" s="6"/>
    </row>
    <row r="3" s="21" customFormat="1" ht="20" customHeight="1" spans="1:17">
      <c r="A3" s="27">
        <v>46083</v>
      </c>
      <c r="B3" s="6">
        <v>11</v>
      </c>
      <c r="C3" s="28">
        <f ca="1">SUM(O3:O4)/B3</f>
        <v>1.24545454545455</v>
      </c>
      <c r="D3" s="6" t="s">
        <v>35</v>
      </c>
      <c r="E3" s="6" t="s">
        <v>36</v>
      </c>
      <c r="F3" s="6">
        <v>119.5</v>
      </c>
      <c r="G3" s="6" t="s">
        <v>37</v>
      </c>
      <c r="H3" s="6">
        <f ca="1" t="array" ref="H3">INDEX(成本核算表!J:J,MATCH(1,(成本核算表!D:D=E3)*(成本核算表!C:C=G3),0))</f>
        <v>15</v>
      </c>
      <c r="I3" s="6">
        <v>2360</v>
      </c>
      <c r="J3" s="6">
        <f ca="1" t="shared" si="0"/>
        <v>35400</v>
      </c>
      <c r="K3" s="6"/>
      <c r="L3" s="6"/>
      <c r="M3" s="6"/>
      <c r="N3" s="6">
        <f ca="1" t="shared" si="1"/>
        <v>35400</v>
      </c>
      <c r="O3" s="6">
        <f ca="1" t="shared" si="2"/>
        <v>9.83333333333333</v>
      </c>
      <c r="P3" s="6"/>
      <c r="Q3" s="6"/>
    </row>
    <row r="4" s="21" customFormat="1" ht="20" customHeight="1" spans="1:17">
      <c r="A4" s="27">
        <v>46083</v>
      </c>
      <c r="B4" s="6"/>
      <c r="C4" s="28"/>
      <c r="D4" s="6" t="s">
        <v>35</v>
      </c>
      <c r="E4" s="6" t="s">
        <v>36</v>
      </c>
      <c r="F4" s="6">
        <v>119.5</v>
      </c>
      <c r="G4" s="5" t="s">
        <v>41</v>
      </c>
      <c r="H4" s="6">
        <f ca="1" t="array" ref="H4">INDEX(成本核算表!J:J,MATCH(1,(成本核算表!D:D=E4)*(成本核算表!C:C=G4),0))</f>
        <v>12</v>
      </c>
      <c r="I4" s="6">
        <v>1160</v>
      </c>
      <c r="J4" s="6">
        <f ca="1" t="shared" si="0"/>
        <v>13920</v>
      </c>
      <c r="K4" s="6"/>
      <c r="L4" s="6"/>
      <c r="M4" s="6"/>
      <c r="N4" s="6">
        <f ca="1" t="shared" si="1"/>
        <v>13920</v>
      </c>
      <c r="O4" s="6">
        <f ca="1" t="shared" si="2"/>
        <v>3.86666666666667</v>
      </c>
      <c r="P4" s="6"/>
      <c r="Q4" s="6"/>
    </row>
    <row r="5" s="21" customFormat="1" ht="20" customHeight="1" spans="1:17">
      <c r="A5" s="27">
        <v>46084</v>
      </c>
      <c r="B5" s="6">
        <v>9</v>
      </c>
      <c r="C5" s="28">
        <f ca="1">O5/B5</f>
        <v>1.38888888888889</v>
      </c>
      <c r="D5" s="6" t="s">
        <v>35</v>
      </c>
      <c r="E5" s="6" t="s">
        <v>36</v>
      </c>
      <c r="F5" s="6">
        <v>119.5</v>
      </c>
      <c r="G5" s="6" t="s">
        <v>37</v>
      </c>
      <c r="H5" s="6">
        <f ca="1" t="array" ref="H5">INDEX(成本核算表!J:J,MATCH(1,(成本核算表!D:D=E5)*(成本核算表!C:C=G5),0))</f>
        <v>15</v>
      </c>
      <c r="I5" s="6">
        <v>3000</v>
      </c>
      <c r="J5" s="6">
        <f ca="1" t="shared" si="0"/>
        <v>45000</v>
      </c>
      <c r="K5" s="6"/>
      <c r="L5" s="6"/>
      <c r="M5" s="6"/>
      <c r="N5" s="6">
        <f ca="1" t="shared" si="1"/>
        <v>45000</v>
      </c>
      <c r="O5" s="6">
        <f ca="1" t="shared" si="2"/>
        <v>12.5</v>
      </c>
      <c r="P5" s="6"/>
      <c r="Q5" s="6"/>
    </row>
    <row r="6" s="21" customFormat="1" ht="20" customHeight="1" spans="1:17">
      <c r="A6" s="6"/>
      <c r="B6" s="6"/>
      <c r="C6" s="28"/>
      <c r="D6" s="6"/>
      <c r="E6" s="6"/>
      <c r="F6" s="6"/>
      <c r="G6" s="6"/>
      <c r="H6" s="6"/>
      <c r="I6" s="6"/>
      <c r="J6" s="6">
        <f t="shared" si="0"/>
        <v>0</v>
      </c>
      <c r="K6" s="6"/>
      <c r="L6" s="6"/>
      <c r="M6" s="6"/>
      <c r="N6" s="6">
        <f t="shared" si="1"/>
        <v>0</v>
      </c>
      <c r="O6" s="6">
        <f t="shared" si="2"/>
        <v>0</v>
      </c>
      <c r="P6" s="6"/>
      <c r="Q6" s="6"/>
    </row>
    <row r="7" s="21" customFormat="1" ht="20" customHeight="1" spans="1:17">
      <c r="A7" s="27">
        <v>46086</v>
      </c>
      <c r="B7" s="6">
        <v>11</v>
      </c>
      <c r="C7" s="28">
        <f ca="1">O7/B7</f>
        <v>1.01548821548822</v>
      </c>
      <c r="D7" s="6"/>
      <c r="E7" s="5" t="s">
        <v>101</v>
      </c>
      <c r="F7" s="6">
        <v>138.8</v>
      </c>
      <c r="G7" s="5" t="s">
        <v>102</v>
      </c>
      <c r="H7" s="6">
        <f ca="1" t="array" ref="H7">INDEX(成本核算表!J:J,MATCH(1,(成本核算表!D:D=E7)*(成本核算表!C:C=G7),0))</f>
        <v>160</v>
      </c>
      <c r="I7" s="6">
        <f>754/3</f>
        <v>251.333333333333</v>
      </c>
      <c r="J7" s="6">
        <f ca="1" t="shared" si="0"/>
        <v>40213.3333333333</v>
      </c>
      <c r="K7" s="6"/>
      <c r="L7" s="6"/>
      <c r="M7" s="6">
        <f ca="1">K7*H7</f>
        <v>0</v>
      </c>
      <c r="N7" s="6">
        <f ca="1" t="shared" si="1"/>
        <v>40213.3333333333</v>
      </c>
      <c r="O7" s="6">
        <f ca="1" t="shared" si="2"/>
        <v>11.1703703703704</v>
      </c>
      <c r="P7" s="6"/>
      <c r="Q7" s="6"/>
    </row>
    <row r="8" s="21" customFormat="1" ht="20" customHeight="1" spans="1:17">
      <c r="A8" s="27">
        <v>46087</v>
      </c>
      <c r="B8" s="6">
        <v>11</v>
      </c>
      <c r="C8" s="28">
        <f ca="1">SUM(O8:O10)/B8</f>
        <v>0.943636363636363</v>
      </c>
      <c r="D8" s="5" t="s">
        <v>40</v>
      </c>
      <c r="E8" s="6" t="s">
        <v>36</v>
      </c>
      <c r="F8" s="6">
        <v>119.5</v>
      </c>
      <c r="G8" s="6" t="s">
        <v>37</v>
      </c>
      <c r="H8" s="6">
        <f ca="1" t="array" ref="H8">INDEX(成本核算表!J:J,MATCH(1,(成本核算表!D:D=E8)*(成本核算表!C:C=G8),0))</f>
        <v>15</v>
      </c>
      <c r="I8" s="6">
        <v>424</v>
      </c>
      <c r="J8" s="6">
        <f ca="1" t="shared" si="0"/>
        <v>6360</v>
      </c>
      <c r="K8" s="6"/>
      <c r="L8" s="6"/>
      <c r="M8" s="6"/>
      <c r="N8" s="6">
        <f ca="1" t="shared" si="1"/>
        <v>6360</v>
      </c>
      <c r="O8" s="6">
        <f ca="1" t="shared" si="2"/>
        <v>1.76666666666667</v>
      </c>
      <c r="P8" s="6"/>
      <c r="Q8" s="6"/>
    </row>
    <row r="9" s="21" customFormat="1" ht="20" customHeight="1" spans="1:17">
      <c r="A9" s="27">
        <v>46087</v>
      </c>
      <c r="B9" s="6"/>
      <c r="C9" s="28"/>
      <c r="D9" s="5" t="s">
        <v>40</v>
      </c>
      <c r="E9" s="6" t="s">
        <v>36</v>
      </c>
      <c r="F9" s="6">
        <v>119.5</v>
      </c>
      <c r="G9" s="5" t="s">
        <v>41</v>
      </c>
      <c r="H9" s="6">
        <f ca="1" t="array" ref="H9">INDEX(成本核算表!J:J,MATCH(1,(成本核算表!D:D=E9)*(成本核算表!C:C=G9),0))</f>
        <v>12</v>
      </c>
      <c r="I9" s="6">
        <v>1124</v>
      </c>
      <c r="J9" s="6">
        <f ca="1" t="shared" si="0"/>
        <v>13488</v>
      </c>
      <c r="K9" s="6"/>
      <c r="L9" s="6"/>
      <c r="M9" s="6"/>
      <c r="N9" s="6">
        <f ca="1" t="shared" si="1"/>
        <v>13488</v>
      </c>
      <c r="O9" s="6">
        <f ca="1" t="shared" si="2"/>
        <v>3.74666666666667</v>
      </c>
      <c r="P9" s="6"/>
      <c r="Q9" s="6"/>
    </row>
    <row r="10" s="21" customFormat="1" ht="20" customHeight="1" spans="1:17">
      <c r="A10" s="27">
        <v>46087</v>
      </c>
      <c r="B10" s="6"/>
      <c r="C10" s="28"/>
      <c r="D10" s="6" t="s">
        <v>35</v>
      </c>
      <c r="E10" s="6" t="s">
        <v>36</v>
      </c>
      <c r="F10" s="6">
        <v>119.5</v>
      </c>
      <c r="G10" s="5" t="s">
        <v>41</v>
      </c>
      <c r="H10" s="6">
        <f ca="1" t="array" ref="H10">INDEX(成本核算表!J:J,MATCH(1,(成本核算表!D:D=E10)*(成本核算表!C:C=G10),0))</f>
        <v>12</v>
      </c>
      <c r="I10" s="6">
        <v>1460</v>
      </c>
      <c r="J10" s="6">
        <f ca="1" t="shared" si="0"/>
        <v>17520</v>
      </c>
      <c r="K10" s="6"/>
      <c r="L10" s="6"/>
      <c r="M10" s="6"/>
      <c r="N10" s="6">
        <f ca="1" t="shared" si="1"/>
        <v>17520</v>
      </c>
      <c r="O10" s="6">
        <f ca="1" t="shared" si="2"/>
        <v>4.86666666666667</v>
      </c>
      <c r="P10" s="6"/>
      <c r="Q10" s="6"/>
    </row>
    <row r="11" s="21" customFormat="1" ht="20" customHeight="1" spans="1:17">
      <c r="A11" s="6"/>
      <c r="B11" s="6"/>
      <c r="C11" s="28"/>
      <c r="D11" s="6"/>
      <c r="E11" s="6"/>
      <c r="F11" s="6"/>
      <c r="G11" s="6"/>
      <c r="H11" s="6"/>
      <c r="I11" s="6"/>
      <c r="J11" s="6">
        <f t="shared" si="0"/>
        <v>0</v>
      </c>
      <c r="K11" s="6"/>
      <c r="L11" s="6"/>
      <c r="M11" s="6"/>
      <c r="N11" s="6">
        <f t="shared" si="1"/>
        <v>0</v>
      </c>
      <c r="O11" s="6">
        <f t="shared" si="2"/>
        <v>0</v>
      </c>
      <c r="P11" s="6"/>
      <c r="Q11" s="6"/>
    </row>
    <row r="12" s="21" customFormat="1" ht="20" customHeight="1" spans="1:17">
      <c r="A12" s="27">
        <v>46089</v>
      </c>
      <c r="B12" s="6">
        <v>12</v>
      </c>
      <c r="C12" s="28">
        <f ca="1">SUM(O12:O13)/B12</f>
        <v>1.04166666666667</v>
      </c>
      <c r="D12" s="5" t="s">
        <v>103</v>
      </c>
      <c r="E12" s="5" t="s">
        <v>104</v>
      </c>
      <c r="F12" s="6">
        <v>2569.2</v>
      </c>
      <c r="G12" s="5" t="s">
        <v>22</v>
      </c>
      <c r="H12" s="6">
        <f ca="1" t="array" ref="H12">INDEX(成本核算表!J:J,MATCH(1,(成本核算表!D:D=E12)*(成本核算表!C:C=G12),0))</f>
        <v>600</v>
      </c>
      <c r="I12" s="6">
        <v>15</v>
      </c>
      <c r="J12" s="6">
        <f ca="1" t="shared" si="0"/>
        <v>9000</v>
      </c>
      <c r="K12" s="6"/>
      <c r="L12" s="6"/>
      <c r="M12" s="6"/>
      <c r="N12" s="6">
        <f ca="1" t="shared" si="1"/>
        <v>9000</v>
      </c>
      <c r="O12" s="6">
        <f ca="1" t="shared" si="2"/>
        <v>2.5</v>
      </c>
      <c r="P12" s="6"/>
      <c r="Q12" s="6"/>
    </row>
    <row r="13" s="21" customFormat="1" ht="20" customHeight="1" spans="1:17">
      <c r="A13" s="27">
        <v>46089</v>
      </c>
      <c r="B13" s="6"/>
      <c r="C13" s="28"/>
      <c r="D13" s="5" t="s">
        <v>105</v>
      </c>
      <c r="E13" s="5" t="s">
        <v>104</v>
      </c>
      <c r="F13" s="6">
        <v>2296.8</v>
      </c>
      <c r="G13" s="5" t="s">
        <v>22</v>
      </c>
      <c r="H13" s="6">
        <f ca="1" t="array" ref="H13">INDEX(成本核算表!J:J,MATCH(1,(成本核算表!D:D=E13)*(成本核算表!C:C=G13),0))</f>
        <v>600</v>
      </c>
      <c r="I13" s="6">
        <v>60</v>
      </c>
      <c r="J13" s="6">
        <f ca="1" t="shared" si="0"/>
        <v>36000</v>
      </c>
      <c r="K13" s="6"/>
      <c r="L13" s="6"/>
      <c r="M13" s="6"/>
      <c r="N13" s="6">
        <f ca="1" t="shared" si="1"/>
        <v>36000</v>
      </c>
      <c r="O13" s="6">
        <f ca="1" t="shared" si="2"/>
        <v>10</v>
      </c>
      <c r="P13" s="6"/>
      <c r="Q13" s="6"/>
    </row>
    <row r="14" s="21" customFormat="1" ht="20" customHeight="1" spans="1:17">
      <c r="A14" s="27">
        <v>46090</v>
      </c>
      <c r="B14" s="6">
        <v>12</v>
      </c>
      <c r="C14" s="28">
        <f ca="1" t="shared" ref="C14:C17" si="3">O14/B14</f>
        <v>1.04166666666667</v>
      </c>
      <c r="D14" s="5" t="s">
        <v>105</v>
      </c>
      <c r="E14" s="5" t="s">
        <v>104</v>
      </c>
      <c r="F14" s="6">
        <v>2296.8</v>
      </c>
      <c r="G14" s="5" t="s">
        <v>22</v>
      </c>
      <c r="H14" s="6">
        <f ca="1" t="array" ref="H14">INDEX(成本核算表!J:J,MATCH(1,(成本核算表!D:D=E14)*(成本核算表!C:C=G14),0))</f>
        <v>600</v>
      </c>
      <c r="I14" s="6">
        <v>75</v>
      </c>
      <c r="J14" s="6">
        <f ca="1" t="shared" si="0"/>
        <v>45000</v>
      </c>
      <c r="K14" s="6"/>
      <c r="L14" s="6"/>
      <c r="M14" s="6"/>
      <c r="N14" s="6">
        <f ca="1" t="shared" si="1"/>
        <v>45000</v>
      </c>
      <c r="O14" s="6">
        <f ca="1" t="shared" si="2"/>
        <v>12.5</v>
      </c>
      <c r="P14" s="6"/>
      <c r="Q14" s="6"/>
    </row>
    <row r="15" s="21" customFormat="1" ht="20" customHeight="1" spans="1:17">
      <c r="A15" s="27">
        <v>46091</v>
      </c>
      <c r="B15" s="6">
        <v>12</v>
      </c>
      <c r="C15" s="28">
        <f ca="1" t="shared" si="3"/>
        <v>1.04166666666667</v>
      </c>
      <c r="D15" s="5" t="s">
        <v>105</v>
      </c>
      <c r="E15" s="5" t="s">
        <v>104</v>
      </c>
      <c r="F15" s="6">
        <v>2296.8</v>
      </c>
      <c r="G15" s="5" t="s">
        <v>22</v>
      </c>
      <c r="H15" s="6">
        <f ca="1" t="array" ref="H15">INDEX(成本核算表!J:J,MATCH(1,(成本核算表!D:D=E15)*(成本核算表!C:C=G15),0))</f>
        <v>600</v>
      </c>
      <c r="I15" s="6">
        <v>75</v>
      </c>
      <c r="J15" s="6">
        <f ca="1" t="shared" si="0"/>
        <v>45000</v>
      </c>
      <c r="K15" s="6"/>
      <c r="L15" s="6"/>
      <c r="M15" s="6"/>
      <c r="N15" s="6">
        <f ca="1" t="shared" si="1"/>
        <v>45000</v>
      </c>
      <c r="O15" s="6">
        <f ca="1" t="shared" si="2"/>
        <v>12.5</v>
      </c>
      <c r="P15" s="6"/>
      <c r="Q15" s="6"/>
    </row>
    <row r="16" s="21" customFormat="1" ht="20" customHeight="1" spans="1:17">
      <c r="A16" s="27">
        <v>46092</v>
      </c>
      <c r="B16" s="6">
        <v>12</v>
      </c>
      <c r="C16" s="28">
        <f ca="1" t="shared" si="3"/>
        <v>1.09259259259259</v>
      </c>
      <c r="D16" s="5" t="s">
        <v>106</v>
      </c>
      <c r="E16" s="5" t="s">
        <v>34</v>
      </c>
      <c r="F16" s="6"/>
      <c r="G16" s="5" t="s">
        <v>33</v>
      </c>
      <c r="H16" s="6">
        <f ca="1" t="array" ref="H16">INDEX(成本核算表!J:J,MATCH(1,(成本核算表!D:D=E16)*(成本核算表!C:C=G16),0))</f>
        <v>100</v>
      </c>
      <c r="I16" s="6">
        <f>40+56+5+5+10+48+68+24+32+4+28+34+4+54+60</f>
        <v>472</v>
      </c>
      <c r="J16" s="6">
        <f ca="1" t="shared" si="0"/>
        <v>47200</v>
      </c>
      <c r="K16" s="6"/>
      <c r="L16" s="6"/>
      <c r="M16" s="6"/>
      <c r="N16" s="6">
        <f ca="1" t="shared" si="1"/>
        <v>47200</v>
      </c>
      <c r="O16" s="6">
        <f ca="1" t="shared" si="2"/>
        <v>13.1111111111111</v>
      </c>
      <c r="P16" s="6"/>
      <c r="Q16" s="6"/>
    </row>
    <row r="17" s="21" customFormat="1" ht="20" customHeight="1" spans="1:17">
      <c r="A17" s="27">
        <v>46093</v>
      </c>
      <c r="B17" s="6">
        <v>12</v>
      </c>
      <c r="C17" s="28">
        <f ca="1" t="shared" si="3"/>
        <v>0.658333333333333</v>
      </c>
      <c r="D17" s="5" t="s">
        <v>40</v>
      </c>
      <c r="E17" s="6" t="s">
        <v>36</v>
      </c>
      <c r="F17" s="6">
        <v>119.5</v>
      </c>
      <c r="G17" s="5" t="s">
        <v>41</v>
      </c>
      <c r="H17" s="6">
        <f ca="1" t="array" ref="H17">INDEX(成本核算表!J:J,MATCH(1,(成本核算表!D:D=E17)*(成本核算表!C:C=G17),0))</f>
        <v>12</v>
      </c>
      <c r="I17" s="6">
        <v>2370</v>
      </c>
      <c r="J17" s="6">
        <f ca="1" t="shared" si="0"/>
        <v>28440</v>
      </c>
      <c r="K17" s="6"/>
      <c r="L17" s="6"/>
      <c r="M17" s="6"/>
      <c r="N17" s="6">
        <f ca="1" t="shared" si="1"/>
        <v>28440</v>
      </c>
      <c r="O17" s="6">
        <f ca="1" t="shared" si="2"/>
        <v>7.9</v>
      </c>
      <c r="P17" s="6"/>
      <c r="Q17" s="6"/>
    </row>
    <row r="18" s="21" customFormat="1" ht="20" customHeight="1" spans="1:17">
      <c r="A18" s="27">
        <v>46094</v>
      </c>
      <c r="B18" s="6">
        <v>12</v>
      </c>
      <c r="C18" s="28">
        <f ca="1">SUM(O18:O21)/B18</f>
        <v>0.822523148148148</v>
      </c>
      <c r="D18" s="5" t="s">
        <v>40</v>
      </c>
      <c r="E18" s="6" t="s">
        <v>36</v>
      </c>
      <c r="F18" s="6">
        <v>119.5</v>
      </c>
      <c r="G18" s="5" t="s">
        <v>41</v>
      </c>
      <c r="H18" s="6">
        <f ca="1" t="array" ref="H18">INDEX(成本核算表!J:J,MATCH(1,(成本核算表!D:D=E18)*(成本核算表!C:C=G18),0))</f>
        <v>12</v>
      </c>
      <c r="I18" s="6">
        <v>534</v>
      </c>
      <c r="J18" s="6">
        <f ca="1" t="shared" si="0"/>
        <v>6408</v>
      </c>
      <c r="K18" s="6"/>
      <c r="L18" s="6"/>
      <c r="M18" s="6"/>
      <c r="N18" s="6">
        <f ca="1" t="shared" si="1"/>
        <v>6408</v>
      </c>
      <c r="O18" s="6">
        <f ca="1" t="shared" si="2"/>
        <v>1.78</v>
      </c>
      <c r="P18" s="6"/>
      <c r="Q18" s="6"/>
    </row>
    <row r="19" s="21" customFormat="1" ht="20" customHeight="1" spans="1:17">
      <c r="A19" s="27">
        <v>46094</v>
      </c>
      <c r="B19" s="6"/>
      <c r="C19" s="28"/>
      <c r="D19" s="5" t="s">
        <v>20</v>
      </c>
      <c r="E19" s="6" t="s">
        <v>18</v>
      </c>
      <c r="F19" s="6">
        <v>1942</v>
      </c>
      <c r="G19" s="5" t="s">
        <v>97</v>
      </c>
      <c r="H19" s="6">
        <f ca="1" t="array" ref="H19">INDEX(成本核算表!J:J,MATCH(1,(成本核算表!D:D=E19)*(成本核算表!C:C=G19),0))</f>
        <v>25</v>
      </c>
      <c r="I19" s="6">
        <v>226</v>
      </c>
      <c r="J19" s="6">
        <f ca="1" t="shared" si="0"/>
        <v>5650</v>
      </c>
      <c r="K19" s="6"/>
      <c r="L19" s="6"/>
      <c r="M19" s="6"/>
      <c r="N19" s="6">
        <f ca="1" t="shared" si="1"/>
        <v>5650</v>
      </c>
      <c r="O19" s="6">
        <f ca="1" t="shared" si="2"/>
        <v>1.56944444444444</v>
      </c>
      <c r="P19" s="6"/>
      <c r="Q19" s="6"/>
    </row>
    <row r="20" s="21" customFormat="1" ht="20" customHeight="1" spans="1:17">
      <c r="A20" s="27">
        <v>46094</v>
      </c>
      <c r="B20" s="6"/>
      <c r="C20" s="28"/>
      <c r="D20" s="5" t="s">
        <v>20</v>
      </c>
      <c r="E20" s="6" t="s">
        <v>18</v>
      </c>
      <c r="F20" s="6">
        <v>1942</v>
      </c>
      <c r="G20" s="5" t="s">
        <v>41</v>
      </c>
      <c r="H20" s="6">
        <f ca="1" t="array" ref="H20">INDEX(成本核算表!J:J,MATCH(1,(成本核算表!D:D=E20)*(成本核算表!C:C=G20),0))</f>
        <v>35</v>
      </c>
      <c r="I20" s="6">
        <v>4</v>
      </c>
      <c r="J20" s="6">
        <f ca="1" t="shared" si="0"/>
        <v>140</v>
      </c>
      <c r="K20" s="6">
        <v>19</v>
      </c>
      <c r="L20" s="6"/>
      <c r="M20" s="6">
        <f ca="1">K20*H20</f>
        <v>665</v>
      </c>
      <c r="N20" s="6">
        <f ca="1" t="shared" si="1"/>
        <v>-525</v>
      </c>
      <c r="O20" s="6">
        <f ca="1" t="shared" si="2"/>
        <v>-0.145833333333333</v>
      </c>
      <c r="P20" s="6"/>
      <c r="Q20" s="6"/>
    </row>
    <row r="21" s="21" customFormat="1" ht="20" customHeight="1" spans="1:17">
      <c r="A21" s="27">
        <v>46094</v>
      </c>
      <c r="B21" s="6"/>
      <c r="C21" s="28"/>
      <c r="D21" s="6" t="s">
        <v>35</v>
      </c>
      <c r="E21" s="6" t="s">
        <v>36</v>
      </c>
      <c r="F21" s="6">
        <v>119.5</v>
      </c>
      <c r="G21" s="6" t="s">
        <v>37</v>
      </c>
      <c r="H21" s="6">
        <f ca="1" t="array" ref="H21">INDEX(成本核算表!J:J,MATCH(1,(成本核算表!D:D=E21)*(成本核算表!C:C=G21),0))</f>
        <v>15</v>
      </c>
      <c r="I21" s="6">
        <v>1600</v>
      </c>
      <c r="J21" s="6">
        <f ca="1" t="shared" si="0"/>
        <v>24000</v>
      </c>
      <c r="K21" s="6"/>
      <c r="L21" s="6"/>
      <c r="M21" s="6"/>
      <c r="N21" s="6">
        <f ca="1" t="shared" si="1"/>
        <v>24000</v>
      </c>
      <c r="O21" s="6">
        <f ca="1" t="shared" si="2"/>
        <v>6.66666666666667</v>
      </c>
      <c r="P21" s="6"/>
      <c r="Q21" s="6"/>
    </row>
    <row r="22" s="21" customFormat="1" ht="20" customHeight="1" spans="1:17">
      <c r="A22" s="27">
        <v>46095</v>
      </c>
      <c r="B22" s="6">
        <v>12</v>
      </c>
      <c r="C22" s="28">
        <f ca="1">SUM(O22:O23)/B22</f>
        <v>1.01851851851852</v>
      </c>
      <c r="D22" s="6" t="s">
        <v>107</v>
      </c>
      <c r="E22" s="6" t="s">
        <v>108</v>
      </c>
      <c r="F22" s="6">
        <v>260</v>
      </c>
      <c r="G22" s="6" t="s">
        <v>24</v>
      </c>
      <c r="H22" s="6">
        <f ca="1" t="array" ref="H22">INDEX(成本核算表!J:J,MATCH(1,(成本核算表!D:D=E22)*(成本核算表!C:C=G22),0))</f>
        <v>50</v>
      </c>
      <c r="I22" s="6">
        <v>400</v>
      </c>
      <c r="J22" s="6">
        <f ca="1" t="shared" si="0"/>
        <v>20000</v>
      </c>
      <c r="K22" s="6"/>
      <c r="L22" s="6"/>
      <c r="M22" s="6"/>
      <c r="N22" s="6">
        <f ca="1" t="shared" si="1"/>
        <v>20000</v>
      </c>
      <c r="O22" s="6">
        <f ca="1" t="shared" si="2"/>
        <v>5.55555555555556</v>
      </c>
      <c r="P22" s="6"/>
      <c r="Q22" s="6"/>
    </row>
    <row r="23" s="21" customFormat="1" ht="20" customHeight="1" spans="1:17">
      <c r="A23" s="27">
        <v>46095</v>
      </c>
      <c r="B23" s="6"/>
      <c r="C23" s="28"/>
      <c r="D23" s="6" t="s">
        <v>107</v>
      </c>
      <c r="E23" s="6" t="s">
        <v>108</v>
      </c>
      <c r="F23" s="6">
        <v>260</v>
      </c>
      <c r="G23" s="6" t="s">
        <v>25</v>
      </c>
      <c r="H23" s="6">
        <f ca="1" t="array" ref="H23">INDEX(成本核算表!J:J,MATCH(1,(成本核算表!D:D=E23)*(成本核算表!C:C=G23),0))</f>
        <v>60</v>
      </c>
      <c r="I23" s="6">
        <v>400</v>
      </c>
      <c r="J23" s="6">
        <f ca="1" t="shared" si="0"/>
        <v>24000</v>
      </c>
      <c r="K23" s="6"/>
      <c r="L23" s="6"/>
      <c r="M23" s="6"/>
      <c r="N23" s="6">
        <f ca="1" t="shared" si="1"/>
        <v>24000</v>
      </c>
      <c r="O23" s="6">
        <f ca="1" t="shared" si="2"/>
        <v>6.66666666666667</v>
      </c>
      <c r="P23" s="6"/>
      <c r="Q23" s="6"/>
    </row>
    <row r="24" s="21" customFormat="1" ht="20" customHeight="1" spans="1:17">
      <c r="A24" s="27"/>
      <c r="B24" s="6"/>
      <c r="C24" s="28"/>
      <c r="D24" s="6"/>
      <c r="E24" s="6"/>
      <c r="F24" s="6"/>
      <c r="G24" s="6"/>
      <c r="H24" s="6">
        <f ca="1" t="array" ref="H24">INDEX(成本核算表!J:J,MATCH(1,(成本核算表!D:D=E24)*(成本核算表!C:C=G24),0))</f>
        <v>0</v>
      </c>
      <c r="I24" s="6">
        <v>400</v>
      </c>
      <c r="J24" s="6">
        <f ca="1" t="shared" si="0"/>
        <v>0</v>
      </c>
      <c r="K24" s="6"/>
      <c r="L24" s="6"/>
      <c r="M24" s="6"/>
      <c r="N24" s="6">
        <f ca="1" t="shared" si="1"/>
        <v>0</v>
      </c>
      <c r="O24" s="6">
        <f ca="1" t="shared" si="2"/>
        <v>0</v>
      </c>
      <c r="P24" s="6"/>
      <c r="Q24" s="6"/>
    </row>
    <row r="25" s="21" customFormat="1" ht="20" customHeight="1" spans="1:17">
      <c r="A25" s="27">
        <v>46097</v>
      </c>
      <c r="B25" s="6">
        <v>11</v>
      </c>
      <c r="C25" s="28">
        <f ca="1" t="shared" ref="C25:C28" si="4">O25/B25</f>
        <v>0.964848484848485</v>
      </c>
      <c r="D25" s="6" t="s">
        <v>35</v>
      </c>
      <c r="E25" s="6" t="s">
        <v>36</v>
      </c>
      <c r="F25" s="6">
        <v>119.5</v>
      </c>
      <c r="G25" s="5" t="s">
        <v>41</v>
      </c>
      <c r="H25" s="6">
        <f ca="1" t="array" ref="H25">INDEX(成本核算表!J:J,MATCH(1,(成本核算表!D:D=E25)*(成本核算表!C:C=G25),0))</f>
        <v>12</v>
      </c>
      <c r="I25" s="6">
        <f>1484+580+520</f>
        <v>2584</v>
      </c>
      <c r="J25" s="6">
        <f ca="1" t="shared" ref="J25:J66" si="5">H25*I25</f>
        <v>31008</v>
      </c>
      <c r="K25" s="6"/>
      <c r="L25" s="6">
        <v>7200</v>
      </c>
      <c r="M25" s="6"/>
      <c r="N25" s="6">
        <f ca="1" t="shared" ref="N25:N66" si="6">J25-M25+L25</f>
        <v>38208</v>
      </c>
      <c r="O25" s="6">
        <f ca="1" t="shared" ref="O25:O66" si="7">N25/3600</f>
        <v>10.6133333333333</v>
      </c>
      <c r="P25" s="6"/>
      <c r="Q25" s="5" t="s">
        <v>109</v>
      </c>
    </row>
    <row r="26" s="21" customFormat="1" ht="20" customHeight="1" spans="1:17">
      <c r="A26" s="27">
        <v>46098</v>
      </c>
      <c r="B26" s="6">
        <v>11</v>
      </c>
      <c r="C26" s="28">
        <f ca="1" t="shared" si="4"/>
        <v>1.17090909090909</v>
      </c>
      <c r="D26" s="6" t="s">
        <v>35</v>
      </c>
      <c r="E26" s="6" t="s">
        <v>36</v>
      </c>
      <c r="F26" s="6">
        <v>119.5</v>
      </c>
      <c r="G26" s="5" t="s">
        <v>41</v>
      </c>
      <c r="H26" s="6">
        <f ca="1" t="array" ref="H26">INDEX(成本核算表!J:J,MATCH(1,(成本核算表!D:D=E26)*(成本核算表!C:C=G26),0))</f>
        <v>12</v>
      </c>
      <c r="I26" s="6">
        <f>1864+1400</f>
        <v>3264</v>
      </c>
      <c r="J26" s="6">
        <f ca="1" t="shared" si="5"/>
        <v>39168</v>
      </c>
      <c r="K26" s="6"/>
      <c r="L26" s="6">
        <v>7200</v>
      </c>
      <c r="M26" s="6"/>
      <c r="N26" s="6">
        <f ca="1" t="shared" si="6"/>
        <v>46368</v>
      </c>
      <c r="O26" s="6">
        <f ca="1" t="shared" si="7"/>
        <v>12.88</v>
      </c>
      <c r="P26" s="6"/>
      <c r="Q26" s="5" t="s">
        <v>109</v>
      </c>
    </row>
    <row r="27" s="21" customFormat="1" ht="20" customHeight="1" spans="1:17">
      <c r="A27" s="27">
        <v>46099</v>
      </c>
      <c r="B27" s="6">
        <v>11</v>
      </c>
      <c r="C27" s="28">
        <f ca="1" t="shared" si="4"/>
        <v>1.36363636363636</v>
      </c>
      <c r="D27" s="6" t="s">
        <v>35</v>
      </c>
      <c r="E27" s="6" t="s">
        <v>36</v>
      </c>
      <c r="F27" s="6">
        <v>119.5</v>
      </c>
      <c r="G27" s="5" t="s">
        <v>41</v>
      </c>
      <c r="H27" s="6">
        <f ca="1" t="array" ref="H27">INDEX(成本核算表!J:J,MATCH(1,(成本核算表!D:D=E27)*(成本核算表!C:C=G27),0))</f>
        <v>12</v>
      </c>
      <c r="I27" s="6">
        <f>2140+1760</f>
        <v>3900</v>
      </c>
      <c r="J27" s="6">
        <f ca="1" t="shared" si="5"/>
        <v>46800</v>
      </c>
      <c r="K27" s="6"/>
      <c r="L27" s="6">
        <v>7200</v>
      </c>
      <c r="M27" s="6"/>
      <c r="N27" s="6">
        <f ca="1" t="shared" si="6"/>
        <v>54000</v>
      </c>
      <c r="O27" s="6">
        <f ca="1" t="shared" si="7"/>
        <v>15</v>
      </c>
      <c r="P27" s="6"/>
      <c r="Q27" s="5" t="s">
        <v>109</v>
      </c>
    </row>
    <row r="28" s="21" customFormat="1" ht="20" customHeight="1" spans="1:17">
      <c r="A28" s="27">
        <v>46100</v>
      </c>
      <c r="B28" s="6">
        <v>11</v>
      </c>
      <c r="C28" s="28">
        <f ca="1" t="shared" si="4"/>
        <v>1.03454545454545</v>
      </c>
      <c r="D28" s="6" t="s">
        <v>35</v>
      </c>
      <c r="E28" s="6" t="s">
        <v>36</v>
      </c>
      <c r="F28" s="6">
        <v>119.5</v>
      </c>
      <c r="G28" s="5" t="s">
        <v>41</v>
      </c>
      <c r="H28" s="6">
        <f ca="1" t="array" ref="H28">INDEX(成本核算表!J:J,MATCH(1,(成本核算表!D:D=E28)*(成本核算表!C:C=G28),0))</f>
        <v>12</v>
      </c>
      <c r="I28" s="6">
        <f>2214</f>
        <v>2214</v>
      </c>
      <c r="J28" s="6">
        <f ca="1" t="shared" si="5"/>
        <v>26568</v>
      </c>
      <c r="K28" s="6"/>
      <c r="L28" s="6">
        <f>4*3600</f>
        <v>14400</v>
      </c>
      <c r="M28" s="6"/>
      <c r="N28" s="6">
        <f ca="1" t="shared" si="6"/>
        <v>40968</v>
      </c>
      <c r="O28" s="6">
        <f ca="1" t="shared" si="7"/>
        <v>11.38</v>
      </c>
      <c r="P28" s="6"/>
      <c r="Q28" s="5"/>
    </row>
    <row r="29" s="21" customFormat="1" ht="20" customHeight="1" spans="1:17">
      <c r="A29" s="27">
        <v>46101</v>
      </c>
      <c r="B29" s="6">
        <v>11</v>
      </c>
      <c r="C29" s="28">
        <f ca="1">SUM(O29:O31)/B29</f>
        <v>0.993939393939394</v>
      </c>
      <c r="D29" s="5" t="s">
        <v>40</v>
      </c>
      <c r="E29" s="6" t="s">
        <v>36</v>
      </c>
      <c r="F29" s="6">
        <v>119.5</v>
      </c>
      <c r="G29" s="5" t="s">
        <v>41</v>
      </c>
      <c r="H29" s="6">
        <f ca="1" t="array" ref="H29">INDEX(成本核算表!J:J,MATCH(1,(成本核算表!D:D=E29)*(成本核算表!C:C=G29),0))</f>
        <v>12</v>
      </c>
      <c r="I29" s="6">
        <v>1000</v>
      </c>
      <c r="J29" s="6">
        <f ca="1" t="shared" si="5"/>
        <v>12000</v>
      </c>
      <c r="K29" s="6"/>
      <c r="L29" s="6">
        <v>14400</v>
      </c>
      <c r="M29" s="6"/>
      <c r="N29" s="6">
        <f ca="1" t="shared" si="6"/>
        <v>26400</v>
      </c>
      <c r="O29" s="6">
        <f ca="1" t="shared" si="7"/>
        <v>7.33333333333333</v>
      </c>
      <c r="P29" s="6"/>
      <c r="Q29" s="5" t="s">
        <v>110</v>
      </c>
    </row>
    <row r="30" s="21" customFormat="1" ht="20" customHeight="1" spans="1:17">
      <c r="A30" s="27">
        <v>46101</v>
      </c>
      <c r="B30" s="6"/>
      <c r="C30" s="28"/>
      <c r="D30" s="6" t="s">
        <v>35</v>
      </c>
      <c r="E30" s="6" t="s">
        <v>36</v>
      </c>
      <c r="F30" s="6">
        <v>119.5</v>
      </c>
      <c r="G30" s="5" t="s">
        <v>41</v>
      </c>
      <c r="H30" s="6">
        <f ca="1" t="array" ref="H30">INDEX(成本核算表!J:J,MATCH(1,(成本核算表!D:D=E30)*(成本核算表!C:C=G30),0))</f>
        <v>12</v>
      </c>
      <c r="I30" s="6">
        <v>280</v>
      </c>
      <c r="J30" s="6">
        <f ca="1" t="shared" si="5"/>
        <v>3360</v>
      </c>
      <c r="K30" s="6"/>
      <c r="L30" s="6"/>
      <c r="M30" s="6"/>
      <c r="N30" s="6">
        <f ca="1" t="shared" si="6"/>
        <v>3360</v>
      </c>
      <c r="O30" s="6">
        <f ca="1" t="shared" si="7"/>
        <v>0.933333333333333</v>
      </c>
      <c r="P30" s="6"/>
      <c r="Q30" s="6"/>
    </row>
    <row r="31" s="21" customFormat="1" ht="20" customHeight="1" spans="1:17">
      <c r="A31" s="27">
        <v>46101</v>
      </c>
      <c r="B31" s="6"/>
      <c r="C31" s="28"/>
      <c r="D31" s="5" t="s">
        <v>111</v>
      </c>
      <c r="E31" s="5" t="s">
        <v>112</v>
      </c>
      <c r="F31" s="6">
        <v>1447</v>
      </c>
      <c r="G31" s="5" t="s">
        <v>22</v>
      </c>
      <c r="H31" s="6">
        <f ca="1" t="array" ref="H31">INDEX(成本核算表!J:J,MATCH(1,(成本核算表!D:D=E31)*(成本核算表!C:C=G31),0))</f>
        <v>300</v>
      </c>
      <c r="I31" s="6">
        <v>32</v>
      </c>
      <c r="J31" s="6">
        <f ca="1" t="shared" si="5"/>
        <v>9600</v>
      </c>
      <c r="K31" s="6"/>
      <c r="L31" s="6"/>
      <c r="M31" s="6"/>
      <c r="N31" s="6">
        <f ca="1" t="shared" si="6"/>
        <v>9600</v>
      </c>
      <c r="O31" s="6">
        <f ca="1" t="shared" si="7"/>
        <v>2.66666666666667</v>
      </c>
      <c r="P31" s="6"/>
      <c r="Q31" s="6"/>
    </row>
    <row r="32" s="21" customFormat="1" ht="20" customHeight="1" spans="1:17">
      <c r="A32" s="6"/>
      <c r="B32" s="6"/>
      <c r="C32" s="28"/>
      <c r="D32" s="6"/>
      <c r="E32" s="6"/>
      <c r="F32" s="6"/>
      <c r="G32" s="6"/>
      <c r="H32" s="6">
        <f ca="1" t="array" ref="H32">INDEX(成本核算表!J:J,MATCH(1,(成本核算表!D:D=E32)*(成本核算表!C:C=G32),0))</f>
        <v>0</v>
      </c>
      <c r="I32" s="6"/>
      <c r="J32" s="6">
        <f ca="1" t="shared" si="5"/>
        <v>0</v>
      </c>
      <c r="K32" s="6"/>
      <c r="L32" s="6"/>
      <c r="M32" s="6"/>
      <c r="N32" s="6">
        <f ca="1" t="shared" si="6"/>
        <v>0</v>
      </c>
      <c r="O32" s="6">
        <f ca="1" t="shared" si="7"/>
        <v>0</v>
      </c>
      <c r="P32" s="6"/>
      <c r="Q32" s="6"/>
    </row>
    <row r="33" s="21" customFormat="1" ht="20" customHeight="1" spans="1:17">
      <c r="A33" s="6"/>
      <c r="B33" s="6"/>
      <c r="C33" s="28"/>
      <c r="D33" s="6"/>
      <c r="E33" s="6"/>
      <c r="F33" s="6"/>
      <c r="G33" s="6"/>
      <c r="H33" s="6">
        <f ca="1" t="array" ref="H33">INDEX(成本核算表!J:J,MATCH(1,(成本核算表!D:D=E33)*(成本核算表!C:C=G33),0))</f>
        <v>0</v>
      </c>
      <c r="I33" s="6"/>
      <c r="J33" s="6">
        <f ca="1" t="shared" si="5"/>
        <v>0</v>
      </c>
      <c r="K33" s="6"/>
      <c r="L33" s="6"/>
      <c r="M33" s="6"/>
      <c r="N33" s="6">
        <f ca="1" t="shared" si="6"/>
        <v>0</v>
      </c>
      <c r="O33" s="6">
        <f ca="1" t="shared" si="7"/>
        <v>0</v>
      </c>
      <c r="P33" s="6"/>
      <c r="Q33" s="6"/>
    </row>
    <row r="34" s="21" customFormat="1" ht="20" customHeight="1" spans="1:17">
      <c r="A34" s="6"/>
      <c r="B34" s="6"/>
      <c r="C34" s="28"/>
      <c r="D34" s="6"/>
      <c r="E34" s="6"/>
      <c r="F34" s="6"/>
      <c r="G34" s="6"/>
      <c r="H34" s="6">
        <f ca="1" t="array" ref="H34">INDEX(成本核算表!J:J,MATCH(1,(成本核算表!D:D=E34)*(成本核算表!C:C=G34),0))</f>
        <v>0</v>
      </c>
      <c r="I34" s="6"/>
      <c r="J34" s="6">
        <f ca="1" t="shared" si="5"/>
        <v>0</v>
      </c>
      <c r="K34" s="6"/>
      <c r="L34" s="6"/>
      <c r="M34" s="6"/>
      <c r="N34" s="6">
        <f ca="1" t="shared" si="6"/>
        <v>0</v>
      </c>
      <c r="O34" s="6">
        <f ca="1" t="shared" si="7"/>
        <v>0</v>
      </c>
      <c r="P34" s="6"/>
      <c r="Q34" s="6"/>
    </row>
    <row r="35" s="21" customFormat="1" ht="20" customHeight="1" spans="1:17">
      <c r="A35" s="6"/>
      <c r="B35" s="6"/>
      <c r="C35" s="28"/>
      <c r="D35" s="6"/>
      <c r="E35" s="6"/>
      <c r="F35" s="6"/>
      <c r="G35" s="6"/>
      <c r="H35" s="6">
        <f ca="1" t="array" ref="H35">INDEX(成本核算表!J:J,MATCH(1,(成本核算表!D:D=E35)*(成本核算表!C:C=G35),0))</f>
        <v>0</v>
      </c>
      <c r="I35" s="6"/>
      <c r="J35" s="6">
        <f ca="1" t="shared" si="5"/>
        <v>0</v>
      </c>
      <c r="K35" s="6"/>
      <c r="L35" s="6"/>
      <c r="M35" s="6"/>
      <c r="N35" s="6">
        <f ca="1" t="shared" si="6"/>
        <v>0</v>
      </c>
      <c r="O35" s="6">
        <f ca="1" t="shared" si="7"/>
        <v>0</v>
      </c>
      <c r="P35" s="6"/>
      <c r="Q35" s="6"/>
    </row>
    <row r="36" s="21" customFormat="1" ht="20" customHeight="1" spans="1:17">
      <c r="A36" s="6"/>
      <c r="B36" s="6"/>
      <c r="C36" s="28"/>
      <c r="D36" s="6"/>
      <c r="E36" s="6"/>
      <c r="F36" s="6"/>
      <c r="G36" s="6"/>
      <c r="H36" s="6">
        <f ca="1" t="array" ref="H36">INDEX(成本核算表!J:J,MATCH(1,(成本核算表!D:D=E36)*(成本核算表!C:C=G36),0))</f>
        <v>0</v>
      </c>
      <c r="I36" s="6"/>
      <c r="J36" s="6">
        <f ca="1" t="shared" si="5"/>
        <v>0</v>
      </c>
      <c r="K36" s="6"/>
      <c r="L36" s="6"/>
      <c r="M36" s="6"/>
      <c r="N36" s="6">
        <f ca="1" t="shared" si="6"/>
        <v>0</v>
      </c>
      <c r="O36" s="6">
        <f ca="1" t="shared" si="7"/>
        <v>0</v>
      </c>
      <c r="P36" s="6"/>
      <c r="Q36" s="6"/>
    </row>
    <row r="37" s="21" customFormat="1" ht="20" customHeight="1" spans="1:17">
      <c r="A37" s="6"/>
      <c r="B37" s="6"/>
      <c r="C37" s="28"/>
      <c r="D37" s="6"/>
      <c r="E37" s="6"/>
      <c r="F37" s="6"/>
      <c r="G37" s="6"/>
      <c r="H37" s="6">
        <f ca="1" t="array" ref="H37">INDEX(成本核算表!J:J,MATCH(1,(成本核算表!D:D=E37)*(成本核算表!C:C=G37),0))</f>
        <v>0</v>
      </c>
      <c r="I37" s="6"/>
      <c r="J37" s="6">
        <f ca="1" t="shared" si="5"/>
        <v>0</v>
      </c>
      <c r="K37" s="6"/>
      <c r="L37" s="6"/>
      <c r="M37" s="6"/>
      <c r="N37" s="6">
        <f ca="1" t="shared" si="6"/>
        <v>0</v>
      </c>
      <c r="O37" s="6">
        <f ca="1" t="shared" si="7"/>
        <v>0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5"/>
        <v>0</v>
      </c>
      <c r="K38" s="6"/>
      <c r="L38" s="6"/>
      <c r="M38" s="6"/>
      <c r="N38" s="6">
        <f ca="1" t="shared" si="6"/>
        <v>0</v>
      </c>
      <c r="O38" s="6">
        <f ca="1" t="shared" si="7"/>
        <v>0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5"/>
        <v>0</v>
      </c>
      <c r="K39" s="6"/>
      <c r="L39" s="6"/>
      <c r="M39" s="6"/>
      <c r="N39" s="6">
        <f ca="1" t="shared" si="6"/>
        <v>0</v>
      </c>
      <c r="O39" s="6">
        <f ca="1" t="shared" si="7"/>
        <v>0</v>
      </c>
      <c r="P39" s="6"/>
      <c r="Q39" s="6"/>
    </row>
    <row r="40" s="21" customFormat="1" ht="20" customHeight="1" spans="1:17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6"/>
      <c r="J40" s="6">
        <f ca="1" t="shared" si="5"/>
        <v>0</v>
      </c>
      <c r="K40" s="6"/>
      <c r="L40" s="6"/>
      <c r="M40" s="6"/>
      <c r="N40" s="6">
        <f ca="1" t="shared" si="6"/>
        <v>0</v>
      </c>
      <c r="O40" s="6">
        <f ca="1" t="shared" si="7"/>
        <v>0</v>
      </c>
      <c r="P40" s="6"/>
      <c r="Q40" s="6"/>
    </row>
    <row r="41" s="21" customFormat="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5"/>
        <v>0</v>
      </c>
      <c r="K41" s="6"/>
      <c r="L41" s="6"/>
      <c r="M41" s="6"/>
      <c r="N41" s="6">
        <f ca="1" t="shared" si="6"/>
        <v>0</v>
      </c>
      <c r="O41" s="6">
        <f ca="1" t="shared" si="7"/>
        <v>0</v>
      </c>
      <c r="P41" s="6"/>
      <c r="Q41" s="6"/>
    </row>
    <row r="42" s="21" customFormat="1" ht="20" customHeight="1" spans="1:17">
      <c r="A42" s="6"/>
      <c r="B42" s="6"/>
      <c r="C42" s="28"/>
      <c r="D42" s="6"/>
      <c r="E42" s="6"/>
      <c r="F42" s="6"/>
      <c r="G42" s="6"/>
      <c r="H42" s="6">
        <f ca="1" t="array" ref="H42">INDEX(成本核算表!J:J,MATCH(1,(成本核算表!D:D=E42)*(成本核算表!C:C=G42),0))</f>
        <v>0</v>
      </c>
      <c r="I42" s="6"/>
      <c r="J42" s="6">
        <f ca="1" t="shared" si="5"/>
        <v>0</v>
      </c>
      <c r="K42" s="6"/>
      <c r="L42" s="6"/>
      <c r="M42" s="6"/>
      <c r="N42" s="6">
        <f ca="1" t="shared" si="6"/>
        <v>0</v>
      </c>
      <c r="O42" s="6">
        <f ca="1" t="shared" si="7"/>
        <v>0</v>
      </c>
      <c r="P42" s="6"/>
      <c r="Q42" s="6"/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5"/>
        <v>0</v>
      </c>
      <c r="K43" s="23"/>
      <c r="L43" s="23"/>
      <c r="N43" s="6">
        <f ca="1" t="shared" si="6"/>
        <v>0</v>
      </c>
      <c r="O43" s="6">
        <f ca="1" t="shared" si="7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5"/>
        <v>0</v>
      </c>
      <c r="K44" s="23"/>
      <c r="L44" s="23"/>
      <c r="N44" s="6">
        <f ca="1" t="shared" si="6"/>
        <v>0</v>
      </c>
      <c r="O44" s="6">
        <f ca="1" t="shared" si="7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5"/>
        <v>0</v>
      </c>
      <c r="K45" s="23"/>
      <c r="L45" s="23"/>
      <c r="N45" s="6">
        <f ca="1" t="shared" si="6"/>
        <v>0</v>
      </c>
      <c r="O45" s="6">
        <f ca="1" t="shared" si="7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5"/>
        <v>0</v>
      </c>
      <c r="K46" s="23"/>
      <c r="L46" s="23"/>
      <c r="N46" s="6">
        <f ca="1" t="shared" si="6"/>
        <v>0</v>
      </c>
      <c r="O46" s="6">
        <f ca="1" t="shared" si="7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5"/>
        <v>0</v>
      </c>
      <c r="K47" s="23"/>
      <c r="L47" s="23"/>
      <c r="N47" s="6">
        <f ca="1" t="shared" si="6"/>
        <v>0</v>
      </c>
      <c r="O47" s="6">
        <f ca="1" t="shared" si="7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5"/>
        <v>0</v>
      </c>
      <c r="K48" s="23"/>
      <c r="L48" s="23"/>
      <c r="N48" s="6">
        <f ca="1" t="shared" si="6"/>
        <v>0</v>
      </c>
      <c r="O48" s="6">
        <f ca="1" t="shared" si="7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5"/>
        <v>0</v>
      </c>
      <c r="K49" s="23"/>
      <c r="L49" s="23"/>
      <c r="N49" s="6">
        <f ca="1" t="shared" si="6"/>
        <v>0</v>
      </c>
      <c r="O49" s="6">
        <f ca="1" t="shared" si="7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5"/>
        <v>0</v>
      </c>
      <c r="K50" s="23"/>
      <c r="L50" s="23"/>
      <c r="N50" s="6">
        <f ca="1" t="shared" si="6"/>
        <v>0</v>
      </c>
      <c r="O50" s="6">
        <f ca="1" t="shared" si="7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5"/>
        <v>0</v>
      </c>
      <c r="K51" s="23"/>
      <c r="L51" s="23"/>
      <c r="N51" s="6">
        <f ca="1" t="shared" si="6"/>
        <v>0</v>
      </c>
      <c r="O51" s="6">
        <f ca="1" t="shared" si="7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5"/>
        <v>0</v>
      </c>
      <c r="K52" s="23"/>
      <c r="L52" s="23"/>
      <c r="N52" s="6">
        <f ca="1" t="shared" si="6"/>
        <v>0</v>
      </c>
      <c r="O52" s="6">
        <f ca="1" t="shared" si="7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5"/>
        <v>0</v>
      </c>
      <c r="K53" s="23"/>
      <c r="L53" s="23"/>
      <c r="N53" s="6">
        <f ca="1" t="shared" si="6"/>
        <v>0</v>
      </c>
      <c r="O53" s="6">
        <f ca="1" t="shared" si="7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5"/>
        <v>0</v>
      </c>
      <c r="K54" s="23"/>
      <c r="L54" s="23"/>
      <c r="N54" s="6">
        <f ca="1" t="shared" si="6"/>
        <v>0</v>
      </c>
      <c r="O54" s="6">
        <f ca="1" t="shared" si="7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5"/>
        <v>0</v>
      </c>
      <c r="K55" s="23"/>
      <c r="L55" s="23"/>
      <c r="N55" s="6">
        <f ca="1" t="shared" si="6"/>
        <v>0</v>
      </c>
      <c r="O55" s="6">
        <f ca="1" t="shared" si="7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5"/>
        <v>0</v>
      </c>
      <c r="K56" s="23"/>
      <c r="L56" s="23"/>
      <c r="N56" s="6">
        <f ca="1" t="shared" si="6"/>
        <v>0</v>
      </c>
      <c r="O56" s="6">
        <f ca="1" t="shared" si="7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5"/>
        <v>0</v>
      </c>
      <c r="K57" s="23"/>
      <c r="L57" s="23"/>
      <c r="N57" s="6">
        <f ca="1" t="shared" si="6"/>
        <v>0</v>
      </c>
      <c r="O57" s="6">
        <f ca="1" t="shared" si="7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5"/>
        <v>0</v>
      </c>
      <c r="K58" s="23"/>
      <c r="L58" s="23"/>
      <c r="N58" s="6">
        <f ca="1" t="shared" si="6"/>
        <v>0</v>
      </c>
      <c r="O58" s="6">
        <f ca="1" t="shared" si="7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5"/>
        <v>0</v>
      </c>
      <c r="K59" s="23"/>
      <c r="L59" s="23"/>
      <c r="N59" s="6">
        <f ca="1" t="shared" si="6"/>
        <v>0</v>
      </c>
      <c r="O59" s="6">
        <f ca="1" t="shared" si="7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5"/>
        <v>0</v>
      </c>
      <c r="K60" s="23"/>
      <c r="L60" s="23"/>
      <c r="N60" s="6">
        <f ca="1" t="shared" si="6"/>
        <v>0</v>
      </c>
      <c r="O60" s="6">
        <f ca="1" t="shared" si="7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5"/>
        <v>0</v>
      </c>
      <c r="K61" s="23"/>
      <c r="L61" s="23"/>
      <c r="N61" s="6">
        <f ca="1" t="shared" si="6"/>
        <v>0</v>
      </c>
      <c r="O61" s="6">
        <f ca="1" t="shared" si="7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5"/>
        <v>0</v>
      </c>
      <c r="K62" s="23"/>
      <c r="L62" s="23"/>
      <c r="N62" s="6">
        <f ca="1" t="shared" si="6"/>
        <v>0</v>
      </c>
      <c r="O62" s="6">
        <f ca="1" t="shared" si="7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5"/>
        <v>0</v>
      </c>
      <c r="K63" s="23"/>
      <c r="L63" s="23"/>
      <c r="N63" s="6">
        <f ca="1" t="shared" si="6"/>
        <v>0</v>
      </c>
      <c r="O63" s="6">
        <f ca="1" t="shared" si="7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5"/>
        <v>0</v>
      </c>
      <c r="K64" s="23"/>
      <c r="L64" s="23"/>
      <c r="N64" s="6">
        <f ca="1" t="shared" si="6"/>
        <v>0</v>
      </c>
      <c r="O64" s="6">
        <f ca="1" t="shared" si="7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5"/>
        <v>0</v>
      </c>
      <c r="K65" s="23"/>
      <c r="L65" s="23"/>
      <c r="N65" s="6">
        <f ca="1" t="shared" si="6"/>
        <v>0</v>
      </c>
      <c r="O65" s="6">
        <f ca="1" t="shared" si="7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si="5"/>
        <v>0</v>
      </c>
      <c r="K66" s="23"/>
      <c r="L66" s="23"/>
      <c r="N66" s="6">
        <f ca="1" t="shared" si="6"/>
        <v>0</v>
      </c>
      <c r="O66" s="6">
        <f ca="1" t="shared" si="7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ref="J67:J102" si="8">H67*I67</f>
        <v>0</v>
      </c>
      <c r="K67" s="23"/>
      <c r="L67" s="23"/>
      <c r="N67" s="6">
        <f ca="1" t="shared" ref="N67:N102" si="9">J67-M67+L67</f>
        <v>0</v>
      </c>
      <c r="O67" s="6">
        <f ca="1" t="shared" ref="O67:O102" si="10">N67/3600</f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8"/>
        <v>0</v>
      </c>
      <c r="K68" s="23"/>
      <c r="L68" s="23"/>
      <c r="N68" s="6">
        <f ca="1" t="shared" si="9"/>
        <v>0</v>
      </c>
      <c r="O68" s="6">
        <f ca="1" t="shared" si="10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8"/>
        <v>0</v>
      </c>
      <c r="K69" s="23"/>
      <c r="L69" s="23"/>
      <c r="N69" s="6">
        <f ca="1" t="shared" si="9"/>
        <v>0</v>
      </c>
      <c r="O69" s="6">
        <f ca="1" t="shared" si="10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8"/>
        <v>0</v>
      </c>
      <c r="K70" s="23"/>
      <c r="L70" s="23"/>
      <c r="N70" s="6">
        <f ca="1" t="shared" si="9"/>
        <v>0</v>
      </c>
      <c r="O70" s="6">
        <f ca="1" t="shared" si="10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8"/>
        <v>0</v>
      </c>
      <c r="K71" s="23"/>
      <c r="L71" s="23"/>
      <c r="N71" s="6">
        <f ca="1" t="shared" si="9"/>
        <v>0</v>
      </c>
      <c r="O71" s="6">
        <f ca="1" t="shared" si="10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8"/>
        <v>0</v>
      </c>
      <c r="K72" s="23"/>
      <c r="L72" s="23"/>
      <c r="N72" s="6">
        <f ca="1" t="shared" si="9"/>
        <v>0</v>
      </c>
      <c r="O72" s="6">
        <f ca="1" t="shared" si="10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8"/>
        <v>0</v>
      </c>
      <c r="K73" s="23"/>
      <c r="L73" s="23"/>
      <c r="N73" s="6">
        <f ca="1" t="shared" si="9"/>
        <v>0</v>
      </c>
      <c r="O73" s="6">
        <f ca="1" t="shared" si="10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8"/>
        <v>0</v>
      </c>
      <c r="K74" s="23"/>
      <c r="L74" s="23"/>
      <c r="N74" s="6">
        <f ca="1" t="shared" si="9"/>
        <v>0</v>
      </c>
      <c r="O74" s="6">
        <f ca="1" t="shared" si="10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8"/>
        <v>0</v>
      </c>
      <c r="K75" s="23"/>
      <c r="L75" s="23"/>
      <c r="N75" s="6">
        <f ca="1" t="shared" si="9"/>
        <v>0</v>
      </c>
      <c r="O75" s="6">
        <f ca="1" t="shared" si="10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8"/>
        <v>0</v>
      </c>
      <c r="K76" s="23"/>
      <c r="L76" s="23"/>
      <c r="N76" s="6">
        <f ca="1" t="shared" si="9"/>
        <v>0</v>
      </c>
      <c r="O76" s="6">
        <f ca="1" t="shared" si="10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8"/>
        <v>0</v>
      </c>
      <c r="K77" s="23"/>
      <c r="L77" s="23"/>
      <c r="N77" s="6">
        <f ca="1" t="shared" si="9"/>
        <v>0</v>
      </c>
      <c r="O77" s="6">
        <f ca="1" t="shared" si="10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8"/>
        <v>0</v>
      </c>
      <c r="K78" s="23"/>
      <c r="L78" s="23"/>
      <c r="N78" s="6">
        <f ca="1" t="shared" si="9"/>
        <v>0</v>
      </c>
      <c r="O78" s="6">
        <f ca="1" t="shared" si="10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8"/>
        <v>0</v>
      </c>
      <c r="K79" s="23"/>
      <c r="L79" s="23"/>
      <c r="N79" s="6">
        <f ca="1" t="shared" si="9"/>
        <v>0</v>
      </c>
      <c r="O79" s="6">
        <f ca="1" t="shared" si="10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8"/>
        <v>0</v>
      </c>
      <c r="K80" s="23"/>
      <c r="L80" s="23"/>
      <c r="N80" s="6">
        <f ca="1" t="shared" si="9"/>
        <v>0</v>
      </c>
      <c r="O80" s="6">
        <f ca="1" t="shared" si="10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8"/>
        <v>0</v>
      </c>
      <c r="K81" s="23"/>
      <c r="L81" s="23"/>
      <c r="N81" s="6">
        <f ca="1" t="shared" si="9"/>
        <v>0</v>
      </c>
      <c r="O81" s="6">
        <f ca="1" t="shared" si="10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8"/>
        <v>0</v>
      </c>
      <c r="K82" s="23"/>
      <c r="L82" s="23"/>
      <c r="N82" s="6">
        <f ca="1" t="shared" si="9"/>
        <v>0</v>
      </c>
      <c r="O82" s="6">
        <f ca="1" t="shared" si="10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8"/>
        <v>0</v>
      </c>
      <c r="K83" s="23"/>
      <c r="L83" s="23"/>
      <c r="N83" s="6">
        <f ca="1" t="shared" si="9"/>
        <v>0</v>
      </c>
      <c r="O83" s="6">
        <f ca="1" t="shared" si="10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8"/>
        <v>0</v>
      </c>
      <c r="K84" s="23"/>
      <c r="L84" s="23"/>
      <c r="N84" s="6">
        <f ca="1" t="shared" si="9"/>
        <v>0</v>
      </c>
      <c r="O84" s="6">
        <f ca="1" t="shared" si="10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8"/>
        <v>0</v>
      </c>
      <c r="K85" s="23"/>
      <c r="L85" s="23"/>
      <c r="N85" s="6">
        <f ca="1" t="shared" si="9"/>
        <v>0</v>
      </c>
      <c r="O85" s="6">
        <f ca="1" t="shared" si="10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8"/>
        <v>0</v>
      </c>
      <c r="K86" s="23"/>
      <c r="L86" s="23"/>
      <c r="N86" s="6">
        <f ca="1" t="shared" si="9"/>
        <v>0</v>
      </c>
      <c r="O86" s="6">
        <f ca="1" t="shared" si="10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8"/>
        <v>0</v>
      </c>
      <c r="K87" s="23"/>
      <c r="L87" s="23"/>
      <c r="N87" s="6">
        <f ca="1" t="shared" si="9"/>
        <v>0</v>
      </c>
      <c r="O87" s="6">
        <f ca="1" t="shared" si="10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8"/>
        <v>0</v>
      </c>
      <c r="K88" s="23"/>
      <c r="L88" s="23"/>
      <c r="N88" s="6">
        <f ca="1" t="shared" si="9"/>
        <v>0</v>
      </c>
      <c r="O88" s="6">
        <f ca="1" t="shared" si="10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8"/>
        <v>0</v>
      </c>
      <c r="K89" s="23"/>
      <c r="L89" s="23"/>
      <c r="N89" s="6">
        <f ca="1" t="shared" si="9"/>
        <v>0</v>
      </c>
      <c r="O89" s="6">
        <f ca="1" t="shared" si="10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8"/>
        <v>0</v>
      </c>
      <c r="K90" s="23"/>
      <c r="L90" s="23"/>
      <c r="N90" s="6">
        <f ca="1" t="shared" si="9"/>
        <v>0</v>
      </c>
      <c r="O90" s="6">
        <f ca="1" t="shared" si="10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8"/>
        <v>0</v>
      </c>
      <c r="K91" s="23"/>
      <c r="L91" s="23"/>
      <c r="N91" s="6">
        <f ca="1" t="shared" si="9"/>
        <v>0</v>
      </c>
      <c r="O91" s="6">
        <f ca="1" t="shared" si="10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8"/>
        <v>0</v>
      </c>
      <c r="K92" s="23"/>
      <c r="L92" s="23"/>
      <c r="N92" s="6">
        <f ca="1" t="shared" si="9"/>
        <v>0</v>
      </c>
      <c r="O92" s="6">
        <f ca="1" t="shared" si="10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8"/>
        <v>0</v>
      </c>
      <c r="K93" s="23"/>
      <c r="L93" s="23"/>
      <c r="N93" s="6">
        <f ca="1" t="shared" si="9"/>
        <v>0</v>
      </c>
      <c r="O93" s="6">
        <f ca="1" t="shared" si="10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8"/>
        <v>0</v>
      </c>
      <c r="K94" s="23"/>
      <c r="L94" s="23"/>
      <c r="N94" s="6">
        <f ca="1" t="shared" si="9"/>
        <v>0</v>
      </c>
      <c r="O94" s="6">
        <f ca="1" t="shared" si="10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8"/>
        <v>0</v>
      </c>
      <c r="K95" s="23"/>
      <c r="L95" s="23"/>
      <c r="N95" s="6">
        <f ca="1" t="shared" si="9"/>
        <v>0</v>
      </c>
      <c r="O95" s="6">
        <f ca="1" t="shared" si="10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8"/>
        <v>0</v>
      </c>
      <c r="K96" s="23"/>
      <c r="L96" s="23"/>
      <c r="N96" s="6">
        <f ca="1" t="shared" si="9"/>
        <v>0</v>
      </c>
      <c r="O96" s="6">
        <f ca="1" t="shared" si="10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8"/>
        <v>0</v>
      </c>
      <c r="K97" s="23"/>
      <c r="L97" s="23"/>
      <c r="N97" s="6">
        <f ca="1" t="shared" si="9"/>
        <v>0</v>
      </c>
      <c r="O97" s="6">
        <f ca="1" t="shared" si="10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8"/>
        <v>0</v>
      </c>
      <c r="K98" s="23"/>
      <c r="L98" s="23"/>
      <c r="N98" s="6">
        <f ca="1" t="shared" si="9"/>
        <v>0</v>
      </c>
      <c r="O98" s="6">
        <f ca="1" t="shared" si="10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8"/>
        <v>0</v>
      </c>
      <c r="K99" s="23"/>
      <c r="L99" s="23"/>
      <c r="N99" s="6">
        <f ca="1" t="shared" si="9"/>
        <v>0</v>
      </c>
      <c r="O99" s="6">
        <f ca="1" t="shared" si="10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8"/>
        <v>0</v>
      </c>
      <c r="K100" s="23"/>
      <c r="L100" s="23"/>
      <c r="N100" s="6">
        <f ca="1" t="shared" si="9"/>
        <v>0</v>
      </c>
      <c r="O100" s="6">
        <f ca="1" t="shared" si="10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8"/>
        <v>0</v>
      </c>
      <c r="K101" s="23"/>
      <c r="L101" s="23"/>
      <c r="N101" s="6">
        <f ca="1" t="shared" si="9"/>
        <v>0</v>
      </c>
      <c r="O101" s="6">
        <f ca="1" t="shared" si="10"/>
        <v>0</v>
      </c>
    </row>
    <row r="102" s="21" customFormat="1" ht="20" customHeight="1" spans="1:15">
      <c r="A102" s="22"/>
      <c r="B102" s="23"/>
      <c r="C102" s="24"/>
      <c r="D102" s="23"/>
      <c r="E102" s="23"/>
      <c r="F102" s="23"/>
      <c r="G102" s="23"/>
      <c r="H102" s="6">
        <f ca="1" t="array" ref="H102">INDEX(成本核算表!J:J,MATCH(1,(成本核算表!D:D=E102)*(成本核算表!C:C=G102),0))</f>
        <v>0</v>
      </c>
      <c r="I102" s="6"/>
      <c r="J102" s="6">
        <f ca="1" t="shared" si="8"/>
        <v>0</v>
      </c>
      <c r="K102" s="23"/>
      <c r="L102" s="23"/>
      <c r="N102" s="6">
        <f ca="1" t="shared" si="9"/>
        <v>0</v>
      </c>
      <c r="O102" s="6">
        <f ca="1" t="shared" si="10"/>
        <v>0</v>
      </c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  <row r="180" s="21" customFormat="1" customHeight="1" spans="1:12">
      <c r="A180" s="22"/>
      <c r="B180" s="23"/>
      <c r="C180" s="24"/>
      <c r="D180" s="23"/>
      <c r="E180" s="23"/>
      <c r="F180" s="23"/>
      <c r="G180" s="23"/>
      <c r="H180" s="25"/>
      <c r="I180" s="25"/>
      <c r="J180" s="23"/>
      <c r="K180" s="23"/>
      <c r="L180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15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4" width="9" style="21"/>
    <col min="15" max="15" width="12.625" style="21"/>
    <col min="16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46097</v>
      </c>
      <c r="B2" s="6">
        <v>11</v>
      </c>
      <c r="C2" s="28"/>
      <c r="D2" s="6"/>
      <c r="E2" s="6"/>
      <c r="F2" s="6"/>
      <c r="G2" s="6"/>
      <c r="H2" s="6">
        <f ca="1" t="array" ref="H2">INDEX(成本核算表!J:J,MATCH(1,(成本核算表!D:D=E2)*(成本核算表!C:C=G2),0))</f>
        <v>0</v>
      </c>
      <c r="I2" s="6"/>
      <c r="J2" s="6">
        <f ca="1" t="shared" ref="J2:J40" si="0">H2*I2</f>
        <v>0</v>
      </c>
      <c r="K2" s="6"/>
      <c r="L2" s="6">
        <f>11*3600</f>
        <v>39600</v>
      </c>
      <c r="M2" s="6"/>
      <c r="N2" s="6">
        <f ca="1" t="shared" ref="N2:N40" si="1">J2-M2+L2</f>
        <v>39600</v>
      </c>
      <c r="O2" s="6">
        <f ca="1" t="shared" ref="O2:O40" si="2">N2/3600</f>
        <v>11</v>
      </c>
      <c r="P2" s="6"/>
      <c r="Q2" s="6"/>
    </row>
    <row r="3" s="21" customFormat="1" ht="20" customHeight="1" spans="1:17">
      <c r="A3" s="27">
        <v>46098</v>
      </c>
      <c r="B3" s="6">
        <v>11</v>
      </c>
      <c r="C3" s="28"/>
      <c r="D3" s="6"/>
      <c r="E3" s="6"/>
      <c r="F3" s="6"/>
      <c r="G3" s="6"/>
      <c r="H3" s="6">
        <f ca="1" t="array" ref="H3">INDEX(成本核算表!J:J,MATCH(1,(成本核算表!D:D=E3)*(成本核算表!C:C=G3),0))</f>
        <v>0</v>
      </c>
      <c r="I3" s="6"/>
      <c r="J3" s="6">
        <f ca="1" t="shared" si="0"/>
        <v>0</v>
      </c>
      <c r="K3" s="6"/>
      <c r="L3" s="6">
        <f>11*3600</f>
        <v>39600</v>
      </c>
      <c r="M3" s="6"/>
      <c r="N3" s="6">
        <f ca="1" t="shared" si="1"/>
        <v>39600</v>
      </c>
      <c r="O3" s="6">
        <f ca="1" t="shared" si="2"/>
        <v>11</v>
      </c>
      <c r="P3" s="6"/>
      <c r="Q3" s="6"/>
    </row>
    <row r="4" s="21" customFormat="1" ht="20" customHeight="1" spans="1:17">
      <c r="A4" s="27">
        <v>46099</v>
      </c>
      <c r="B4" s="6">
        <v>11</v>
      </c>
      <c r="C4" s="28"/>
      <c r="D4" s="6"/>
      <c r="E4" s="6"/>
      <c r="F4" s="6"/>
      <c r="G4" s="6"/>
      <c r="H4" s="6">
        <f ca="1" t="array" ref="H4">INDEX(成本核算表!J:J,MATCH(1,(成本核算表!D:D=E4)*(成本核算表!C:C=G4),0))</f>
        <v>0</v>
      </c>
      <c r="I4" s="6"/>
      <c r="J4" s="6">
        <f ca="1" t="shared" si="0"/>
        <v>0</v>
      </c>
      <c r="K4" s="6"/>
      <c r="L4" s="6">
        <f>11*3600</f>
        <v>39600</v>
      </c>
      <c r="M4" s="6"/>
      <c r="N4" s="6">
        <f ca="1" t="shared" si="1"/>
        <v>39600</v>
      </c>
      <c r="O4" s="6">
        <f ca="1" t="shared" si="2"/>
        <v>11</v>
      </c>
      <c r="P4" s="6"/>
      <c r="Q4" s="6"/>
    </row>
    <row r="5" s="21" customFormat="1" ht="20" customHeight="1" spans="1:17">
      <c r="A5" s="27">
        <v>46100</v>
      </c>
      <c r="B5" s="6">
        <v>11</v>
      </c>
      <c r="C5" s="28"/>
      <c r="D5" s="6"/>
      <c r="E5" s="6"/>
      <c r="F5" s="6"/>
      <c r="G5" s="6"/>
      <c r="H5" s="6">
        <f ca="1" t="array" ref="H5">INDEX(成本核算表!J:J,MATCH(1,(成本核算表!D:D=E5)*(成本核算表!C:C=G5),0))</f>
        <v>0</v>
      </c>
      <c r="I5" s="6"/>
      <c r="J5" s="6">
        <f ca="1" t="shared" si="0"/>
        <v>0</v>
      </c>
      <c r="K5" s="6"/>
      <c r="L5" s="6">
        <f>11*3600</f>
        <v>39600</v>
      </c>
      <c r="M5" s="6"/>
      <c r="N5" s="6">
        <f ca="1" t="shared" si="1"/>
        <v>39600</v>
      </c>
      <c r="O5" s="6">
        <f ca="1" t="shared" si="2"/>
        <v>11</v>
      </c>
      <c r="P5" s="6"/>
      <c r="Q5" s="6"/>
    </row>
    <row r="6" s="21" customFormat="1" ht="20" customHeight="1" spans="1:17">
      <c r="A6" s="27">
        <v>46101</v>
      </c>
      <c r="B6" s="6">
        <v>11</v>
      </c>
      <c r="C6" s="28">
        <f ca="1">O6/B6</f>
        <v>0.792727272727273</v>
      </c>
      <c r="D6" s="29" t="s">
        <v>35</v>
      </c>
      <c r="E6" s="5" t="s">
        <v>36</v>
      </c>
      <c r="F6" s="6">
        <v>119.5</v>
      </c>
      <c r="G6" s="5" t="s">
        <v>41</v>
      </c>
      <c r="H6" s="6">
        <f ca="1" t="array" ref="H6">INDEX(成本核算表!J:J,MATCH(1,(成本核算表!D:D=E6)*(成本核算表!C:C=G6),0))</f>
        <v>12</v>
      </c>
      <c r="I6" s="6">
        <v>666</v>
      </c>
      <c r="J6" s="6">
        <f ca="1" t="shared" si="0"/>
        <v>7992</v>
      </c>
      <c r="K6" s="6"/>
      <c r="L6" s="6">
        <f>6.5*3600</f>
        <v>23400</v>
      </c>
      <c r="M6" s="6"/>
      <c r="N6" s="6">
        <f ca="1" t="shared" si="1"/>
        <v>31392</v>
      </c>
      <c r="O6" s="6">
        <f ca="1" t="shared" si="2"/>
        <v>8.72</v>
      </c>
      <c r="P6" s="6"/>
      <c r="Q6" s="6"/>
    </row>
    <row r="7" s="21" customFormat="1" ht="20" customHeight="1" spans="1:17">
      <c r="A7" s="6"/>
      <c r="B7" s="6"/>
      <c r="C7" s="28"/>
      <c r="D7" s="6"/>
      <c r="E7" s="6"/>
      <c r="F7" s="6"/>
      <c r="G7" s="6"/>
      <c r="H7" s="6">
        <f ca="1" t="array" ref="H7">INDEX(成本核算表!J:J,MATCH(1,(成本核算表!D:D=E7)*(成本核算表!C:C=G7),0))</f>
        <v>0</v>
      </c>
      <c r="I7" s="6"/>
      <c r="J7" s="6">
        <f ca="1" t="shared" si="0"/>
        <v>0</v>
      </c>
      <c r="K7" s="6"/>
      <c r="L7" s="6"/>
      <c r="M7" s="6"/>
      <c r="N7" s="6">
        <f ca="1" t="shared" si="1"/>
        <v>0</v>
      </c>
      <c r="O7" s="6">
        <f ca="1" t="shared" si="2"/>
        <v>0</v>
      </c>
      <c r="P7" s="6"/>
      <c r="Q7" s="6"/>
    </row>
    <row r="8" s="21" customFormat="1" ht="20" customHeight="1" spans="1:17">
      <c r="A8" s="6"/>
      <c r="B8" s="6"/>
      <c r="C8" s="28"/>
      <c r="D8" s="6"/>
      <c r="E8" s="6"/>
      <c r="F8" s="6"/>
      <c r="G8" s="6"/>
      <c r="H8" s="6">
        <f ca="1" t="array" ref="H8">INDEX(成本核算表!J:J,MATCH(1,(成本核算表!D:D=E8)*(成本核算表!C:C=G8),0))</f>
        <v>0</v>
      </c>
      <c r="I8" s="6"/>
      <c r="J8" s="6">
        <f ca="1" t="shared" si="0"/>
        <v>0</v>
      </c>
      <c r="K8" s="6"/>
      <c r="L8" s="6"/>
      <c r="M8" s="6"/>
      <c r="N8" s="6">
        <f ca="1" t="shared" si="1"/>
        <v>0</v>
      </c>
      <c r="O8" s="6">
        <f ca="1" t="shared" si="2"/>
        <v>0</v>
      </c>
      <c r="P8" s="6"/>
      <c r="Q8" s="6"/>
    </row>
    <row r="9" s="21" customFormat="1" ht="20" customHeight="1" spans="1:17">
      <c r="A9" s="6"/>
      <c r="B9" s="6"/>
      <c r="C9" s="28"/>
      <c r="D9" s="6"/>
      <c r="E9" s="6"/>
      <c r="F9" s="6"/>
      <c r="G9" s="6"/>
      <c r="H9" s="6">
        <f ca="1" t="array" ref="H9">INDEX(成本核算表!J:J,MATCH(1,(成本核算表!D:D=E9)*(成本核算表!C:C=G9),0))</f>
        <v>0</v>
      </c>
      <c r="I9" s="6"/>
      <c r="J9" s="6">
        <f ca="1" t="shared" si="0"/>
        <v>0</v>
      </c>
      <c r="K9" s="6"/>
      <c r="L9" s="6"/>
      <c r="M9" s="6"/>
      <c r="N9" s="6">
        <f ca="1" t="shared" si="1"/>
        <v>0</v>
      </c>
      <c r="O9" s="6">
        <f ca="1" t="shared" si="2"/>
        <v>0</v>
      </c>
      <c r="P9" s="6"/>
      <c r="Q9" s="6"/>
    </row>
    <row r="10" s="21" customFormat="1" ht="20" customHeight="1" spans="1:17">
      <c r="A10" s="6"/>
      <c r="B10" s="6"/>
      <c r="C10" s="28"/>
      <c r="D10" s="6"/>
      <c r="E10" s="6"/>
      <c r="F10" s="6"/>
      <c r="G10" s="6"/>
      <c r="H10" s="6">
        <f ca="1" t="array" ref="H10">INDEX(成本核算表!J:J,MATCH(1,(成本核算表!D:D=E10)*(成本核算表!C:C=G10),0))</f>
        <v>0</v>
      </c>
      <c r="I10" s="6"/>
      <c r="J10" s="6">
        <f ca="1" t="shared" si="0"/>
        <v>0</v>
      </c>
      <c r="K10" s="6"/>
      <c r="L10" s="6"/>
      <c r="M10" s="6"/>
      <c r="N10" s="6">
        <f ca="1" t="shared" si="1"/>
        <v>0</v>
      </c>
      <c r="O10" s="6">
        <f ca="1" t="shared" si="2"/>
        <v>0</v>
      </c>
      <c r="P10" s="6"/>
      <c r="Q10" s="6"/>
    </row>
    <row r="11" s="21" customFormat="1" ht="20" customHeight="1" spans="1:17">
      <c r="A11" s="6"/>
      <c r="B11" s="6"/>
      <c r="C11" s="28"/>
      <c r="D11" s="6"/>
      <c r="E11" s="6"/>
      <c r="F11" s="6"/>
      <c r="G11" s="6"/>
      <c r="H11" s="6">
        <f ca="1" t="array" ref="H11">INDEX(成本核算表!J:J,MATCH(1,(成本核算表!D:D=E11)*(成本核算表!C:C=G11),0))</f>
        <v>0</v>
      </c>
      <c r="I11" s="6"/>
      <c r="J11" s="6">
        <f ca="1" t="shared" si="0"/>
        <v>0</v>
      </c>
      <c r="K11" s="6"/>
      <c r="L11" s="6"/>
      <c r="M11" s="6"/>
      <c r="N11" s="6">
        <f ca="1" t="shared" si="1"/>
        <v>0</v>
      </c>
      <c r="O11" s="6">
        <f ca="1" t="shared" si="2"/>
        <v>0</v>
      </c>
      <c r="P11" s="6"/>
      <c r="Q11" s="6"/>
    </row>
    <row r="12" s="21" customFormat="1" ht="20" customHeight="1" spans="1:17">
      <c r="A12" s="6"/>
      <c r="B12" s="6"/>
      <c r="C12" s="28"/>
      <c r="D12" s="6"/>
      <c r="E12" s="6"/>
      <c r="F12" s="6"/>
      <c r="G12" s="6"/>
      <c r="H12" s="6">
        <f ca="1" t="array" ref="H12">INDEX(成本核算表!J:J,MATCH(1,(成本核算表!D:D=E12)*(成本核算表!C:C=G12),0))</f>
        <v>0</v>
      </c>
      <c r="I12" s="6"/>
      <c r="J12" s="6">
        <f ca="1" t="shared" si="0"/>
        <v>0</v>
      </c>
      <c r="K12" s="6"/>
      <c r="L12" s="6"/>
      <c r="M12" s="6"/>
      <c r="N12" s="6">
        <f ca="1" t="shared" si="1"/>
        <v>0</v>
      </c>
      <c r="O12" s="6">
        <f ca="1" t="shared" si="2"/>
        <v>0</v>
      </c>
      <c r="P12" s="6"/>
      <c r="Q12" s="6"/>
    </row>
    <row r="13" s="21" customFormat="1" ht="20" customHeight="1" spans="1:17">
      <c r="A13" s="6"/>
      <c r="B13" s="6"/>
      <c r="C13" s="28"/>
      <c r="D13" s="6"/>
      <c r="E13" s="6"/>
      <c r="F13" s="6"/>
      <c r="G13" s="6"/>
      <c r="H13" s="6">
        <f ca="1" t="array" ref="H13">INDEX(成本核算表!J:J,MATCH(1,(成本核算表!D:D=E13)*(成本核算表!C:C=G13),0))</f>
        <v>0</v>
      </c>
      <c r="I13" s="6"/>
      <c r="J13" s="6">
        <f ca="1" t="shared" si="0"/>
        <v>0</v>
      </c>
      <c r="K13" s="6"/>
      <c r="L13" s="6"/>
      <c r="M13" s="6"/>
      <c r="N13" s="6">
        <f ca="1" t="shared" si="1"/>
        <v>0</v>
      </c>
      <c r="O13" s="6">
        <f ca="1" t="shared" si="2"/>
        <v>0</v>
      </c>
      <c r="P13" s="6"/>
      <c r="Q13" s="6"/>
    </row>
    <row r="14" s="21" customFormat="1" ht="20" customHeight="1" spans="1:17">
      <c r="A14" s="6"/>
      <c r="B14" s="6"/>
      <c r="C14" s="28"/>
      <c r="D14" s="6"/>
      <c r="E14" s="6"/>
      <c r="F14" s="6"/>
      <c r="G14" s="6"/>
      <c r="H14" s="6">
        <f ca="1" t="array" ref="H14">INDEX(成本核算表!J:J,MATCH(1,(成本核算表!D:D=E14)*(成本核算表!C:C=G14),0))</f>
        <v>0</v>
      </c>
      <c r="I14" s="6"/>
      <c r="J14" s="6">
        <f ca="1" t="shared" si="0"/>
        <v>0</v>
      </c>
      <c r="K14" s="6"/>
      <c r="L14" s="6"/>
      <c r="M14" s="6"/>
      <c r="N14" s="6">
        <f ca="1" t="shared" si="1"/>
        <v>0</v>
      </c>
      <c r="O14" s="6">
        <f ca="1" t="shared" si="2"/>
        <v>0</v>
      </c>
      <c r="P14" s="6"/>
      <c r="Q14" s="6"/>
    </row>
    <row r="15" s="21" customFormat="1" ht="20" customHeight="1" spans="1:17">
      <c r="A15" s="6"/>
      <c r="B15" s="6"/>
      <c r="C15" s="28"/>
      <c r="D15" s="6"/>
      <c r="E15" s="6"/>
      <c r="F15" s="6"/>
      <c r="G15" s="6"/>
      <c r="H15" s="6">
        <f ca="1" t="array" ref="H15">INDEX(成本核算表!J:J,MATCH(1,(成本核算表!D:D=E15)*(成本核算表!C:C=G15),0))</f>
        <v>0</v>
      </c>
      <c r="I15" s="6"/>
      <c r="J15" s="6">
        <f ca="1" t="shared" si="0"/>
        <v>0</v>
      </c>
      <c r="K15" s="6"/>
      <c r="L15" s="6"/>
      <c r="M15" s="6"/>
      <c r="N15" s="6">
        <f ca="1" t="shared" si="1"/>
        <v>0</v>
      </c>
      <c r="O15" s="6">
        <f ca="1" t="shared" si="2"/>
        <v>0</v>
      </c>
      <c r="P15" s="6"/>
      <c r="Q15" s="6"/>
    </row>
    <row r="16" s="21" customFormat="1" ht="20" customHeight="1" spans="1:17">
      <c r="A16" s="6"/>
      <c r="B16" s="6"/>
      <c r="C16" s="28"/>
      <c r="D16" s="6"/>
      <c r="E16" s="6"/>
      <c r="F16" s="6"/>
      <c r="G16" s="6"/>
      <c r="H16" s="6">
        <f ca="1" t="array" ref="H16">INDEX(成本核算表!J:J,MATCH(1,(成本核算表!D:D=E16)*(成本核算表!C:C=G16),0))</f>
        <v>0</v>
      </c>
      <c r="I16" s="6"/>
      <c r="J16" s="6">
        <f ca="1" t="shared" si="0"/>
        <v>0</v>
      </c>
      <c r="K16" s="6"/>
      <c r="L16" s="6"/>
      <c r="M16" s="6"/>
      <c r="N16" s="6">
        <f ca="1" t="shared" si="1"/>
        <v>0</v>
      </c>
      <c r="O16" s="6">
        <f ca="1" t="shared" si="2"/>
        <v>0</v>
      </c>
      <c r="P16" s="6"/>
      <c r="Q16" s="6"/>
    </row>
    <row r="17" s="21" customFormat="1" ht="20" customHeight="1" spans="1:17">
      <c r="A17" s="6"/>
      <c r="B17" s="6"/>
      <c r="C17" s="28"/>
      <c r="D17" s="6"/>
      <c r="E17" s="6"/>
      <c r="F17" s="6"/>
      <c r="G17" s="6"/>
      <c r="H17" s="6">
        <f ca="1" t="array" ref="H17">INDEX(成本核算表!J:J,MATCH(1,(成本核算表!D:D=E17)*(成本核算表!C:C=G17),0))</f>
        <v>0</v>
      </c>
      <c r="I17" s="6"/>
      <c r="J17" s="6">
        <f ca="1" t="shared" si="0"/>
        <v>0</v>
      </c>
      <c r="K17" s="6"/>
      <c r="L17" s="6"/>
      <c r="M17" s="6"/>
      <c r="N17" s="6">
        <f ca="1" t="shared" si="1"/>
        <v>0</v>
      </c>
      <c r="O17" s="6">
        <f ca="1" t="shared" si="2"/>
        <v>0</v>
      </c>
      <c r="P17" s="6"/>
      <c r="Q17" s="6"/>
    </row>
    <row r="18" s="21" customFormat="1" ht="20" customHeight="1" spans="1:17">
      <c r="A18" s="22"/>
      <c r="B18" s="23"/>
      <c r="C18" s="24"/>
      <c r="D18" s="23"/>
      <c r="E18" s="23"/>
      <c r="F18" s="23"/>
      <c r="G18" s="23"/>
      <c r="H18" s="6">
        <f ca="1" t="array" ref="H18">INDEX(成本核算表!J:J,MATCH(1,(成本核算表!D:D=E18)*(成本核算表!C:C=G18),0))</f>
        <v>0</v>
      </c>
      <c r="I18" s="6"/>
      <c r="J18" s="6">
        <f ca="1" t="shared" si="0"/>
        <v>0</v>
      </c>
      <c r="K18" s="23"/>
      <c r="L18" s="23"/>
      <c r="N18" s="6">
        <f ca="1" t="shared" si="1"/>
        <v>0</v>
      </c>
      <c r="O18" s="6">
        <f ca="1" t="shared" si="2"/>
        <v>0</v>
      </c>
    </row>
    <row r="19" s="21" customFormat="1" ht="20" customHeight="1" spans="1:17">
      <c r="A19" s="22"/>
      <c r="B19" s="23"/>
      <c r="C19" s="24"/>
      <c r="D19" s="23"/>
      <c r="E19" s="23"/>
      <c r="F19" s="23"/>
      <c r="G19" s="23"/>
      <c r="H19" s="6">
        <f ca="1" t="array" ref="H19">INDEX(成本核算表!J:J,MATCH(1,(成本核算表!D:D=E19)*(成本核算表!C:C=G19),0))</f>
        <v>0</v>
      </c>
      <c r="I19" s="6"/>
      <c r="J19" s="6">
        <f ca="1" t="shared" si="0"/>
        <v>0</v>
      </c>
      <c r="K19" s="23"/>
      <c r="L19" s="23"/>
      <c r="N19" s="6">
        <f ca="1" t="shared" si="1"/>
        <v>0</v>
      </c>
      <c r="O19" s="6">
        <f ca="1" t="shared" si="2"/>
        <v>0</v>
      </c>
    </row>
    <row r="20" s="21" customFormat="1" ht="20" customHeight="1" spans="1:17">
      <c r="A20" s="22"/>
      <c r="B20" s="23"/>
      <c r="C20" s="24"/>
      <c r="D20" s="23"/>
      <c r="E20" s="23"/>
      <c r="F20" s="23"/>
      <c r="G20" s="23"/>
      <c r="H20" s="6">
        <f ca="1" t="array" ref="H20">INDEX(成本核算表!J:J,MATCH(1,(成本核算表!D:D=E20)*(成本核算表!C:C=G20),0))</f>
        <v>0</v>
      </c>
      <c r="I20" s="6"/>
      <c r="J20" s="6">
        <f ca="1" t="shared" si="0"/>
        <v>0</v>
      </c>
      <c r="K20" s="23"/>
      <c r="L20" s="23"/>
      <c r="N20" s="6">
        <f ca="1" t="shared" si="1"/>
        <v>0</v>
      </c>
      <c r="O20" s="6">
        <f ca="1" t="shared" si="2"/>
        <v>0</v>
      </c>
    </row>
    <row r="21" s="21" customFormat="1" ht="20" customHeight="1" spans="1:17">
      <c r="A21" s="22"/>
      <c r="B21" s="23"/>
      <c r="C21" s="24"/>
      <c r="D21" s="23"/>
      <c r="E21" s="23"/>
      <c r="F21" s="23"/>
      <c r="G21" s="23"/>
      <c r="H21" s="6">
        <f ca="1" t="array" ref="H21">INDEX(成本核算表!J:J,MATCH(1,(成本核算表!D:D=E21)*(成本核算表!C:C=G21),0))</f>
        <v>0</v>
      </c>
      <c r="I21" s="6"/>
      <c r="J21" s="6">
        <f ca="1" t="shared" si="0"/>
        <v>0</v>
      </c>
      <c r="K21" s="23"/>
      <c r="L21" s="23"/>
      <c r="N21" s="6">
        <f ca="1" t="shared" si="1"/>
        <v>0</v>
      </c>
      <c r="O21" s="6">
        <f ca="1" t="shared" si="2"/>
        <v>0</v>
      </c>
    </row>
    <row r="22" s="21" customFormat="1" ht="20" customHeight="1" spans="1:17">
      <c r="A22" s="22"/>
      <c r="B22" s="23"/>
      <c r="C22" s="24"/>
      <c r="D22" s="23"/>
      <c r="E22" s="23"/>
      <c r="F22" s="23"/>
      <c r="G22" s="23"/>
      <c r="H22" s="6">
        <f ca="1" t="array" ref="H22">INDEX(成本核算表!J:J,MATCH(1,(成本核算表!D:D=E22)*(成本核算表!C:C=G22),0))</f>
        <v>0</v>
      </c>
      <c r="I22" s="6"/>
      <c r="J22" s="6">
        <f ca="1" t="shared" si="0"/>
        <v>0</v>
      </c>
      <c r="K22" s="23"/>
      <c r="L22" s="23"/>
      <c r="N22" s="6">
        <f ca="1" t="shared" si="1"/>
        <v>0</v>
      </c>
      <c r="O22" s="6">
        <f ca="1" t="shared" si="2"/>
        <v>0</v>
      </c>
    </row>
    <row r="23" s="21" customFormat="1" ht="20" customHeight="1" spans="1:17">
      <c r="A23" s="22"/>
      <c r="B23" s="23"/>
      <c r="C23" s="24"/>
      <c r="D23" s="23"/>
      <c r="E23" s="23"/>
      <c r="F23" s="23"/>
      <c r="G23" s="23"/>
      <c r="H23" s="6">
        <f ca="1" t="array" ref="H23">INDEX(成本核算表!J:J,MATCH(1,(成本核算表!D:D=E23)*(成本核算表!C:C=G23),0))</f>
        <v>0</v>
      </c>
      <c r="I23" s="6"/>
      <c r="J23" s="6">
        <f ca="1" t="shared" si="0"/>
        <v>0</v>
      </c>
      <c r="K23" s="23"/>
      <c r="L23" s="23"/>
      <c r="N23" s="6">
        <f ca="1" t="shared" si="1"/>
        <v>0</v>
      </c>
      <c r="O23" s="6">
        <f ca="1" t="shared" si="2"/>
        <v>0</v>
      </c>
    </row>
    <row r="24" s="21" customFormat="1" ht="20" customHeight="1" spans="1:17">
      <c r="A24" s="22"/>
      <c r="B24" s="23"/>
      <c r="C24" s="24"/>
      <c r="D24" s="23"/>
      <c r="E24" s="23"/>
      <c r="F24" s="23"/>
      <c r="G24" s="23"/>
      <c r="H24" s="6">
        <f ca="1" t="array" ref="H24">INDEX(成本核算表!J:J,MATCH(1,(成本核算表!D:D=E24)*(成本核算表!C:C=G24),0))</f>
        <v>0</v>
      </c>
      <c r="I24" s="6"/>
      <c r="J24" s="6">
        <f ca="1" t="shared" si="0"/>
        <v>0</v>
      </c>
      <c r="K24" s="23"/>
      <c r="L24" s="23"/>
      <c r="N24" s="6">
        <f ca="1" t="shared" si="1"/>
        <v>0</v>
      </c>
      <c r="O24" s="6">
        <f ca="1" t="shared" si="2"/>
        <v>0</v>
      </c>
    </row>
    <row r="25" s="21" customFormat="1" ht="20" customHeight="1" spans="1:17">
      <c r="A25" s="22"/>
      <c r="B25" s="23"/>
      <c r="C25" s="24"/>
      <c r="D25" s="23"/>
      <c r="E25" s="23"/>
      <c r="F25" s="23"/>
      <c r="G25" s="23"/>
      <c r="H25" s="6">
        <f ca="1" t="array" ref="H25">INDEX(成本核算表!J:J,MATCH(1,(成本核算表!D:D=E25)*(成本核算表!C:C=G25),0))</f>
        <v>0</v>
      </c>
      <c r="I25" s="6"/>
      <c r="J25" s="6">
        <f ca="1" t="shared" si="0"/>
        <v>0</v>
      </c>
      <c r="K25" s="23"/>
      <c r="L25" s="23"/>
      <c r="N25" s="6">
        <f ca="1" t="shared" si="1"/>
        <v>0</v>
      </c>
      <c r="O25" s="6">
        <f ca="1" t="shared" si="2"/>
        <v>0</v>
      </c>
    </row>
    <row r="26" s="21" customFormat="1" ht="20" customHeight="1" spans="1:17">
      <c r="A26" s="22"/>
      <c r="B26" s="23"/>
      <c r="C26" s="24"/>
      <c r="D26" s="23"/>
      <c r="E26" s="23"/>
      <c r="F26" s="23"/>
      <c r="G26" s="23"/>
      <c r="H26" s="6">
        <f ca="1" t="array" ref="H26">INDEX(成本核算表!J:J,MATCH(1,(成本核算表!D:D=E26)*(成本核算表!C:C=G26),0))</f>
        <v>0</v>
      </c>
      <c r="I26" s="6"/>
      <c r="J26" s="6">
        <f ca="1" t="shared" si="0"/>
        <v>0</v>
      </c>
      <c r="K26" s="23"/>
      <c r="L26" s="23"/>
      <c r="N26" s="6">
        <f ca="1" t="shared" si="1"/>
        <v>0</v>
      </c>
      <c r="O26" s="6">
        <f ca="1" t="shared" si="2"/>
        <v>0</v>
      </c>
    </row>
    <row r="27" s="21" customFormat="1" ht="20" customHeight="1" spans="1:17">
      <c r="A27" s="22"/>
      <c r="B27" s="23"/>
      <c r="C27" s="24"/>
      <c r="D27" s="23"/>
      <c r="E27" s="23"/>
      <c r="F27" s="23"/>
      <c r="G27" s="23"/>
      <c r="H27" s="6">
        <f ca="1" t="array" ref="H27">INDEX(成本核算表!J:J,MATCH(1,(成本核算表!D:D=E27)*(成本核算表!C:C=G27),0))</f>
        <v>0</v>
      </c>
      <c r="I27" s="6"/>
      <c r="J27" s="6">
        <f ca="1" t="shared" si="0"/>
        <v>0</v>
      </c>
      <c r="K27" s="23"/>
      <c r="L27" s="23"/>
      <c r="N27" s="6">
        <f ca="1" t="shared" si="1"/>
        <v>0</v>
      </c>
      <c r="O27" s="6">
        <f ca="1" t="shared" si="2"/>
        <v>0</v>
      </c>
    </row>
    <row r="28" s="21" customFormat="1" ht="20" customHeight="1" spans="1:17">
      <c r="A28" s="22"/>
      <c r="B28" s="23"/>
      <c r="C28" s="24"/>
      <c r="D28" s="23"/>
      <c r="E28" s="23"/>
      <c r="F28" s="23"/>
      <c r="G28" s="23"/>
      <c r="H28" s="6">
        <f ca="1" t="array" ref="H28">INDEX(成本核算表!J:J,MATCH(1,(成本核算表!D:D=E28)*(成本核算表!C:C=G28),0))</f>
        <v>0</v>
      </c>
      <c r="I28" s="6"/>
      <c r="J28" s="6">
        <f ca="1" t="shared" si="0"/>
        <v>0</v>
      </c>
      <c r="K28" s="23"/>
      <c r="L28" s="23"/>
      <c r="N28" s="6">
        <f ca="1" t="shared" si="1"/>
        <v>0</v>
      </c>
      <c r="O28" s="6">
        <f ca="1" t="shared" si="2"/>
        <v>0</v>
      </c>
    </row>
    <row r="29" s="21" customFormat="1" ht="20" customHeight="1" spans="1:17">
      <c r="A29" s="22"/>
      <c r="B29" s="23"/>
      <c r="C29" s="24"/>
      <c r="D29" s="23"/>
      <c r="E29" s="23"/>
      <c r="F29" s="23"/>
      <c r="G29" s="23"/>
      <c r="H29" s="6">
        <f ca="1" t="array" ref="H29">INDEX(成本核算表!J:J,MATCH(1,(成本核算表!D:D=E29)*(成本核算表!C:C=G29),0))</f>
        <v>0</v>
      </c>
      <c r="I29" s="6"/>
      <c r="J29" s="6">
        <f ca="1" t="shared" si="0"/>
        <v>0</v>
      </c>
      <c r="K29" s="23"/>
      <c r="L29" s="23"/>
      <c r="N29" s="6">
        <f ca="1" t="shared" si="1"/>
        <v>0</v>
      </c>
      <c r="O29" s="6">
        <f ca="1" t="shared" si="2"/>
        <v>0</v>
      </c>
    </row>
    <row r="30" s="21" customFormat="1" ht="20" customHeight="1" spans="1:17">
      <c r="A30" s="22"/>
      <c r="B30" s="23"/>
      <c r="C30" s="24"/>
      <c r="D30" s="23"/>
      <c r="E30" s="23"/>
      <c r="F30" s="23"/>
      <c r="G30" s="23"/>
      <c r="H30" s="6">
        <f ca="1" t="array" ref="H30">INDEX(成本核算表!J:J,MATCH(1,(成本核算表!D:D=E30)*(成本核算表!C:C=G30),0))</f>
        <v>0</v>
      </c>
      <c r="I30" s="6"/>
      <c r="J30" s="6">
        <f ca="1" t="shared" si="0"/>
        <v>0</v>
      </c>
      <c r="K30" s="23"/>
      <c r="L30" s="23"/>
      <c r="N30" s="6">
        <f ca="1" t="shared" si="1"/>
        <v>0</v>
      </c>
      <c r="O30" s="6">
        <f ca="1" t="shared" si="2"/>
        <v>0</v>
      </c>
    </row>
    <row r="31" s="21" customFormat="1" ht="20" customHeight="1" spans="1:17">
      <c r="A31" s="22"/>
      <c r="B31" s="23"/>
      <c r="C31" s="24"/>
      <c r="D31" s="23"/>
      <c r="E31" s="23"/>
      <c r="F31" s="23"/>
      <c r="G31" s="23"/>
      <c r="H31" s="6">
        <f ca="1" t="array" ref="H31">INDEX(成本核算表!J:J,MATCH(1,(成本核算表!D:D=E31)*(成本核算表!C:C=G31),0))</f>
        <v>0</v>
      </c>
      <c r="I31" s="6"/>
      <c r="J31" s="6">
        <f ca="1" t="shared" si="0"/>
        <v>0</v>
      </c>
      <c r="K31" s="23"/>
      <c r="L31" s="23"/>
      <c r="N31" s="6">
        <f ca="1" t="shared" si="1"/>
        <v>0</v>
      </c>
      <c r="O31" s="6">
        <f ca="1" t="shared" si="2"/>
        <v>0</v>
      </c>
    </row>
    <row r="32" s="21" customFormat="1" ht="20" customHeight="1" spans="1:17">
      <c r="A32" s="22"/>
      <c r="B32" s="23"/>
      <c r="C32" s="24"/>
      <c r="D32" s="23"/>
      <c r="E32" s="23"/>
      <c r="F32" s="23"/>
      <c r="G32" s="23"/>
      <c r="H32" s="6">
        <f ca="1" t="array" ref="H32">INDEX(成本核算表!J:J,MATCH(1,(成本核算表!D:D=E32)*(成本核算表!C:C=G32),0))</f>
        <v>0</v>
      </c>
      <c r="I32" s="6"/>
      <c r="J32" s="6">
        <f ca="1" t="shared" si="0"/>
        <v>0</v>
      </c>
      <c r="K32" s="23"/>
      <c r="L32" s="23"/>
      <c r="N32" s="6">
        <f ca="1" t="shared" si="1"/>
        <v>0</v>
      </c>
      <c r="O32" s="6">
        <f ca="1" t="shared" si="2"/>
        <v>0</v>
      </c>
    </row>
    <row r="33" s="21" customFormat="1" ht="20" customHeight="1" spans="1:15">
      <c r="A33" s="22"/>
      <c r="B33" s="23"/>
      <c r="C33" s="24"/>
      <c r="D33" s="23"/>
      <c r="E33" s="23"/>
      <c r="F33" s="23"/>
      <c r="G33" s="23"/>
      <c r="H33" s="6">
        <f ca="1" t="array" ref="H33">INDEX(成本核算表!J:J,MATCH(1,(成本核算表!D:D=E33)*(成本核算表!C:C=G33),0))</f>
        <v>0</v>
      </c>
      <c r="I33" s="6"/>
      <c r="J33" s="6">
        <f ca="1" t="shared" si="0"/>
        <v>0</v>
      </c>
      <c r="K33" s="23"/>
      <c r="L33" s="23"/>
      <c r="N33" s="6">
        <f ca="1" t="shared" si="1"/>
        <v>0</v>
      </c>
      <c r="O33" s="6">
        <f ca="1" t="shared" si="2"/>
        <v>0</v>
      </c>
    </row>
    <row r="34" s="21" customFormat="1" ht="20" customHeight="1" spans="1:15">
      <c r="A34" s="22"/>
      <c r="B34" s="23"/>
      <c r="C34" s="24"/>
      <c r="D34" s="23"/>
      <c r="E34" s="23"/>
      <c r="F34" s="23"/>
      <c r="G34" s="23"/>
      <c r="H34" s="6">
        <f ca="1" t="array" ref="H34">INDEX(成本核算表!J:J,MATCH(1,(成本核算表!D:D=E34)*(成本核算表!C:C=G34),0))</f>
        <v>0</v>
      </c>
      <c r="I34" s="6"/>
      <c r="J34" s="6">
        <f ca="1" t="shared" si="0"/>
        <v>0</v>
      </c>
      <c r="K34" s="23"/>
      <c r="L34" s="23"/>
      <c r="N34" s="6">
        <f ca="1" t="shared" si="1"/>
        <v>0</v>
      </c>
      <c r="O34" s="6">
        <f ca="1" t="shared" si="2"/>
        <v>0</v>
      </c>
    </row>
    <row r="35" s="21" customFormat="1" ht="20" customHeight="1" spans="1:15">
      <c r="A35" s="22"/>
      <c r="B35" s="23"/>
      <c r="C35" s="24"/>
      <c r="D35" s="23"/>
      <c r="E35" s="23"/>
      <c r="F35" s="23"/>
      <c r="G35" s="23"/>
      <c r="H35" s="6">
        <f ca="1" t="array" ref="H35">INDEX(成本核算表!J:J,MATCH(1,(成本核算表!D:D=E35)*(成本核算表!C:C=G35),0))</f>
        <v>0</v>
      </c>
      <c r="I35" s="6"/>
      <c r="J35" s="6">
        <f ca="1" t="shared" si="0"/>
        <v>0</v>
      </c>
      <c r="K35" s="23"/>
      <c r="L35" s="23"/>
      <c r="N35" s="6">
        <f ca="1" t="shared" si="1"/>
        <v>0</v>
      </c>
      <c r="O35" s="6">
        <f ca="1" t="shared" si="2"/>
        <v>0</v>
      </c>
    </row>
    <row r="36" s="21" customFormat="1" ht="20" customHeight="1" spans="1:15">
      <c r="A36" s="22"/>
      <c r="B36" s="23"/>
      <c r="C36" s="24"/>
      <c r="D36" s="23"/>
      <c r="E36" s="23"/>
      <c r="F36" s="23"/>
      <c r="G36" s="23"/>
      <c r="H36" s="6">
        <f ca="1" t="array" ref="H36">INDEX(成本核算表!J:J,MATCH(1,(成本核算表!D:D=E36)*(成本核算表!C:C=G36),0))</f>
        <v>0</v>
      </c>
      <c r="I36" s="6"/>
      <c r="J36" s="6">
        <f ca="1" t="shared" si="0"/>
        <v>0</v>
      </c>
      <c r="K36" s="23"/>
      <c r="L36" s="23"/>
      <c r="N36" s="6">
        <f ca="1" t="shared" si="1"/>
        <v>0</v>
      </c>
      <c r="O36" s="6">
        <f ca="1" t="shared" si="2"/>
        <v>0</v>
      </c>
    </row>
    <row r="37" s="21" customFormat="1" ht="20" customHeight="1" spans="1:15">
      <c r="A37" s="22"/>
      <c r="B37" s="23"/>
      <c r="C37" s="24"/>
      <c r="D37" s="23"/>
      <c r="E37" s="23"/>
      <c r="F37" s="23"/>
      <c r="G37" s="23"/>
      <c r="H37" s="6">
        <f ca="1" t="array" ref="H37">INDEX(成本核算表!J:J,MATCH(1,(成本核算表!D:D=E37)*(成本核算表!C:C=G37),0))</f>
        <v>0</v>
      </c>
      <c r="I37" s="6"/>
      <c r="J37" s="6">
        <f ca="1" t="shared" si="0"/>
        <v>0</v>
      </c>
      <c r="K37" s="23"/>
      <c r="L37" s="23"/>
      <c r="N37" s="6">
        <f ca="1" t="shared" si="1"/>
        <v>0</v>
      </c>
      <c r="O37" s="6">
        <f ca="1" t="shared" si="2"/>
        <v>0</v>
      </c>
    </row>
    <row r="38" s="21" customFormat="1" ht="20" customHeight="1" spans="1:15">
      <c r="A38" s="22"/>
      <c r="B38" s="23"/>
      <c r="C38" s="24"/>
      <c r="D38" s="23"/>
      <c r="E38" s="23"/>
      <c r="F38" s="23"/>
      <c r="G38" s="23"/>
      <c r="H38" s="6">
        <f ca="1" t="array" ref="H38">INDEX(成本核算表!J:J,MATCH(1,(成本核算表!D:D=E38)*(成本核算表!C:C=G38),0))</f>
        <v>0</v>
      </c>
      <c r="I38" s="6"/>
      <c r="J38" s="6">
        <f ca="1" t="shared" si="0"/>
        <v>0</v>
      </c>
      <c r="K38" s="23"/>
      <c r="L38" s="23"/>
      <c r="N38" s="6">
        <f ca="1" t="shared" si="1"/>
        <v>0</v>
      </c>
      <c r="O38" s="6">
        <f ca="1" t="shared" si="2"/>
        <v>0</v>
      </c>
    </row>
    <row r="39" s="21" customFormat="1" ht="20" customHeight="1" spans="1:15">
      <c r="A39" s="22"/>
      <c r="B39" s="23"/>
      <c r="C39" s="24"/>
      <c r="D39" s="23"/>
      <c r="E39" s="23"/>
      <c r="F39" s="23"/>
      <c r="G39" s="23"/>
      <c r="H39" s="6">
        <f ca="1" t="array" ref="H39">INDEX(成本核算表!J:J,MATCH(1,(成本核算表!D:D=E39)*(成本核算表!C:C=G39),0))</f>
        <v>0</v>
      </c>
      <c r="I39" s="6"/>
      <c r="J39" s="6">
        <f ca="1" t="shared" si="0"/>
        <v>0</v>
      </c>
      <c r="K39" s="23"/>
      <c r="L39" s="23"/>
      <c r="N39" s="6">
        <f ca="1" t="shared" si="1"/>
        <v>0</v>
      </c>
      <c r="O39" s="6">
        <f ca="1" t="shared" si="2"/>
        <v>0</v>
      </c>
    </row>
    <row r="40" s="21" customFormat="1" ht="20" customHeight="1" spans="1:15">
      <c r="A40" s="22"/>
      <c r="B40" s="23"/>
      <c r="C40" s="24"/>
      <c r="D40" s="23"/>
      <c r="E40" s="23"/>
      <c r="F40" s="23"/>
      <c r="G40" s="23"/>
      <c r="H40" s="6">
        <f ca="1" t="array" ref="H40">INDEX(成本核算表!J:J,MATCH(1,(成本核算表!D:D=E40)*(成本核算表!C:C=G40),0))</f>
        <v>0</v>
      </c>
      <c r="I40" s="6"/>
      <c r="J40" s="6">
        <f ca="1" t="shared" si="0"/>
        <v>0</v>
      </c>
      <c r="K40" s="23"/>
      <c r="L40" s="23"/>
      <c r="N40" s="6">
        <f ca="1" t="shared" si="1"/>
        <v>0</v>
      </c>
      <c r="O40" s="6">
        <f ca="1" t="shared" si="2"/>
        <v>0</v>
      </c>
    </row>
    <row r="41" s="21" customFormat="1" ht="20" customHeight="1" spans="1:15">
      <c r="A41" s="22"/>
      <c r="B41" s="23"/>
      <c r="C41" s="24"/>
      <c r="D41" s="23"/>
      <c r="E41" s="23"/>
      <c r="F41" s="23"/>
      <c r="G41" s="23"/>
      <c r="H41" s="6">
        <f ca="1" t="array" ref="H41">INDEX(成本核算表!J:J,MATCH(1,(成本核算表!D:D=E41)*(成本核算表!C:C=G41),0))</f>
        <v>0</v>
      </c>
      <c r="I41" s="6"/>
      <c r="J41" s="6">
        <f ca="1" t="shared" ref="J41:J77" si="3">H41*I41</f>
        <v>0</v>
      </c>
      <c r="K41" s="23"/>
      <c r="L41" s="23"/>
      <c r="N41" s="6">
        <f ca="1" t="shared" ref="N41:N77" si="4">J41-M41+L41</f>
        <v>0</v>
      </c>
      <c r="O41" s="6">
        <f ca="1" t="shared" ref="O41:O77" si="5">N41/3600</f>
        <v>0</v>
      </c>
    </row>
    <row r="42" s="21" customFormat="1" ht="20" customHeight="1" spans="1:15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3"/>
        <v>0</v>
      </c>
      <c r="K42" s="23"/>
      <c r="L42" s="23"/>
      <c r="N42" s="6">
        <f ca="1" t="shared" si="4"/>
        <v>0</v>
      </c>
      <c r="O42" s="6">
        <f ca="1" t="shared" si="5"/>
        <v>0</v>
      </c>
    </row>
    <row r="43" s="21" customFormat="1" ht="20" customHeight="1" spans="1:15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3"/>
        <v>0</v>
      </c>
      <c r="K43" s="23"/>
      <c r="L43" s="23"/>
      <c r="N43" s="6">
        <f ca="1" t="shared" si="4"/>
        <v>0</v>
      </c>
      <c r="O43" s="6">
        <f ca="1" t="shared" si="5"/>
        <v>0</v>
      </c>
    </row>
    <row r="44" s="21" customFormat="1" ht="20" customHeight="1" spans="1:15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3"/>
        <v>0</v>
      </c>
      <c r="K44" s="23"/>
      <c r="L44" s="23"/>
      <c r="N44" s="6">
        <f ca="1" t="shared" si="4"/>
        <v>0</v>
      </c>
      <c r="O44" s="6">
        <f ca="1" t="shared" si="5"/>
        <v>0</v>
      </c>
    </row>
    <row r="45" s="21" customFormat="1" ht="20" customHeight="1" spans="1:15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3"/>
        <v>0</v>
      </c>
      <c r="K45" s="23"/>
      <c r="L45" s="23"/>
      <c r="N45" s="6">
        <f ca="1" t="shared" si="4"/>
        <v>0</v>
      </c>
      <c r="O45" s="6">
        <f ca="1" t="shared" si="5"/>
        <v>0</v>
      </c>
    </row>
    <row r="46" s="21" customFormat="1" ht="20" customHeight="1" spans="1:15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3"/>
        <v>0</v>
      </c>
      <c r="K46" s="23"/>
      <c r="L46" s="23"/>
      <c r="N46" s="6">
        <f ca="1" t="shared" si="4"/>
        <v>0</v>
      </c>
      <c r="O46" s="6">
        <f ca="1" t="shared" si="5"/>
        <v>0</v>
      </c>
    </row>
    <row r="47" s="21" customFormat="1" ht="20" customHeight="1" spans="1:15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3"/>
        <v>0</v>
      </c>
      <c r="K47" s="23"/>
      <c r="L47" s="23"/>
      <c r="N47" s="6">
        <f ca="1" t="shared" si="4"/>
        <v>0</v>
      </c>
      <c r="O47" s="6">
        <f ca="1" t="shared" si="5"/>
        <v>0</v>
      </c>
    </row>
    <row r="48" s="21" customFormat="1" ht="20" customHeight="1" spans="1:15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3"/>
        <v>0</v>
      </c>
      <c r="K48" s="23"/>
      <c r="L48" s="23"/>
      <c r="N48" s="6">
        <f ca="1" t="shared" si="4"/>
        <v>0</v>
      </c>
      <c r="O48" s="6">
        <f ca="1" t="shared" si="5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3"/>
        <v>0</v>
      </c>
      <c r="K49" s="23"/>
      <c r="L49" s="23"/>
      <c r="N49" s="6">
        <f ca="1" t="shared" si="4"/>
        <v>0</v>
      </c>
      <c r="O49" s="6">
        <f ca="1" t="shared" si="5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3"/>
        <v>0</v>
      </c>
      <c r="K50" s="23"/>
      <c r="L50" s="23"/>
      <c r="N50" s="6">
        <f ca="1" t="shared" si="4"/>
        <v>0</v>
      </c>
      <c r="O50" s="6">
        <f ca="1" t="shared" si="5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3"/>
        <v>0</v>
      </c>
      <c r="K51" s="23"/>
      <c r="L51" s="23"/>
      <c r="N51" s="6">
        <f ca="1" t="shared" si="4"/>
        <v>0</v>
      </c>
      <c r="O51" s="6">
        <f ca="1" t="shared" si="5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3"/>
        <v>0</v>
      </c>
      <c r="K52" s="23"/>
      <c r="L52" s="23"/>
      <c r="N52" s="6">
        <f ca="1" t="shared" si="4"/>
        <v>0</v>
      </c>
      <c r="O52" s="6">
        <f ca="1" t="shared" si="5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3"/>
        <v>0</v>
      </c>
      <c r="K53" s="23"/>
      <c r="L53" s="23"/>
      <c r="N53" s="6">
        <f ca="1" t="shared" si="4"/>
        <v>0</v>
      </c>
      <c r="O53" s="6">
        <f ca="1" t="shared" si="5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3"/>
        <v>0</v>
      </c>
      <c r="K54" s="23"/>
      <c r="L54" s="23"/>
      <c r="N54" s="6">
        <f ca="1" t="shared" si="4"/>
        <v>0</v>
      </c>
      <c r="O54" s="6">
        <f ca="1" t="shared" si="5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3"/>
        <v>0</v>
      </c>
      <c r="K55" s="23"/>
      <c r="L55" s="23"/>
      <c r="N55" s="6">
        <f ca="1" t="shared" si="4"/>
        <v>0</v>
      </c>
      <c r="O55" s="6">
        <f ca="1" t="shared" si="5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3"/>
        <v>0</v>
      </c>
      <c r="K56" s="23"/>
      <c r="L56" s="23"/>
      <c r="N56" s="6">
        <f ca="1" t="shared" si="4"/>
        <v>0</v>
      </c>
      <c r="O56" s="6">
        <f ca="1" t="shared" si="5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3"/>
        <v>0</v>
      </c>
      <c r="K57" s="23"/>
      <c r="L57" s="23"/>
      <c r="N57" s="6">
        <f ca="1" t="shared" si="4"/>
        <v>0</v>
      </c>
      <c r="O57" s="6">
        <f ca="1" t="shared" si="5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3"/>
        <v>0</v>
      </c>
      <c r="K58" s="23"/>
      <c r="L58" s="23"/>
      <c r="N58" s="6">
        <f ca="1" t="shared" si="4"/>
        <v>0</v>
      </c>
      <c r="O58" s="6">
        <f ca="1" t="shared" si="5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3"/>
        <v>0</v>
      </c>
      <c r="K59" s="23"/>
      <c r="L59" s="23"/>
      <c r="N59" s="6">
        <f ca="1" t="shared" si="4"/>
        <v>0</v>
      </c>
      <c r="O59" s="6">
        <f ca="1" t="shared" si="5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3"/>
        <v>0</v>
      </c>
      <c r="K60" s="23"/>
      <c r="L60" s="23"/>
      <c r="N60" s="6">
        <f ca="1" t="shared" si="4"/>
        <v>0</v>
      </c>
      <c r="O60" s="6">
        <f ca="1" t="shared" si="5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3"/>
        <v>0</v>
      </c>
      <c r="K61" s="23"/>
      <c r="L61" s="23"/>
      <c r="N61" s="6">
        <f ca="1" t="shared" si="4"/>
        <v>0</v>
      </c>
      <c r="O61" s="6">
        <f ca="1" t="shared" si="5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3"/>
        <v>0</v>
      </c>
      <c r="K62" s="23"/>
      <c r="L62" s="23"/>
      <c r="N62" s="6">
        <f ca="1" t="shared" si="4"/>
        <v>0</v>
      </c>
      <c r="O62" s="6">
        <f ca="1" t="shared" si="5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3"/>
        <v>0</v>
      </c>
      <c r="K63" s="23"/>
      <c r="L63" s="23"/>
      <c r="N63" s="6">
        <f ca="1" t="shared" si="4"/>
        <v>0</v>
      </c>
      <c r="O63" s="6">
        <f ca="1" t="shared" si="5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3"/>
        <v>0</v>
      </c>
      <c r="K64" s="23"/>
      <c r="L64" s="23"/>
      <c r="N64" s="6">
        <f ca="1" t="shared" si="4"/>
        <v>0</v>
      </c>
      <c r="O64" s="6">
        <f ca="1" t="shared" si="5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3"/>
        <v>0</v>
      </c>
      <c r="K65" s="23"/>
      <c r="L65" s="23"/>
      <c r="N65" s="6">
        <f ca="1" t="shared" si="4"/>
        <v>0</v>
      </c>
      <c r="O65" s="6">
        <f ca="1" t="shared" si="5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si="3"/>
        <v>0</v>
      </c>
      <c r="K66" s="23"/>
      <c r="L66" s="23"/>
      <c r="N66" s="6">
        <f ca="1" t="shared" si="4"/>
        <v>0</v>
      </c>
      <c r="O66" s="6">
        <f ca="1" t="shared" si="5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3"/>
        <v>0</v>
      </c>
      <c r="K67" s="23"/>
      <c r="L67" s="23"/>
      <c r="N67" s="6">
        <f ca="1" t="shared" si="4"/>
        <v>0</v>
      </c>
      <c r="O67" s="6">
        <f ca="1" t="shared" si="5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3"/>
        <v>0</v>
      </c>
      <c r="K68" s="23"/>
      <c r="L68" s="23"/>
      <c r="N68" s="6">
        <f ca="1" t="shared" si="4"/>
        <v>0</v>
      </c>
      <c r="O68" s="6">
        <f ca="1" t="shared" si="5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3"/>
        <v>0</v>
      </c>
      <c r="K69" s="23"/>
      <c r="L69" s="23"/>
      <c r="N69" s="6">
        <f ca="1" t="shared" si="4"/>
        <v>0</v>
      </c>
      <c r="O69" s="6">
        <f ca="1" t="shared" si="5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3"/>
        <v>0</v>
      </c>
      <c r="K70" s="23"/>
      <c r="L70" s="23"/>
      <c r="N70" s="6">
        <f ca="1" t="shared" si="4"/>
        <v>0</v>
      </c>
      <c r="O70" s="6">
        <f ca="1" t="shared" si="5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3"/>
        <v>0</v>
      </c>
      <c r="K71" s="23"/>
      <c r="L71" s="23"/>
      <c r="N71" s="6">
        <f ca="1" t="shared" si="4"/>
        <v>0</v>
      </c>
      <c r="O71" s="6">
        <f ca="1" t="shared" si="5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3"/>
        <v>0</v>
      </c>
      <c r="K72" s="23"/>
      <c r="L72" s="23"/>
      <c r="N72" s="6">
        <f ca="1" t="shared" si="4"/>
        <v>0</v>
      </c>
      <c r="O72" s="6">
        <f ca="1" t="shared" si="5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3"/>
        <v>0</v>
      </c>
      <c r="K73" s="23"/>
      <c r="L73" s="23"/>
      <c r="N73" s="6">
        <f ca="1" t="shared" si="4"/>
        <v>0</v>
      </c>
      <c r="O73" s="6">
        <f ca="1" t="shared" si="5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3"/>
        <v>0</v>
      </c>
      <c r="K74" s="23"/>
      <c r="L74" s="23"/>
      <c r="N74" s="6">
        <f ca="1" t="shared" si="4"/>
        <v>0</v>
      </c>
      <c r="O74" s="6">
        <f ca="1" t="shared" si="5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3"/>
        <v>0</v>
      </c>
      <c r="K75" s="23"/>
      <c r="L75" s="23"/>
      <c r="N75" s="6">
        <f ca="1" t="shared" si="4"/>
        <v>0</v>
      </c>
      <c r="O75" s="6">
        <f ca="1" t="shared" si="5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3"/>
        <v>0</v>
      </c>
      <c r="K76" s="23"/>
      <c r="L76" s="23"/>
      <c r="N76" s="6">
        <f ca="1" t="shared" si="4"/>
        <v>0</v>
      </c>
      <c r="O76" s="6">
        <f ca="1" t="shared" si="5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3"/>
        <v>0</v>
      </c>
      <c r="K77" s="23"/>
      <c r="L77" s="23"/>
      <c r="N77" s="6">
        <f ca="1" t="shared" si="4"/>
        <v>0</v>
      </c>
      <c r="O77" s="6">
        <f ca="1" t="shared" si="5"/>
        <v>0</v>
      </c>
    </row>
    <row r="78" s="21" customFormat="1" customHeight="1" spans="1:15">
      <c r="A78" s="22"/>
      <c r="B78" s="23"/>
      <c r="C78" s="24"/>
      <c r="D78" s="23"/>
      <c r="E78" s="23"/>
      <c r="F78" s="23"/>
      <c r="G78" s="23"/>
      <c r="H78" s="25"/>
      <c r="I78" s="25"/>
      <c r="J78" s="23"/>
      <c r="K78" s="23"/>
      <c r="L78" s="23"/>
    </row>
    <row r="79" s="21" customFormat="1" customHeight="1" spans="1:15">
      <c r="A79" s="22"/>
      <c r="B79" s="23"/>
      <c r="C79" s="24"/>
      <c r="D79" s="23"/>
      <c r="E79" s="23"/>
      <c r="F79" s="23"/>
      <c r="G79" s="23"/>
      <c r="H79" s="25"/>
      <c r="I79" s="25"/>
      <c r="J79" s="23"/>
      <c r="K79" s="23"/>
      <c r="L79" s="23"/>
    </row>
    <row r="80" s="21" customFormat="1" customHeight="1" spans="1:15">
      <c r="A80" s="22"/>
      <c r="B80" s="23"/>
      <c r="C80" s="24"/>
      <c r="D80" s="23"/>
      <c r="E80" s="23"/>
      <c r="F80" s="23"/>
      <c r="G80" s="23"/>
      <c r="H80" s="25"/>
      <c r="I80" s="25"/>
      <c r="J80" s="23"/>
      <c r="K80" s="23"/>
      <c r="L80" s="23"/>
    </row>
    <row r="81" s="21" customFormat="1" customHeight="1" spans="1:12">
      <c r="A81" s="22"/>
      <c r="B81" s="23"/>
      <c r="C81" s="24"/>
      <c r="D81" s="23"/>
      <c r="E81" s="23"/>
      <c r="F81" s="23"/>
      <c r="G81" s="23"/>
      <c r="H81" s="25"/>
      <c r="I81" s="25"/>
      <c r="J81" s="23"/>
      <c r="K81" s="23"/>
      <c r="L81" s="23"/>
    </row>
    <row r="82" s="21" customFormat="1" customHeight="1" spans="1:12">
      <c r="A82" s="22"/>
      <c r="B82" s="23"/>
      <c r="C82" s="24"/>
      <c r="D82" s="23"/>
      <c r="E82" s="23"/>
      <c r="F82" s="23"/>
      <c r="G82" s="23"/>
      <c r="H82" s="25"/>
      <c r="I82" s="25"/>
      <c r="J82" s="23"/>
      <c r="K82" s="23"/>
      <c r="L82" s="23"/>
    </row>
    <row r="83" s="21" customFormat="1" customHeight="1" spans="1:12">
      <c r="A83" s="22"/>
      <c r="B83" s="23"/>
      <c r="C83" s="24"/>
      <c r="D83" s="23"/>
      <c r="E83" s="23"/>
      <c r="F83" s="23"/>
      <c r="G83" s="23"/>
      <c r="H83" s="25"/>
      <c r="I83" s="25"/>
      <c r="J83" s="23"/>
      <c r="K83" s="23"/>
      <c r="L83" s="23"/>
    </row>
    <row r="84" s="21" customFormat="1" customHeight="1" spans="1:12">
      <c r="A84" s="22"/>
      <c r="B84" s="23"/>
      <c r="C84" s="24"/>
      <c r="D84" s="23"/>
      <c r="E84" s="23"/>
      <c r="F84" s="23"/>
      <c r="G84" s="23"/>
      <c r="H84" s="25"/>
      <c r="I84" s="25"/>
      <c r="J84" s="23"/>
      <c r="K84" s="23"/>
      <c r="L84" s="23"/>
    </row>
    <row r="85" s="21" customFormat="1" customHeight="1" spans="1:12">
      <c r="A85" s="22"/>
      <c r="B85" s="23"/>
      <c r="C85" s="24"/>
      <c r="D85" s="23"/>
      <c r="E85" s="23"/>
      <c r="F85" s="23"/>
      <c r="G85" s="23"/>
      <c r="H85" s="25"/>
      <c r="I85" s="25"/>
      <c r="J85" s="23"/>
      <c r="K85" s="23"/>
      <c r="L85" s="23"/>
    </row>
    <row r="86" s="21" customFormat="1" customHeight="1" spans="1:12">
      <c r="A86" s="22"/>
      <c r="B86" s="23"/>
      <c r="C86" s="24"/>
      <c r="D86" s="23"/>
      <c r="E86" s="23"/>
      <c r="F86" s="23"/>
      <c r="G86" s="23"/>
      <c r="H86" s="25"/>
      <c r="I86" s="25"/>
      <c r="J86" s="23"/>
      <c r="K86" s="23"/>
      <c r="L86" s="23"/>
    </row>
    <row r="87" s="21" customFormat="1" customHeight="1" spans="1:12">
      <c r="A87" s="22"/>
      <c r="B87" s="23"/>
      <c r="C87" s="24"/>
      <c r="D87" s="23"/>
      <c r="E87" s="23"/>
      <c r="F87" s="23"/>
      <c r="G87" s="23"/>
      <c r="H87" s="25"/>
      <c r="I87" s="25"/>
      <c r="J87" s="23"/>
      <c r="K87" s="23"/>
      <c r="L87" s="23"/>
    </row>
    <row r="88" s="21" customFormat="1" customHeight="1" spans="1:12">
      <c r="A88" s="22"/>
      <c r="B88" s="23"/>
      <c r="C88" s="24"/>
      <c r="D88" s="23"/>
      <c r="E88" s="23"/>
      <c r="F88" s="23"/>
      <c r="G88" s="23"/>
      <c r="H88" s="25"/>
      <c r="I88" s="25"/>
      <c r="J88" s="23"/>
      <c r="K88" s="23"/>
      <c r="L88" s="23"/>
    </row>
    <row r="89" s="21" customFormat="1" customHeight="1" spans="1:12">
      <c r="A89" s="22"/>
      <c r="B89" s="23"/>
      <c r="C89" s="24"/>
      <c r="D89" s="23"/>
      <c r="E89" s="23"/>
      <c r="F89" s="23"/>
      <c r="G89" s="23"/>
      <c r="H89" s="25"/>
      <c r="I89" s="25"/>
      <c r="J89" s="23"/>
      <c r="K89" s="23"/>
      <c r="L89" s="23"/>
    </row>
    <row r="90" s="21" customFormat="1" customHeight="1" spans="1:12">
      <c r="A90" s="22"/>
      <c r="B90" s="23"/>
      <c r="C90" s="24"/>
      <c r="D90" s="23"/>
      <c r="E90" s="23"/>
      <c r="F90" s="23"/>
      <c r="G90" s="23"/>
      <c r="H90" s="25"/>
      <c r="I90" s="25"/>
      <c r="J90" s="23"/>
      <c r="K90" s="23"/>
      <c r="L90" s="23"/>
    </row>
    <row r="91" s="21" customFormat="1" customHeight="1" spans="1:12">
      <c r="A91" s="22"/>
      <c r="B91" s="23"/>
      <c r="C91" s="24"/>
      <c r="D91" s="23"/>
      <c r="E91" s="23"/>
      <c r="F91" s="23"/>
      <c r="G91" s="23"/>
      <c r="H91" s="25"/>
      <c r="I91" s="25"/>
      <c r="J91" s="23"/>
      <c r="K91" s="23"/>
      <c r="L91" s="23"/>
    </row>
    <row r="92" s="21" customFormat="1" customHeight="1" spans="1:12">
      <c r="A92" s="22"/>
      <c r="B92" s="23"/>
      <c r="C92" s="24"/>
      <c r="D92" s="23"/>
      <c r="E92" s="23"/>
      <c r="F92" s="23"/>
      <c r="G92" s="23"/>
      <c r="H92" s="25"/>
      <c r="I92" s="25"/>
      <c r="J92" s="23"/>
      <c r="K92" s="23"/>
      <c r="L92" s="23"/>
    </row>
    <row r="93" s="21" customFormat="1" customHeight="1" spans="1:12">
      <c r="A93" s="22"/>
      <c r="B93" s="23"/>
      <c r="C93" s="24"/>
      <c r="D93" s="23"/>
      <c r="E93" s="23"/>
      <c r="F93" s="23"/>
      <c r="G93" s="23"/>
      <c r="H93" s="25"/>
      <c r="I93" s="25"/>
      <c r="J93" s="23"/>
      <c r="K93" s="23"/>
      <c r="L93" s="23"/>
    </row>
    <row r="94" s="21" customFormat="1" customHeight="1" spans="1:12">
      <c r="A94" s="22"/>
      <c r="B94" s="23"/>
      <c r="C94" s="24"/>
      <c r="D94" s="23"/>
      <c r="E94" s="23"/>
      <c r="F94" s="23"/>
      <c r="G94" s="23"/>
      <c r="H94" s="25"/>
      <c r="I94" s="25"/>
      <c r="J94" s="23"/>
      <c r="K94" s="23"/>
      <c r="L94" s="23"/>
    </row>
    <row r="95" s="21" customFormat="1" customHeight="1" spans="1:12">
      <c r="A95" s="22"/>
      <c r="B95" s="23"/>
      <c r="C95" s="24"/>
      <c r="D95" s="23"/>
      <c r="E95" s="23"/>
      <c r="F95" s="23"/>
      <c r="G95" s="23"/>
      <c r="H95" s="25"/>
      <c r="I95" s="25"/>
      <c r="J95" s="23"/>
      <c r="K95" s="23"/>
      <c r="L95" s="23"/>
    </row>
    <row r="96" s="21" customFormat="1" customHeight="1" spans="1:12">
      <c r="A96" s="22"/>
      <c r="B96" s="23"/>
      <c r="C96" s="24"/>
      <c r="D96" s="23"/>
      <c r="E96" s="23"/>
      <c r="F96" s="23"/>
      <c r="G96" s="23"/>
      <c r="H96" s="25"/>
      <c r="I96" s="25"/>
      <c r="J96" s="23"/>
      <c r="K96" s="23"/>
      <c r="L96" s="23"/>
    </row>
    <row r="97" s="21" customFormat="1" customHeight="1" spans="1:12">
      <c r="A97" s="22"/>
      <c r="B97" s="23"/>
      <c r="C97" s="24"/>
      <c r="D97" s="23"/>
      <c r="E97" s="23"/>
      <c r="F97" s="23"/>
      <c r="G97" s="23"/>
      <c r="H97" s="25"/>
      <c r="I97" s="25"/>
      <c r="J97" s="23"/>
      <c r="K97" s="23"/>
      <c r="L97" s="23"/>
    </row>
    <row r="98" s="21" customFormat="1" customHeight="1" spans="1:12">
      <c r="A98" s="22"/>
      <c r="B98" s="23"/>
      <c r="C98" s="24"/>
      <c r="D98" s="23"/>
      <c r="E98" s="23"/>
      <c r="F98" s="23"/>
      <c r="G98" s="23"/>
      <c r="H98" s="25"/>
      <c r="I98" s="25"/>
      <c r="J98" s="23"/>
      <c r="K98" s="23"/>
      <c r="L98" s="23"/>
    </row>
    <row r="99" s="21" customFormat="1" customHeight="1" spans="1:12">
      <c r="A99" s="22"/>
      <c r="B99" s="23"/>
      <c r="C99" s="24"/>
      <c r="D99" s="23"/>
      <c r="E99" s="23"/>
      <c r="F99" s="23"/>
      <c r="G99" s="23"/>
      <c r="H99" s="25"/>
      <c r="I99" s="25"/>
      <c r="J99" s="23"/>
      <c r="K99" s="23"/>
      <c r="L99" s="23"/>
    </row>
    <row r="100" s="21" customFormat="1" customHeight="1" spans="1:12">
      <c r="A100" s="22"/>
      <c r="B100" s="23"/>
      <c r="C100" s="24"/>
      <c r="D100" s="23"/>
      <c r="E100" s="23"/>
      <c r="F100" s="23"/>
      <c r="G100" s="23"/>
      <c r="H100" s="25"/>
      <c r="I100" s="25"/>
      <c r="J100" s="23"/>
      <c r="K100" s="23"/>
      <c r="L100" s="23"/>
    </row>
    <row r="101" s="21" customFormat="1" customHeight="1" spans="1:12">
      <c r="A101" s="22"/>
      <c r="B101" s="23"/>
      <c r="C101" s="24"/>
      <c r="D101" s="23"/>
      <c r="E101" s="23"/>
      <c r="F101" s="23"/>
      <c r="G101" s="23"/>
      <c r="H101" s="25"/>
      <c r="I101" s="25"/>
      <c r="J101" s="23"/>
      <c r="K101" s="23"/>
      <c r="L101" s="23"/>
    </row>
    <row r="102" s="21" customFormat="1" customHeight="1" spans="1:12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2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2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2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2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2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2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2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2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2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2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176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1" width="12.625" style="23"/>
    <col min="12" max="12" width="9" style="23"/>
    <col min="13" max="15" width="12.625" style="21"/>
    <col min="16" max="16384" width="9" style="21"/>
  </cols>
  <sheetData>
    <row r="1" s="21" customFormat="1" ht="27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9.5</v>
      </c>
      <c r="C2" s="28">
        <f ca="1" t="shared" ref="C2:C7" si="0">O2/B2</f>
        <v>1.35321637426901</v>
      </c>
      <c r="D2" s="6" t="s">
        <v>20</v>
      </c>
      <c r="E2" s="6" t="s">
        <v>18</v>
      </c>
      <c r="F2" s="6">
        <v>1942</v>
      </c>
      <c r="G2" s="5" t="s">
        <v>113</v>
      </c>
      <c r="H2" s="6">
        <f ca="1" t="array" ref="H2">INDEX(成本核算表!J:J,MATCH(1,(成本核算表!D:D=E2)*(成本核算表!C:C=G2),0))</f>
        <v>40</v>
      </c>
      <c r="I2" s="6">
        <f>1157</f>
        <v>1157</v>
      </c>
      <c r="J2" s="6">
        <f ca="1">H2*I2</f>
        <v>46280</v>
      </c>
      <c r="K2" s="6"/>
      <c r="L2" s="6"/>
      <c r="M2" s="6">
        <f ca="1">K2*H2</f>
        <v>0</v>
      </c>
      <c r="N2" s="6">
        <f ca="1">J2-M2+L2</f>
        <v>46280</v>
      </c>
      <c r="O2" s="6">
        <f ca="1">N2/3600</f>
        <v>12.8555555555556</v>
      </c>
      <c r="P2" s="6"/>
      <c r="Q2" s="6"/>
    </row>
    <row r="3" s="21" customFormat="1" ht="20" customHeight="1" spans="1:17">
      <c r="A3" s="27">
        <v>46083</v>
      </c>
      <c r="B3" s="6">
        <v>11</v>
      </c>
      <c r="C3" s="28">
        <f ca="1">SUM(O3:O4)/B3</f>
        <v>1.14646464646465</v>
      </c>
      <c r="D3" s="5" t="s">
        <v>17</v>
      </c>
      <c r="E3" s="6" t="s">
        <v>18</v>
      </c>
      <c r="F3" s="6">
        <v>1942</v>
      </c>
      <c r="G3" s="5" t="s">
        <v>113</v>
      </c>
      <c r="H3" s="6">
        <f ca="1" t="array" ref="H3">INDEX(成本核算表!J:J,MATCH(1,(成本核算表!D:D=E3)*(成本核算表!C:C=G3),0))</f>
        <v>40</v>
      </c>
      <c r="I3" s="6">
        <v>507</v>
      </c>
      <c r="J3" s="6">
        <f ca="1" t="shared" ref="J3:J63" si="1">H3*I3</f>
        <v>20280</v>
      </c>
      <c r="K3" s="6"/>
      <c r="L3" s="6"/>
      <c r="M3" s="6">
        <f ca="1" t="shared" ref="M3:M32" si="2">K3*H3</f>
        <v>0</v>
      </c>
      <c r="N3" s="6">
        <f ca="1" t="shared" ref="N3:N63" si="3">J3-M3+L3</f>
        <v>20280</v>
      </c>
      <c r="O3" s="6">
        <f ca="1" t="shared" ref="O3:O63" si="4">N3/3600</f>
        <v>5.63333333333333</v>
      </c>
      <c r="P3" s="6"/>
      <c r="Q3" s="6"/>
    </row>
    <row r="4" s="21" customFormat="1" ht="20" customHeight="1" spans="1:17">
      <c r="A4" s="27">
        <v>46083</v>
      </c>
      <c r="B4" s="6"/>
      <c r="C4" s="28"/>
      <c r="D4" s="5" t="s">
        <v>20</v>
      </c>
      <c r="E4" s="6" t="s">
        <v>18</v>
      </c>
      <c r="F4" s="6">
        <v>1942</v>
      </c>
      <c r="G4" s="5" t="s">
        <v>113</v>
      </c>
      <c r="H4" s="6">
        <f ca="1" t="array" ref="H4">INDEX(成本核算表!J:J,MATCH(1,(成本核算表!D:D=E4)*(成本核算表!C:C=G4),0))</f>
        <v>40</v>
      </c>
      <c r="I4" s="6">
        <v>628</v>
      </c>
      <c r="J4" s="6">
        <f ca="1" t="shared" si="1"/>
        <v>25120</v>
      </c>
      <c r="K4" s="6"/>
      <c r="L4" s="6"/>
      <c r="M4" s="6">
        <f ca="1" t="shared" si="2"/>
        <v>0</v>
      </c>
      <c r="N4" s="6">
        <f ca="1" t="shared" si="3"/>
        <v>25120</v>
      </c>
      <c r="O4" s="6">
        <f ca="1" t="shared" si="4"/>
        <v>6.97777777777778</v>
      </c>
      <c r="P4" s="6"/>
      <c r="Q4" s="6"/>
    </row>
    <row r="5" s="21" customFormat="1" ht="20" customHeight="1" spans="1:17">
      <c r="A5" s="27">
        <v>46084</v>
      </c>
      <c r="B5" s="6">
        <v>9</v>
      </c>
      <c r="C5" s="28">
        <f ca="1" t="shared" si="0"/>
        <v>1.1358024691358</v>
      </c>
      <c r="D5" s="5" t="s">
        <v>114</v>
      </c>
      <c r="E5" s="5" t="s">
        <v>101</v>
      </c>
      <c r="F5" s="6">
        <v>138.8</v>
      </c>
      <c r="G5" s="5" t="s">
        <v>22</v>
      </c>
      <c r="H5" s="6">
        <f ca="1" t="array" ref="H5">INDEX(成本核算表!J:J,MATCH(1,(成本核算表!D:D=E5)*(成本核算表!C:C=G5),0))</f>
        <v>160</v>
      </c>
      <c r="I5" s="6">
        <v>230</v>
      </c>
      <c r="J5" s="6">
        <f ca="1" t="shared" si="1"/>
        <v>36800</v>
      </c>
      <c r="K5" s="6"/>
      <c r="L5" s="6"/>
      <c r="M5" s="6">
        <f ca="1" t="shared" si="2"/>
        <v>0</v>
      </c>
      <c r="N5" s="6">
        <f ca="1" t="shared" si="3"/>
        <v>36800</v>
      </c>
      <c r="O5" s="6">
        <f ca="1" t="shared" si="4"/>
        <v>10.2222222222222</v>
      </c>
      <c r="P5" s="6"/>
      <c r="Q5" s="6"/>
    </row>
    <row r="6" s="21" customFormat="1" ht="20" customHeight="1" spans="1:17">
      <c r="A6" s="6"/>
      <c r="B6" s="6"/>
      <c r="C6" s="28"/>
      <c r="D6" s="6"/>
      <c r="E6" s="6"/>
      <c r="F6" s="6"/>
      <c r="G6" s="6"/>
      <c r="H6" s="6"/>
      <c r="I6" s="6"/>
      <c r="J6" s="6">
        <f t="shared" si="1"/>
        <v>0</v>
      </c>
      <c r="K6" s="6"/>
      <c r="L6" s="6"/>
      <c r="M6" s="6">
        <f t="shared" si="2"/>
        <v>0</v>
      </c>
      <c r="N6" s="6">
        <f t="shared" si="3"/>
        <v>0</v>
      </c>
      <c r="O6" s="6">
        <f t="shared" si="4"/>
        <v>0</v>
      </c>
      <c r="P6" s="6"/>
      <c r="Q6" s="6"/>
    </row>
    <row r="7" s="21" customFormat="1" ht="20" customHeight="1" spans="1:17">
      <c r="A7" s="27">
        <v>46086</v>
      </c>
      <c r="B7" s="6">
        <v>11</v>
      </c>
      <c r="C7" s="28">
        <f ca="1" t="shared" si="0"/>
        <v>1.01548821548822</v>
      </c>
      <c r="D7" s="6"/>
      <c r="E7" s="5" t="s">
        <v>101</v>
      </c>
      <c r="F7" s="6">
        <v>138.8</v>
      </c>
      <c r="G7" s="5" t="s">
        <v>22</v>
      </c>
      <c r="H7" s="6">
        <f ca="1" t="array" ref="H7">INDEX(成本核算表!J:J,MATCH(1,(成本核算表!D:D=E7)*(成本核算表!C:C=G7),0))</f>
        <v>160</v>
      </c>
      <c r="I7" s="6">
        <f>754/3</f>
        <v>251.333333333333</v>
      </c>
      <c r="J7" s="6">
        <f ca="1" t="shared" si="1"/>
        <v>40213.3333333333</v>
      </c>
      <c r="K7" s="6"/>
      <c r="L7" s="6"/>
      <c r="M7" s="6">
        <f ca="1" t="shared" si="2"/>
        <v>0</v>
      </c>
      <c r="N7" s="6">
        <f ca="1" t="shared" si="3"/>
        <v>40213.3333333333</v>
      </c>
      <c r="O7" s="6">
        <f ca="1" t="shared" si="4"/>
        <v>11.1703703703704</v>
      </c>
      <c r="P7" s="6"/>
      <c r="Q7" s="6"/>
    </row>
    <row r="8" s="21" customFormat="1" ht="20" customHeight="1" spans="1:17">
      <c r="A8" s="27">
        <v>46087</v>
      </c>
      <c r="B8" s="6">
        <v>11</v>
      </c>
      <c r="C8" s="28">
        <f ca="1">SUM(O8:O10)/B8</f>
        <v>1.03626262626263</v>
      </c>
      <c r="D8" s="5" t="s">
        <v>115</v>
      </c>
      <c r="E8" s="5" t="s">
        <v>116</v>
      </c>
      <c r="F8" s="6">
        <v>138.8</v>
      </c>
      <c r="G8" s="5" t="s">
        <v>22</v>
      </c>
      <c r="H8" s="6">
        <f ca="1" t="array" ref="H8">INDEX(成本核算表!J:J,MATCH(1,(成本核算表!D:D=E8)*(成本核算表!C:C=G8),0))</f>
        <v>300</v>
      </c>
      <c r="I8" s="6">
        <v>17</v>
      </c>
      <c r="J8" s="6">
        <f ca="1" t="shared" si="1"/>
        <v>5100</v>
      </c>
      <c r="K8" s="6"/>
      <c r="L8" s="6"/>
      <c r="M8" s="6">
        <f ca="1" t="shared" si="2"/>
        <v>0</v>
      </c>
      <c r="N8" s="6">
        <f ca="1" t="shared" si="3"/>
        <v>5100</v>
      </c>
      <c r="O8" s="6">
        <f ca="1" t="shared" si="4"/>
        <v>1.41666666666667</v>
      </c>
      <c r="P8" s="6"/>
      <c r="Q8" s="6"/>
    </row>
    <row r="9" s="21" customFormat="1" ht="20" customHeight="1" spans="1:17">
      <c r="A9" s="27">
        <v>46087</v>
      </c>
      <c r="B9" s="6"/>
      <c r="C9" s="28"/>
      <c r="D9" s="5" t="s">
        <v>117</v>
      </c>
      <c r="E9" s="5" t="s">
        <v>118</v>
      </c>
      <c r="F9" s="6">
        <v>138.8</v>
      </c>
      <c r="G9" s="5" t="s">
        <v>22</v>
      </c>
      <c r="H9" s="6">
        <f ca="1" t="array" ref="H9">INDEX(成本核算表!J:J,MATCH(1,(成本核算表!D:D=E9)*(成本核算表!C:C=G9),0))</f>
        <v>276</v>
      </c>
      <c r="I9" s="6">
        <v>62</v>
      </c>
      <c r="J9" s="6">
        <f ca="1" t="shared" si="1"/>
        <v>17112</v>
      </c>
      <c r="K9" s="6">
        <v>6</v>
      </c>
      <c r="L9" s="6"/>
      <c r="M9" s="6">
        <f ca="1" t="shared" si="2"/>
        <v>1656</v>
      </c>
      <c r="N9" s="6">
        <f ca="1" t="shared" si="3"/>
        <v>15456</v>
      </c>
      <c r="O9" s="6">
        <f ca="1" t="shared" si="4"/>
        <v>4.29333333333333</v>
      </c>
      <c r="P9" s="6"/>
      <c r="Q9" s="6"/>
    </row>
    <row r="10" s="21" customFormat="1" ht="20" customHeight="1" spans="1:17">
      <c r="A10" s="27">
        <v>46087</v>
      </c>
      <c r="B10" s="6"/>
      <c r="C10" s="28"/>
      <c r="D10" s="6"/>
      <c r="E10" s="5" t="s">
        <v>101</v>
      </c>
      <c r="F10" s="6">
        <v>138.8</v>
      </c>
      <c r="G10" s="5" t="s">
        <v>22</v>
      </c>
      <c r="H10" s="6">
        <f ca="1" t="array" ref="H10">INDEX(成本核算表!J:J,MATCH(1,(成本核算表!D:D=E10)*(成本核算表!C:C=G10),0))</f>
        <v>160</v>
      </c>
      <c r="I10" s="6">
        <f>384/3</f>
        <v>128</v>
      </c>
      <c r="J10" s="6">
        <f ca="1" t="shared" si="1"/>
        <v>20480</v>
      </c>
      <c r="K10" s="6"/>
      <c r="L10" s="6"/>
      <c r="M10" s="6">
        <f ca="1" t="shared" si="2"/>
        <v>0</v>
      </c>
      <c r="N10" s="6">
        <f ca="1" t="shared" si="3"/>
        <v>20480</v>
      </c>
      <c r="O10" s="6">
        <f ca="1" t="shared" si="4"/>
        <v>5.68888888888889</v>
      </c>
      <c r="P10" s="6"/>
      <c r="Q10" s="6"/>
    </row>
    <row r="11" s="21" customFormat="1" ht="20" customHeight="1" spans="1:17">
      <c r="A11" s="6"/>
      <c r="B11" s="6"/>
      <c r="C11" s="28"/>
      <c r="D11" s="6"/>
      <c r="E11" s="6"/>
      <c r="F11" s="6"/>
      <c r="G11" s="6"/>
      <c r="H11" s="6"/>
      <c r="I11" s="6"/>
      <c r="J11" s="6">
        <f t="shared" si="1"/>
        <v>0</v>
      </c>
      <c r="K11" s="6"/>
      <c r="L11" s="6"/>
      <c r="M11" s="6">
        <f t="shared" si="2"/>
        <v>0</v>
      </c>
      <c r="N11" s="6">
        <f t="shared" si="3"/>
        <v>0</v>
      </c>
      <c r="O11" s="6">
        <f t="shared" si="4"/>
        <v>0</v>
      </c>
      <c r="P11" s="6"/>
      <c r="Q11" s="6"/>
    </row>
    <row r="12" s="21" customFormat="1" ht="20" customHeight="1" spans="1:17">
      <c r="A12" s="27">
        <v>46089</v>
      </c>
      <c r="B12" s="6">
        <v>12</v>
      </c>
      <c r="C12" s="28">
        <f ca="1">O12/B12</f>
        <v>0.962962962962963</v>
      </c>
      <c r="D12" s="5"/>
      <c r="E12" s="5" t="s">
        <v>101</v>
      </c>
      <c r="F12" s="6">
        <v>138.8</v>
      </c>
      <c r="G12" s="5" t="s">
        <v>22</v>
      </c>
      <c r="H12" s="6">
        <f ca="1" t="array" ref="H12">INDEX(成本核算表!J:J,MATCH(1,(成本核算表!D:D=E12)*(成本核算表!C:C=G12),0))</f>
        <v>160</v>
      </c>
      <c r="I12" s="6">
        <v>260</v>
      </c>
      <c r="J12" s="6">
        <f ca="1" t="shared" si="1"/>
        <v>41600</v>
      </c>
      <c r="K12" s="6"/>
      <c r="L12" s="6"/>
      <c r="M12" s="6">
        <f ca="1" t="shared" si="2"/>
        <v>0</v>
      </c>
      <c r="N12" s="6">
        <f ca="1" t="shared" si="3"/>
        <v>41600</v>
      </c>
      <c r="O12" s="6">
        <f ca="1" t="shared" si="4"/>
        <v>11.5555555555556</v>
      </c>
      <c r="P12" s="6"/>
      <c r="Q12" s="6"/>
    </row>
    <row r="13" s="21" customFormat="1" ht="20" customHeight="1" spans="1:17">
      <c r="A13" s="27">
        <v>46090</v>
      </c>
      <c r="B13" s="6">
        <v>12</v>
      </c>
      <c r="C13" s="28">
        <f ca="1">O13/B13</f>
        <v>0.962962962962963</v>
      </c>
      <c r="D13" s="5"/>
      <c r="E13" s="5" t="s">
        <v>101</v>
      </c>
      <c r="F13" s="6">
        <v>138.8</v>
      </c>
      <c r="G13" s="5" t="s">
        <v>22</v>
      </c>
      <c r="H13" s="6">
        <f ca="1" t="array" ref="H13">INDEX(成本核算表!J:J,MATCH(1,(成本核算表!D:D=E13)*(成本核算表!C:C=G13),0))</f>
        <v>160</v>
      </c>
      <c r="I13" s="6">
        <v>260</v>
      </c>
      <c r="J13" s="6">
        <f ca="1" t="shared" si="1"/>
        <v>41600</v>
      </c>
      <c r="K13" s="6"/>
      <c r="L13" s="6"/>
      <c r="M13" s="6">
        <f ca="1" t="shared" si="2"/>
        <v>0</v>
      </c>
      <c r="N13" s="6">
        <f ca="1" t="shared" si="3"/>
        <v>41600</v>
      </c>
      <c r="O13" s="6">
        <f ca="1" t="shared" si="4"/>
        <v>11.5555555555556</v>
      </c>
      <c r="P13" s="6"/>
      <c r="Q13" s="6"/>
    </row>
    <row r="14" s="21" customFormat="1" ht="20" customHeight="1" spans="1:17">
      <c r="A14" s="27">
        <v>46091</v>
      </c>
      <c r="B14" s="6">
        <v>12</v>
      </c>
      <c r="C14" s="28">
        <f ca="1" t="shared" ref="C14:C18" si="5">SUM(O14:O15)/B14</f>
        <v>0.981018518518519</v>
      </c>
      <c r="D14" s="5" t="s">
        <v>17</v>
      </c>
      <c r="E14" s="6" t="s">
        <v>18</v>
      </c>
      <c r="F14" s="6">
        <v>1942</v>
      </c>
      <c r="G14" s="5" t="s">
        <v>22</v>
      </c>
      <c r="H14" s="6">
        <f ca="1" t="array" ref="H14">INDEX(成本核算表!J:J,MATCH(1,(成本核算表!D:D=E14)*(成本核算表!C:C=G14),0))</f>
        <v>65</v>
      </c>
      <c r="I14" s="6">
        <v>548</v>
      </c>
      <c r="J14" s="6">
        <f ca="1" t="shared" si="1"/>
        <v>35620</v>
      </c>
      <c r="K14" s="6">
        <v>40</v>
      </c>
      <c r="L14" s="6"/>
      <c r="M14" s="6">
        <f ca="1" t="shared" si="2"/>
        <v>2600</v>
      </c>
      <c r="N14" s="6">
        <f ca="1" t="shared" si="3"/>
        <v>33020</v>
      </c>
      <c r="O14" s="6">
        <f ca="1" t="shared" si="4"/>
        <v>9.17222222222222</v>
      </c>
      <c r="P14" s="6"/>
      <c r="Q14" s="6"/>
    </row>
    <row r="15" s="21" customFormat="1" ht="20" customHeight="1" spans="1:17">
      <c r="A15" s="27">
        <v>46091</v>
      </c>
      <c r="B15" s="6"/>
      <c r="C15" s="28"/>
      <c r="D15" s="5" t="s">
        <v>20</v>
      </c>
      <c r="E15" s="6" t="s">
        <v>18</v>
      </c>
      <c r="F15" s="6">
        <v>1942</v>
      </c>
      <c r="G15" s="5" t="s">
        <v>22</v>
      </c>
      <c r="H15" s="6">
        <f ca="1" t="array" ref="H15">INDEX(成本核算表!J:J,MATCH(1,(成本核算表!D:D=E15)*(成本核算表!C:C=G15),0))</f>
        <v>65</v>
      </c>
      <c r="I15" s="6">
        <v>160</v>
      </c>
      <c r="J15" s="6">
        <f ca="1" t="shared" si="1"/>
        <v>10400</v>
      </c>
      <c r="K15" s="6">
        <v>16</v>
      </c>
      <c r="L15" s="6"/>
      <c r="M15" s="6">
        <f ca="1" t="shared" si="2"/>
        <v>1040</v>
      </c>
      <c r="N15" s="6">
        <f ca="1" t="shared" si="3"/>
        <v>9360</v>
      </c>
      <c r="O15" s="6">
        <f ca="1" t="shared" si="4"/>
        <v>2.6</v>
      </c>
      <c r="P15" s="6"/>
      <c r="Q15" s="6"/>
    </row>
    <row r="16" s="21" customFormat="1" ht="20" customHeight="1" spans="1:17">
      <c r="A16" s="27">
        <v>46092</v>
      </c>
      <c r="B16" s="6">
        <v>12</v>
      </c>
      <c r="C16" s="28">
        <f ca="1" t="shared" si="5"/>
        <v>1.07280092592593</v>
      </c>
      <c r="D16" s="5" t="s">
        <v>17</v>
      </c>
      <c r="E16" s="6" t="s">
        <v>18</v>
      </c>
      <c r="F16" s="6">
        <v>1942</v>
      </c>
      <c r="G16" s="5" t="s">
        <v>22</v>
      </c>
      <c r="H16" s="6">
        <f ca="1" t="array" ref="H16">INDEX(成本核算表!J:J,MATCH(1,(成本核算表!D:D=E16)*(成本核算表!C:C=G16),0))</f>
        <v>65</v>
      </c>
      <c r="I16" s="6">
        <v>693</v>
      </c>
      <c r="J16" s="6">
        <f ca="1" t="shared" si="1"/>
        <v>45045</v>
      </c>
      <c r="K16" s="6"/>
      <c r="L16" s="6"/>
      <c r="M16" s="6">
        <f ca="1" t="shared" si="2"/>
        <v>0</v>
      </c>
      <c r="N16" s="6">
        <f ca="1" t="shared" si="3"/>
        <v>45045</v>
      </c>
      <c r="O16" s="6">
        <f ca="1" t="shared" si="4"/>
        <v>12.5125</v>
      </c>
      <c r="P16" s="6"/>
      <c r="Q16" s="6"/>
    </row>
    <row r="17" s="21" customFormat="1" ht="20" customHeight="1" spans="1:17">
      <c r="A17" s="27">
        <v>46092</v>
      </c>
      <c r="B17" s="6"/>
      <c r="C17" s="28"/>
      <c r="D17" s="5" t="s">
        <v>20</v>
      </c>
      <c r="E17" s="6" t="s">
        <v>18</v>
      </c>
      <c r="F17" s="6">
        <v>1942</v>
      </c>
      <c r="G17" s="5" t="s">
        <v>22</v>
      </c>
      <c r="H17" s="6">
        <f ca="1" t="array" ref="H17">INDEX(成本核算表!J:J,MATCH(1,(成本核算表!D:D=E17)*(成本核算表!C:C=G17),0))</f>
        <v>65</v>
      </c>
      <c r="I17" s="6">
        <v>20</v>
      </c>
      <c r="J17" s="6">
        <f ca="1" t="shared" si="1"/>
        <v>1300</v>
      </c>
      <c r="K17" s="6"/>
      <c r="L17" s="6"/>
      <c r="M17" s="6">
        <f ca="1" t="shared" si="2"/>
        <v>0</v>
      </c>
      <c r="N17" s="6">
        <f ca="1" t="shared" si="3"/>
        <v>1300</v>
      </c>
      <c r="O17" s="6">
        <f ca="1" t="shared" si="4"/>
        <v>0.361111111111111</v>
      </c>
      <c r="P17" s="6"/>
      <c r="Q17" s="6"/>
    </row>
    <row r="18" s="21" customFormat="1" ht="20" customHeight="1" spans="1:17">
      <c r="A18" s="27">
        <v>46093</v>
      </c>
      <c r="B18" s="6">
        <v>12</v>
      </c>
      <c r="C18" s="28">
        <f ca="1">SUM(O18)/B18</f>
        <v>1.01678240740741</v>
      </c>
      <c r="D18" s="5" t="s">
        <v>17</v>
      </c>
      <c r="E18" s="6" t="s">
        <v>18</v>
      </c>
      <c r="F18" s="6">
        <v>1942</v>
      </c>
      <c r="G18" s="5" t="s">
        <v>41</v>
      </c>
      <c r="H18" s="6">
        <f ca="1" t="array" ref="H18">INDEX(成本核算表!J:J,MATCH(1,(成本核算表!D:D=E18)*(成本核算表!C:C=G18),0))</f>
        <v>35</v>
      </c>
      <c r="I18" s="6">
        <v>1265</v>
      </c>
      <c r="J18" s="6">
        <f ca="1" t="shared" si="1"/>
        <v>44275</v>
      </c>
      <c r="K18" s="6">
        <v>10</v>
      </c>
      <c r="L18" s="6"/>
      <c r="M18" s="6">
        <f ca="1" t="shared" si="2"/>
        <v>350</v>
      </c>
      <c r="N18" s="6">
        <f ca="1" t="shared" si="3"/>
        <v>43925</v>
      </c>
      <c r="O18" s="6">
        <f ca="1" t="shared" si="4"/>
        <v>12.2013888888889</v>
      </c>
      <c r="P18" s="6"/>
      <c r="Q18" s="6"/>
    </row>
    <row r="19" s="21" customFormat="1" ht="20" customHeight="1" spans="1:17">
      <c r="A19" s="27">
        <v>46094</v>
      </c>
      <c r="B19" s="6">
        <v>12</v>
      </c>
      <c r="C19" s="28">
        <f ca="1">SUM(O19:O22)/B19</f>
        <v>1.08009259259259</v>
      </c>
      <c r="D19" s="5" t="s">
        <v>17</v>
      </c>
      <c r="E19" s="6" t="s">
        <v>18</v>
      </c>
      <c r="F19" s="6">
        <v>1942</v>
      </c>
      <c r="G19" s="5" t="s">
        <v>22</v>
      </c>
      <c r="H19" s="6">
        <f ca="1" t="array" ref="H19">INDEX(成本核算表!J:J,MATCH(1,(成本核算表!D:D=E19)*(成本核算表!C:C=G19),0))</f>
        <v>65</v>
      </c>
      <c r="I19" s="6">
        <v>346</v>
      </c>
      <c r="J19" s="6">
        <f ca="1" t="shared" si="1"/>
        <v>22490</v>
      </c>
      <c r="K19" s="6">
        <v>28</v>
      </c>
      <c r="L19" s="6"/>
      <c r="M19" s="6">
        <f ca="1" t="shared" si="2"/>
        <v>1820</v>
      </c>
      <c r="N19" s="6">
        <f ca="1" t="shared" si="3"/>
        <v>20670</v>
      </c>
      <c r="O19" s="6">
        <f ca="1" t="shared" si="4"/>
        <v>5.74166666666667</v>
      </c>
      <c r="P19" s="6"/>
      <c r="Q19" s="6"/>
    </row>
    <row r="20" s="21" customFormat="1" ht="20" customHeight="1" spans="1:17">
      <c r="A20" s="27">
        <v>46094</v>
      </c>
      <c r="B20" s="6"/>
      <c r="C20" s="28"/>
      <c r="D20" s="5" t="s">
        <v>20</v>
      </c>
      <c r="E20" s="6" t="s">
        <v>18</v>
      </c>
      <c r="F20" s="6">
        <v>1942</v>
      </c>
      <c r="G20" s="5" t="s">
        <v>22</v>
      </c>
      <c r="H20" s="6">
        <f ca="1" t="array" ref="H20">INDEX(成本核算表!J:J,MATCH(1,(成本核算表!D:D=E20)*(成本核算表!C:C=G20),0))</f>
        <v>65</v>
      </c>
      <c r="I20" s="6">
        <v>226</v>
      </c>
      <c r="J20" s="6">
        <f ca="1" t="shared" si="1"/>
        <v>14690</v>
      </c>
      <c r="K20" s="6">
        <v>8</v>
      </c>
      <c r="L20" s="6"/>
      <c r="M20" s="6">
        <f ca="1" t="shared" si="2"/>
        <v>520</v>
      </c>
      <c r="N20" s="6">
        <f ca="1" t="shared" si="3"/>
        <v>14170</v>
      </c>
      <c r="O20" s="6">
        <f ca="1" t="shared" si="4"/>
        <v>3.93611111111111</v>
      </c>
      <c r="P20" s="6"/>
      <c r="Q20" s="6"/>
    </row>
    <row r="21" s="21" customFormat="1" ht="20" customHeight="1" spans="1:17">
      <c r="A21" s="27">
        <v>46094</v>
      </c>
      <c r="B21" s="6"/>
      <c r="C21" s="28"/>
      <c r="D21" s="5" t="s">
        <v>77</v>
      </c>
      <c r="E21" s="5" t="s">
        <v>78</v>
      </c>
      <c r="F21" s="6">
        <v>1960</v>
      </c>
      <c r="G21" s="5" t="s">
        <v>22</v>
      </c>
      <c r="H21" s="6">
        <f ca="1" t="array" ref="H21">INDEX(成本核算表!J:J,MATCH(1,(成本核算表!D:D=E21)*(成本核算表!C:C=G21),0))</f>
        <v>60</v>
      </c>
      <c r="I21" s="6">
        <v>16</v>
      </c>
      <c r="J21" s="6">
        <f ca="1" t="shared" si="1"/>
        <v>960</v>
      </c>
      <c r="K21" s="6"/>
      <c r="L21" s="6"/>
      <c r="M21" s="6">
        <f ca="1" t="shared" si="2"/>
        <v>0</v>
      </c>
      <c r="N21" s="6">
        <f ca="1" t="shared" si="3"/>
        <v>960</v>
      </c>
      <c r="O21" s="6">
        <f ca="1" t="shared" si="4"/>
        <v>0.266666666666667</v>
      </c>
      <c r="P21" s="6"/>
      <c r="Q21" s="6"/>
    </row>
    <row r="22" s="21" customFormat="1" ht="20" customHeight="1" spans="1:17">
      <c r="A22" s="27">
        <v>46094</v>
      </c>
      <c r="B22" s="6"/>
      <c r="C22" s="28"/>
      <c r="D22" s="5" t="s">
        <v>80</v>
      </c>
      <c r="E22" s="5" t="s">
        <v>78</v>
      </c>
      <c r="F22" s="6">
        <v>1960</v>
      </c>
      <c r="G22" s="5" t="s">
        <v>22</v>
      </c>
      <c r="H22" s="6">
        <f ca="1" t="array" ref="H22">INDEX(成本核算表!J:J,MATCH(1,(成本核算表!D:D=E22)*(成本核算表!C:C=G22),0))</f>
        <v>60</v>
      </c>
      <c r="I22" s="6">
        <v>181</v>
      </c>
      <c r="J22" s="6">
        <f ca="1" t="shared" si="1"/>
        <v>10860</v>
      </c>
      <c r="K22" s="6"/>
      <c r="L22" s="6"/>
      <c r="M22" s="6">
        <f ca="1" t="shared" si="2"/>
        <v>0</v>
      </c>
      <c r="N22" s="6">
        <f ca="1" t="shared" si="3"/>
        <v>10860</v>
      </c>
      <c r="O22" s="6">
        <f ca="1" t="shared" si="4"/>
        <v>3.01666666666667</v>
      </c>
      <c r="P22" s="6"/>
      <c r="Q22" s="6"/>
    </row>
    <row r="23" s="21" customFormat="1" ht="20" customHeight="1" spans="1:17">
      <c r="A23" s="27">
        <v>46095</v>
      </c>
      <c r="B23" s="6">
        <v>12</v>
      </c>
      <c r="C23" s="28">
        <f ca="1">SUM(O23:O24)/B23</f>
        <v>1.01967592592593</v>
      </c>
      <c r="D23" s="5" t="s">
        <v>119</v>
      </c>
      <c r="E23" s="5" t="s">
        <v>48</v>
      </c>
      <c r="F23" s="6">
        <v>950</v>
      </c>
      <c r="G23" s="5" t="s">
        <v>49</v>
      </c>
      <c r="H23" s="6">
        <f ca="1" t="array" ref="H23">INDEX(成本核算表!J:J,MATCH(1,(成本核算表!D:D=E23)*(成本核算表!C:C=G23),0))</f>
        <v>25</v>
      </c>
      <c r="I23" s="6">
        <v>1200</v>
      </c>
      <c r="J23" s="6">
        <f ca="1" t="shared" si="1"/>
        <v>30000</v>
      </c>
      <c r="K23" s="6"/>
      <c r="L23" s="6"/>
      <c r="M23" s="6">
        <f ca="1" t="shared" si="2"/>
        <v>0</v>
      </c>
      <c r="N23" s="6">
        <f ca="1" t="shared" si="3"/>
        <v>30000</v>
      </c>
      <c r="O23" s="6">
        <f ca="1" t="shared" si="4"/>
        <v>8.33333333333333</v>
      </c>
      <c r="P23" s="6"/>
      <c r="Q23" s="6"/>
    </row>
    <row r="24" s="21" customFormat="1" ht="20" customHeight="1" spans="1:17">
      <c r="A24" s="27">
        <v>46095</v>
      </c>
      <c r="B24" s="6"/>
      <c r="C24" s="28"/>
      <c r="D24" s="5" t="s">
        <v>92</v>
      </c>
      <c r="E24" s="5" t="s">
        <v>48</v>
      </c>
      <c r="F24" s="6">
        <v>950</v>
      </c>
      <c r="G24" s="5" t="s">
        <v>49</v>
      </c>
      <c r="H24" s="6">
        <f ca="1" t="array" ref="H24">INDEX(成本核算表!J:J,MATCH(1,(成本核算表!D:D=E24)*(成本核算表!C:C=G24),0))</f>
        <v>25</v>
      </c>
      <c r="I24" s="6">
        <v>562</v>
      </c>
      <c r="J24" s="6">
        <f ca="1" t="shared" si="1"/>
        <v>14050</v>
      </c>
      <c r="K24" s="6"/>
      <c r="L24" s="6"/>
      <c r="M24" s="6">
        <f ca="1" t="shared" si="2"/>
        <v>0</v>
      </c>
      <c r="N24" s="6">
        <f ca="1" t="shared" si="3"/>
        <v>14050</v>
      </c>
      <c r="O24" s="6">
        <f ca="1" t="shared" si="4"/>
        <v>3.90277777777778</v>
      </c>
      <c r="P24" s="6"/>
      <c r="Q24" s="6"/>
    </row>
    <row r="25" s="21" customFormat="1" ht="20" customHeight="1" spans="1:17">
      <c r="A25" s="6"/>
      <c r="B25" s="6"/>
      <c r="C25" s="28"/>
      <c r="D25" s="6"/>
      <c r="E25" s="6"/>
      <c r="F25" s="6"/>
      <c r="G25" s="6"/>
      <c r="H25" s="6">
        <f ca="1" t="array" ref="H25">INDEX(成本核算表!J:J,MATCH(1,(成本核算表!D:D=E25)*(成本核算表!C:C=G25),0))</f>
        <v>0</v>
      </c>
      <c r="I25" s="6"/>
      <c r="J25" s="6">
        <f ca="1" t="shared" si="1"/>
        <v>0</v>
      </c>
      <c r="K25" s="6"/>
      <c r="L25" s="6"/>
      <c r="M25" s="6">
        <f ca="1" t="shared" si="2"/>
        <v>0</v>
      </c>
      <c r="N25" s="6">
        <f ca="1" t="shared" si="3"/>
        <v>0</v>
      </c>
      <c r="O25" s="6">
        <f ca="1" t="shared" si="4"/>
        <v>0</v>
      </c>
      <c r="P25" s="6"/>
      <c r="Q25" s="6"/>
    </row>
    <row r="26" s="21" customFormat="1" ht="20" customHeight="1" spans="1:17">
      <c r="A26" s="27">
        <v>46097</v>
      </c>
      <c r="B26" s="6">
        <v>11</v>
      </c>
      <c r="C26" s="28">
        <f ca="1">SUM(O26:O27)/B26</f>
        <v>0.926010101010101</v>
      </c>
      <c r="D26" s="5" t="s">
        <v>120</v>
      </c>
      <c r="E26" s="5" t="s">
        <v>96</v>
      </c>
      <c r="F26" s="6">
        <v>2200</v>
      </c>
      <c r="G26" s="5" t="s">
        <v>121</v>
      </c>
      <c r="H26" s="6">
        <f ca="1" t="array" ref="H26">INDEX(成本核算表!J:J,MATCH(1,(成本核算表!D:D=E26)*(成本核算表!C:C=G26),0))</f>
        <v>13</v>
      </c>
      <c r="I26" s="6">
        <v>340</v>
      </c>
      <c r="J26" s="6">
        <f ca="1" t="shared" si="1"/>
        <v>4420</v>
      </c>
      <c r="K26" s="6"/>
      <c r="L26" s="6"/>
      <c r="M26" s="6">
        <f ca="1" t="shared" si="2"/>
        <v>0</v>
      </c>
      <c r="N26" s="6">
        <f ca="1" t="shared" si="3"/>
        <v>4420</v>
      </c>
      <c r="O26" s="6">
        <f ca="1" t="shared" si="4"/>
        <v>1.22777777777778</v>
      </c>
      <c r="P26" s="6"/>
      <c r="Q26" s="6"/>
    </row>
    <row r="27" s="21" customFormat="1" ht="20" customHeight="1" spans="1:17">
      <c r="A27" s="27">
        <v>46097</v>
      </c>
      <c r="B27" s="6"/>
      <c r="C27" s="6"/>
      <c r="D27" s="5" t="s">
        <v>122</v>
      </c>
      <c r="E27" s="5" t="s">
        <v>96</v>
      </c>
      <c r="F27" s="6">
        <v>2200</v>
      </c>
      <c r="G27" s="5" t="s">
        <v>70</v>
      </c>
      <c r="H27" s="6">
        <f ca="1" t="array" ref="H27">INDEX(成本核算表!J:J,MATCH(1,(成本核算表!D:D=E27)*(成本核算表!C:C=G27),0))</f>
        <v>15</v>
      </c>
      <c r="I27" s="6">
        <v>2150</v>
      </c>
      <c r="J27" s="6">
        <f ca="1" t="shared" si="1"/>
        <v>32250</v>
      </c>
      <c r="K27" s="6"/>
      <c r="L27" s="6"/>
      <c r="M27" s="6">
        <f ca="1" t="shared" si="2"/>
        <v>0</v>
      </c>
      <c r="N27" s="6">
        <f ca="1" t="shared" si="3"/>
        <v>32250</v>
      </c>
      <c r="O27" s="6">
        <f ca="1" t="shared" si="4"/>
        <v>8.95833333333333</v>
      </c>
      <c r="P27" s="6"/>
      <c r="Q27" s="6"/>
    </row>
    <row r="28" s="21" customFormat="1" ht="20" customHeight="1" spans="1:17">
      <c r="A28" s="27">
        <v>46098</v>
      </c>
      <c r="B28" s="6">
        <v>11</v>
      </c>
      <c r="C28" s="28">
        <f ca="1">SUM(O28)/B28</f>
        <v>1.01010101010101</v>
      </c>
      <c r="D28" s="5" t="s">
        <v>114</v>
      </c>
      <c r="E28" s="5" t="s">
        <v>101</v>
      </c>
      <c r="F28" s="6">
        <v>138.8</v>
      </c>
      <c r="G28" s="5" t="s">
        <v>22</v>
      </c>
      <c r="H28" s="6">
        <f ca="1" t="array" ref="H28">INDEX(成本核算表!J:J,MATCH(1,(成本核算表!D:D=E28)*(成本核算表!C:C=G28),0))</f>
        <v>160</v>
      </c>
      <c r="I28" s="6">
        <v>260</v>
      </c>
      <c r="J28" s="6">
        <f ca="1" t="shared" si="1"/>
        <v>41600</v>
      </c>
      <c r="K28" s="6">
        <v>10</v>
      </c>
      <c r="L28" s="6"/>
      <c r="M28" s="6">
        <f ca="1" t="shared" si="2"/>
        <v>1600</v>
      </c>
      <c r="N28" s="6">
        <f ca="1" t="shared" si="3"/>
        <v>40000</v>
      </c>
      <c r="O28" s="6">
        <f ca="1" t="shared" si="4"/>
        <v>11.1111111111111</v>
      </c>
      <c r="P28" s="6"/>
      <c r="Q28" s="6"/>
    </row>
    <row r="29" s="21" customFormat="1" ht="20" customHeight="1" spans="1:17">
      <c r="A29" s="27">
        <v>46099</v>
      </c>
      <c r="B29" s="6">
        <v>11</v>
      </c>
      <c r="C29" s="28">
        <f ca="1">SUM(O29)/B29</f>
        <v>1.0020202020202</v>
      </c>
      <c r="D29" s="5" t="s">
        <v>114</v>
      </c>
      <c r="E29" s="5" t="s">
        <v>101</v>
      </c>
      <c r="F29" s="6">
        <v>138.8</v>
      </c>
      <c r="G29" s="5" t="s">
        <v>22</v>
      </c>
      <c r="H29" s="6">
        <f ca="1" t="array" ref="H29">INDEX(成本核算表!J:J,MATCH(1,(成本核算表!D:D=E29)*(成本核算表!C:C=G29),0))</f>
        <v>160</v>
      </c>
      <c r="I29" s="6">
        <v>260</v>
      </c>
      <c r="J29" s="6">
        <f ca="1" t="shared" si="1"/>
        <v>41600</v>
      </c>
      <c r="K29" s="6">
        <v>12</v>
      </c>
      <c r="L29" s="6"/>
      <c r="M29" s="6">
        <f ca="1" t="shared" si="2"/>
        <v>1920</v>
      </c>
      <c r="N29" s="6">
        <f ca="1" t="shared" si="3"/>
        <v>39680</v>
      </c>
      <c r="O29" s="6">
        <f ca="1" t="shared" si="4"/>
        <v>11.0222222222222</v>
      </c>
      <c r="P29" s="6"/>
      <c r="Q29" s="6"/>
    </row>
    <row r="30" s="21" customFormat="1" ht="20" customHeight="1" spans="1:17">
      <c r="A30" s="27">
        <v>46100</v>
      </c>
      <c r="B30" s="6">
        <v>11</v>
      </c>
      <c r="C30" s="28">
        <f ca="1">SUM(O30:O31)/B30</f>
        <v>1.11818181818182</v>
      </c>
      <c r="D30" s="6"/>
      <c r="E30" s="5" t="s">
        <v>55</v>
      </c>
      <c r="F30" s="6">
        <v>1500</v>
      </c>
      <c r="G30" s="5" t="s">
        <v>22</v>
      </c>
      <c r="H30" s="6">
        <f ca="1" t="array" ref="H30">INDEX(成本核算表!J:J,MATCH(1,(成本核算表!D:D=E30)*(成本核算表!C:C=G30),0))</f>
        <v>110</v>
      </c>
      <c r="I30" s="6">
        <v>68</v>
      </c>
      <c r="J30" s="6">
        <f ca="1" t="shared" si="1"/>
        <v>7480</v>
      </c>
      <c r="K30" s="6"/>
      <c r="L30" s="6"/>
      <c r="M30" s="6">
        <f ca="1" t="shared" si="2"/>
        <v>0</v>
      </c>
      <c r="N30" s="6">
        <f ca="1" t="shared" si="3"/>
        <v>7480</v>
      </c>
      <c r="O30" s="6">
        <f ca="1" t="shared" si="4"/>
        <v>2.07777777777778</v>
      </c>
      <c r="P30" s="6"/>
      <c r="Q30" s="6"/>
    </row>
    <row r="31" s="21" customFormat="1" ht="20" customHeight="1" spans="1:17">
      <c r="A31" s="27">
        <v>46100</v>
      </c>
      <c r="B31" s="6"/>
      <c r="C31" s="28"/>
      <c r="D31" s="5" t="s">
        <v>114</v>
      </c>
      <c r="E31" s="5" t="s">
        <v>101</v>
      </c>
      <c r="F31" s="6">
        <v>138.8</v>
      </c>
      <c r="G31" s="5" t="s">
        <v>22</v>
      </c>
      <c r="H31" s="6">
        <f ca="1" t="array" ref="H31">INDEX(成本核算表!J:J,MATCH(1,(成本核算表!D:D=E31)*(成本核算表!C:C=G31),0))</f>
        <v>160</v>
      </c>
      <c r="I31" s="6">
        <v>240</v>
      </c>
      <c r="J31" s="6">
        <f ca="1" t="shared" si="1"/>
        <v>38400</v>
      </c>
      <c r="K31" s="6">
        <v>10</v>
      </c>
      <c r="L31" s="6"/>
      <c r="M31" s="6">
        <f ca="1" t="shared" si="2"/>
        <v>1600</v>
      </c>
      <c r="N31" s="6">
        <f ca="1" t="shared" si="3"/>
        <v>36800</v>
      </c>
      <c r="O31" s="6">
        <f ca="1" t="shared" si="4"/>
        <v>10.2222222222222</v>
      </c>
      <c r="P31" s="6"/>
      <c r="Q31" s="6"/>
    </row>
    <row r="32" s="21" customFormat="1" ht="20" customHeight="1" spans="1:17">
      <c r="A32" s="27">
        <v>46101</v>
      </c>
      <c r="B32" s="6">
        <v>11</v>
      </c>
      <c r="C32" s="28">
        <f ca="1">SUM(O32:O35)/B32</f>
        <v>0.84469696969697</v>
      </c>
      <c r="D32" s="42" t="s">
        <v>123</v>
      </c>
      <c r="E32" s="5" t="s">
        <v>78</v>
      </c>
      <c r="F32" s="37">
        <v>1960</v>
      </c>
      <c r="G32" s="5" t="s">
        <v>82</v>
      </c>
      <c r="H32" s="6">
        <f ca="1" t="array" ref="H32">INDEX(成本核算表!J:J,MATCH(1,(成本核算表!D:D=E32)*(成本核算表!C:C=G32),0))</f>
        <v>15</v>
      </c>
      <c r="I32" s="6">
        <v>682</v>
      </c>
      <c r="J32" s="6">
        <f ca="1" t="shared" si="1"/>
        <v>10230</v>
      </c>
      <c r="K32" s="6"/>
      <c r="L32" s="6"/>
      <c r="M32" s="6">
        <f ca="1" t="shared" si="2"/>
        <v>0</v>
      </c>
      <c r="N32" s="6">
        <f ca="1" t="shared" si="3"/>
        <v>10230</v>
      </c>
      <c r="O32" s="6">
        <f ca="1" t="shared" si="4"/>
        <v>2.84166666666667</v>
      </c>
      <c r="P32" s="6"/>
      <c r="Q32" s="6"/>
    </row>
    <row r="33" s="21" customFormat="1" ht="20" customHeight="1" spans="1:17">
      <c r="A33" s="27">
        <v>46101</v>
      </c>
      <c r="B33" s="6"/>
      <c r="C33" s="28"/>
      <c r="D33" s="42" t="s">
        <v>123</v>
      </c>
      <c r="E33" s="5" t="s">
        <v>78</v>
      </c>
      <c r="F33" s="37">
        <v>1960</v>
      </c>
      <c r="G33" s="5" t="s">
        <v>79</v>
      </c>
      <c r="H33" s="6">
        <f ca="1" t="array" ref="H33">INDEX(成本核算表!J:J,MATCH(1,(成本核算表!D:D=E33)*(成本核算表!C:C=G33),0))</f>
        <v>15</v>
      </c>
      <c r="I33" s="6">
        <v>682</v>
      </c>
      <c r="J33" s="6">
        <f ca="1" t="shared" si="1"/>
        <v>10230</v>
      </c>
      <c r="K33" s="6"/>
      <c r="L33" s="6"/>
      <c r="M33" s="6">
        <f ca="1" t="shared" ref="M33:M64" si="6">K33*H33</f>
        <v>0</v>
      </c>
      <c r="N33" s="6">
        <f ca="1" t="shared" si="3"/>
        <v>10230</v>
      </c>
      <c r="O33" s="6">
        <f ca="1" t="shared" si="4"/>
        <v>2.84166666666667</v>
      </c>
      <c r="P33" s="6"/>
      <c r="Q33" s="6"/>
    </row>
    <row r="34" s="21" customFormat="1" ht="20" customHeight="1" spans="1:17">
      <c r="A34" s="27">
        <v>46101</v>
      </c>
      <c r="B34" s="6"/>
      <c r="C34" s="28"/>
      <c r="D34" s="42" t="s">
        <v>124</v>
      </c>
      <c r="E34" s="5" t="s">
        <v>78</v>
      </c>
      <c r="F34" s="37">
        <v>1960</v>
      </c>
      <c r="G34" s="5" t="s">
        <v>82</v>
      </c>
      <c r="H34" s="6">
        <f ca="1" t="array" ref="H34">INDEX(成本核算表!J:J,MATCH(1,(成本核算表!D:D=E34)*(成本核算表!C:C=G34),0))</f>
        <v>15</v>
      </c>
      <c r="I34" s="6">
        <v>383</v>
      </c>
      <c r="J34" s="6">
        <f ca="1" t="shared" si="1"/>
        <v>5745</v>
      </c>
      <c r="K34" s="6"/>
      <c r="L34" s="6"/>
      <c r="M34" s="6">
        <f ca="1" t="shared" si="6"/>
        <v>0</v>
      </c>
      <c r="N34" s="6">
        <f ca="1" t="shared" si="3"/>
        <v>5745</v>
      </c>
      <c r="O34" s="6">
        <f ca="1" t="shared" si="4"/>
        <v>1.59583333333333</v>
      </c>
      <c r="P34" s="6"/>
      <c r="Q34" s="6"/>
    </row>
    <row r="35" s="21" customFormat="1" ht="20" customHeight="1" spans="1:17">
      <c r="A35" s="27">
        <v>46101</v>
      </c>
      <c r="B35" s="6"/>
      <c r="C35" s="28"/>
      <c r="D35" s="42" t="s">
        <v>124</v>
      </c>
      <c r="E35" s="5" t="s">
        <v>78</v>
      </c>
      <c r="F35" s="37">
        <v>1960</v>
      </c>
      <c r="G35" s="5" t="s">
        <v>79</v>
      </c>
      <c r="H35" s="6">
        <f ca="1" t="array" ref="H35">INDEX(成本核算表!J:J,MATCH(1,(成本核算表!D:D=E35)*(成本核算表!C:C=G35),0))</f>
        <v>15</v>
      </c>
      <c r="I35" s="6">
        <v>483</v>
      </c>
      <c r="J35" s="6">
        <f ca="1" t="shared" si="1"/>
        <v>7245</v>
      </c>
      <c r="K35" s="6"/>
      <c r="L35" s="6"/>
      <c r="M35" s="6">
        <f ca="1" t="shared" si="6"/>
        <v>0</v>
      </c>
      <c r="N35" s="6">
        <f ca="1" t="shared" si="3"/>
        <v>7245</v>
      </c>
      <c r="O35" s="6">
        <f ca="1" t="shared" si="4"/>
        <v>2.0125</v>
      </c>
      <c r="P35" s="6"/>
      <c r="Q35" s="6"/>
    </row>
    <row r="36" s="21" customFormat="1" ht="20" customHeight="1" spans="1:17">
      <c r="A36" s="6"/>
      <c r="B36" s="6"/>
      <c r="C36" s="28"/>
      <c r="D36" s="6"/>
      <c r="E36" s="6"/>
      <c r="F36" s="6"/>
      <c r="G36" s="6"/>
      <c r="H36" s="6">
        <f ca="1" t="array" ref="H36">INDEX(成本核算表!J:J,MATCH(1,(成本核算表!D:D=E36)*(成本核算表!C:C=G36),0))</f>
        <v>0</v>
      </c>
      <c r="I36" s="6"/>
      <c r="J36" s="6">
        <f ca="1" t="shared" si="1"/>
        <v>0</v>
      </c>
      <c r="K36" s="6"/>
      <c r="L36" s="6"/>
      <c r="M36" s="6">
        <f ca="1" t="shared" si="6"/>
        <v>0</v>
      </c>
      <c r="N36" s="6">
        <f ca="1" t="shared" si="3"/>
        <v>0</v>
      </c>
      <c r="O36" s="6">
        <f ca="1" t="shared" si="4"/>
        <v>0</v>
      </c>
      <c r="P36" s="6"/>
      <c r="Q36" s="6"/>
    </row>
    <row r="37" s="21" customFormat="1" ht="20" customHeight="1" spans="1:17">
      <c r="A37" s="6"/>
      <c r="B37" s="6"/>
      <c r="C37" s="28"/>
      <c r="D37" s="6"/>
      <c r="E37" s="6"/>
      <c r="F37" s="6"/>
      <c r="G37" s="6"/>
      <c r="H37" s="6">
        <f ca="1" t="array" ref="H37">INDEX(成本核算表!J:J,MATCH(1,(成本核算表!D:D=E37)*(成本核算表!C:C=G37),0))</f>
        <v>0</v>
      </c>
      <c r="I37" s="6"/>
      <c r="J37" s="6">
        <f ca="1" t="shared" si="1"/>
        <v>0</v>
      </c>
      <c r="K37" s="6"/>
      <c r="L37" s="6"/>
      <c r="M37" s="6">
        <f ca="1" t="shared" si="6"/>
        <v>0</v>
      </c>
      <c r="N37" s="6">
        <f ca="1" t="shared" si="3"/>
        <v>0</v>
      </c>
      <c r="O37" s="6">
        <f ca="1" t="shared" si="4"/>
        <v>0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1"/>
        <v>0</v>
      </c>
      <c r="K38" s="6"/>
      <c r="L38" s="6"/>
      <c r="M38" s="6">
        <f ca="1" t="shared" si="6"/>
        <v>0</v>
      </c>
      <c r="N38" s="6">
        <f ca="1" t="shared" si="3"/>
        <v>0</v>
      </c>
      <c r="O38" s="6">
        <f ca="1" t="shared" si="4"/>
        <v>0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1"/>
        <v>0</v>
      </c>
      <c r="K39" s="6"/>
      <c r="L39" s="6"/>
      <c r="M39" s="6">
        <f ca="1" t="shared" si="6"/>
        <v>0</v>
      </c>
      <c r="N39" s="6">
        <f ca="1" t="shared" si="3"/>
        <v>0</v>
      </c>
      <c r="O39" s="6">
        <f ca="1" t="shared" si="4"/>
        <v>0</v>
      </c>
      <c r="P39" s="6"/>
      <c r="Q39" s="6"/>
    </row>
    <row r="40" s="21" customFormat="1" ht="20" customHeight="1" spans="1:17">
      <c r="A40" s="22"/>
      <c r="B40" s="23"/>
      <c r="C40" s="24"/>
      <c r="D40" s="23"/>
      <c r="E40" s="23"/>
      <c r="F40" s="23"/>
      <c r="G40" s="23"/>
      <c r="H40" s="6">
        <f ca="1" t="array" ref="H40">INDEX(成本核算表!J:J,MATCH(1,(成本核算表!D:D=E40)*(成本核算表!C:C=G40),0))</f>
        <v>0</v>
      </c>
      <c r="I40" s="6"/>
      <c r="J40" s="6">
        <f ca="1" t="shared" si="1"/>
        <v>0</v>
      </c>
      <c r="K40" s="23"/>
      <c r="L40" s="23"/>
      <c r="M40" s="6">
        <f ca="1" t="shared" si="6"/>
        <v>0</v>
      </c>
      <c r="N40" s="6">
        <f ca="1" t="shared" si="3"/>
        <v>0</v>
      </c>
      <c r="O40" s="6">
        <f ca="1" t="shared" si="4"/>
        <v>0</v>
      </c>
    </row>
    <row r="41" s="21" customFormat="1" ht="20" customHeight="1" spans="1:17">
      <c r="A41" s="22"/>
      <c r="B41" s="23"/>
      <c r="C41" s="24"/>
      <c r="D41" s="23"/>
      <c r="E41" s="23"/>
      <c r="F41" s="23"/>
      <c r="G41" s="23"/>
      <c r="H41" s="6">
        <f ca="1" t="array" ref="H41">INDEX(成本核算表!J:J,MATCH(1,(成本核算表!D:D=E41)*(成本核算表!C:C=G41),0))</f>
        <v>0</v>
      </c>
      <c r="I41" s="6"/>
      <c r="J41" s="6">
        <f ca="1" t="shared" si="1"/>
        <v>0</v>
      </c>
      <c r="K41" s="23"/>
      <c r="L41" s="23"/>
      <c r="M41" s="6">
        <f ca="1" t="shared" si="6"/>
        <v>0</v>
      </c>
      <c r="N41" s="6">
        <f ca="1" t="shared" si="3"/>
        <v>0</v>
      </c>
      <c r="O41" s="6">
        <f ca="1" t="shared" si="4"/>
        <v>0</v>
      </c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1"/>
        <v>0</v>
      </c>
      <c r="K42" s="23"/>
      <c r="L42" s="23"/>
      <c r="M42" s="6">
        <f ca="1" t="shared" si="6"/>
        <v>0</v>
      </c>
      <c r="N42" s="6">
        <f ca="1" t="shared" si="3"/>
        <v>0</v>
      </c>
      <c r="O42" s="6">
        <f ca="1" t="shared" si="4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1"/>
        <v>0</v>
      </c>
      <c r="K43" s="23"/>
      <c r="L43" s="23"/>
      <c r="M43" s="6">
        <f ca="1" t="shared" si="6"/>
        <v>0</v>
      </c>
      <c r="N43" s="6">
        <f ca="1" t="shared" si="3"/>
        <v>0</v>
      </c>
      <c r="O43" s="6">
        <f ca="1" t="shared" si="4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1"/>
        <v>0</v>
      </c>
      <c r="K44" s="23"/>
      <c r="L44" s="23"/>
      <c r="M44" s="6">
        <f ca="1" t="shared" si="6"/>
        <v>0</v>
      </c>
      <c r="N44" s="6">
        <f ca="1" t="shared" si="3"/>
        <v>0</v>
      </c>
      <c r="O44" s="6">
        <f ca="1" t="shared" si="4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1"/>
        <v>0</v>
      </c>
      <c r="K45" s="23"/>
      <c r="L45" s="23"/>
      <c r="M45" s="6">
        <f ca="1" t="shared" si="6"/>
        <v>0</v>
      </c>
      <c r="N45" s="6">
        <f ca="1" t="shared" si="3"/>
        <v>0</v>
      </c>
      <c r="O45" s="6">
        <f ca="1" t="shared" si="4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1"/>
        <v>0</v>
      </c>
      <c r="K46" s="23"/>
      <c r="L46" s="23"/>
      <c r="M46" s="6">
        <f ca="1" t="shared" si="6"/>
        <v>0</v>
      </c>
      <c r="N46" s="6">
        <f ca="1" t="shared" si="3"/>
        <v>0</v>
      </c>
      <c r="O46" s="6">
        <f ca="1" t="shared" si="4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1"/>
        <v>0</v>
      </c>
      <c r="K47" s="23"/>
      <c r="L47" s="23"/>
      <c r="M47" s="6">
        <f ca="1" t="shared" si="6"/>
        <v>0</v>
      </c>
      <c r="N47" s="6">
        <f ca="1" t="shared" si="3"/>
        <v>0</v>
      </c>
      <c r="O47" s="6">
        <f ca="1" t="shared" si="4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1"/>
        <v>0</v>
      </c>
      <c r="K48" s="23"/>
      <c r="L48" s="23"/>
      <c r="M48" s="6">
        <f ca="1" t="shared" si="6"/>
        <v>0</v>
      </c>
      <c r="N48" s="6">
        <f ca="1" t="shared" si="3"/>
        <v>0</v>
      </c>
      <c r="O48" s="6">
        <f ca="1" t="shared" si="4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1"/>
        <v>0</v>
      </c>
      <c r="K49" s="23"/>
      <c r="L49" s="23"/>
      <c r="M49" s="6">
        <f ca="1" t="shared" si="6"/>
        <v>0</v>
      </c>
      <c r="N49" s="6">
        <f ca="1" t="shared" si="3"/>
        <v>0</v>
      </c>
      <c r="O49" s="6">
        <f ca="1" t="shared" si="4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1"/>
        <v>0</v>
      </c>
      <c r="K50" s="23"/>
      <c r="L50" s="23"/>
      <c r="M50" s="6">
        <f ca="1" t="shared" si="6"/>
        <v>0</v>
      </c>
      <c r="N50" s="6">
        <f ca="1" t="shared" si="3"/>
        <v>0</v>
      </c>
      <c r="O50" s="6">
        <f ca="1" t="shared" si="4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1"/>
        <v>0</v>
      </c>
      <c r="K51" s="23"/>
      <c r="L51" s="23"/>
      <c r="M51" s="6">
        <f ca="1" t="shared" si="6"/>
        <v>0</v>
      </c>
      <c r="N51" s="6">
        <f ca="1" t="shared" si="3"/>
        <v>0</v>
      </c>
      <c r="O51" s="6">
        <f ca="1" t="shared" si="4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1"/>
        <v>0</v>
      </c>
      <c r="K52" s="23"/>
      <c r="L52" s="23"/>
      <c r="M52" s="6">
        <f ca="1" t="shared" si="6"/>
        <v>0</v>
      </c>
      <c r="N52" s="6">
        <f ca="1" t="shared" si="3"/>
        <v>0</v>
      </c>
      <c r="O52" s="6">
        <f ca="1" t="shared" si="4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1"/>
        <v>0</v>
      </c>
      <c r="K53" s="23"/>
      <c r="L53" s="23"/>
      <c r="M53" s="6">
        <f ca="1" t="shared" si="6"/>
        <v>0</v>
      </c>
      <c r="N53" s="6">
        <f ca="1" t="shared" si="3"/>
        <v>0</v>
      </c>
      <c r="O53" s="6">
        <f ca="1" t="shared" si="4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1"/>
        <v>0</v>
      </c>
      <c r="K54" s="23"/>
      <c r="L54" s="23"/>
      <c r="M54" s="6">
        <f ca="1" t="shared" si="6"/>
        <v>0</v>
      </c>
      <c r="N54" s="6">
        <f ca="1" t="shared" si="3"/>
        <v>0</v>
      </c>
      <c r="O54" s="6">
        <f ca="1" t="shared" si="4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1"/>
        <v>0</v>
      </c>
      <c r="K55" s="23"/>
      <c r="L55" s="23"/>
      <c r="M55" s="6">
        <f ca="1" t="shared" si="6"/>
        <v>0</v>
      </c>
      <c r="N55" s="6">
        <f ca="1" t="shared" si="3"/>
        <v>0</v>
      </c>
      <c r="O55" s="6">
        <f ca="1" t="shared" si="4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1"/>
        <v>0</v>
      </c>
      <c r="K56" s="23"/>
      <c r="L56" s="23"/>
      <c r="M56" s="6">
        <f ca="1" t="shared" si="6"/>
        <v>0</v>
      </c>
      <c r="N56" s="6">
        <f ca="1" t="shared" si="3"/>
        <v>0</v>
      </c>
      <c r="O56" s="6">
        <f ca="1" t="shared" si="4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1"/>
        <v>0</v>
      </c>
      <c r="K57" s="23"/>
      <c r="L57" s="23"/>
      <c r="M57" s="6">
        <f ca="1" t="shared" si="6"/>
        <v>0</v>
      </c>
      <c r="N57" s="6">
        <f ca="1" t="shared" si="3"/>
        <v>0</v>
      </c>
      <c r="O57" s="6">
        <f ca="1" t="shared" si="4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1"/>
        <v>0</v>
      </c>
      <c r="K58" s="23"/>
      <c r="L58" s="23"/>
      <c r="M58" s="6">
        <f ca="1" t="shared" si="6"/>
        <v>0</v>
      </c>
      <c r="N58" s="6">
        <f ca="1" t="shared" si="3"/>
        <v>0</v>
      </c>
      <c r="O58" s="6">
        <f ca="1" t="shared" si="4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1"/>
        <v>0</v>
      </c>
      <c r="K59" s="23"/>
      <c r="L59" s="23"/>
      <c r="M59" s="6">
        <f ca="1" t="shared" si="6"/>
        <v>0</v>
      </c>
      <c r="N59" s="6">
        <f ca="1" t="shared" si="3"/>
        <v>0</v>
      </c>
      <c r="O59" s="6">
        <f ca="1" t="shared" si="4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1"/>
        <v>0</v>
      </c>
      <c r="K60" s="23"/>
      <c r="L60" s="23"/>
      <c r="M60" s="6">
        <f ca="1" t="shared" si="6"/>
        <v>0</v>
      </c>
      <c r="N60" s="6">
        <f ca="1" t="shared" si="3"/>
        <v>0</v>
      </c>
      <c r="O60" s="6">
        <f ca="1" t="shared" si="4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1"/>
        <v>0</v>
      </c>
      <c r="K61" s="23"/>
      <c r="L61" s="23"/>
      <c r="M61" s="6">
        <f ca="1" t="shared" si="6"/>
        <v>0</v>
      </c>
      <c r="N61" s="6">
        <f ca="1" t="shared" si="3"/>
        <v>0</v>
      </c>
      <c r="O61" s="6">
        <f ca="1" t="shared" si="4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1"/>
        <v>0</v>
      </c>
      <c r="K62" s="23"/>
      <c r="L62" s="23"/>
      <c r="M62" s="6">
        <f ca="1" t="shared" si="6"/>
        <v>0</v>
      </c>
      <c r="N62" s="6">
        <f ca="1" t="shared" si="3"/>
        <v>0</v>
      </c>
      <c r="O62" s="6">
        <f ca="1" t="shared" si="4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1"/>
        <v>0</v>
      </c>
      <c r="K63" s="23"/>
      <c r="L63" s="23"/>
      <c r="M63" s="6">
        <f ca="1" t="shared" si="6"/>
        <v>0</v>
      </c>
      <c r="N63" s="6">
        <f ca="1" t="shared" si="3"/>
        <v>0</v>
      </c>
      <c r="O63" s="6">
        <f ca="1" t="shared" si="4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ref="J64:J99" si="7">H64*I64</f>
        <v>0</v>
      </c>
      <c r="K64" s="23"/>
      <c r="L64" s="23"/>
      <c r="M64" s="6">
        <f ca="1" t="shared" si="6"/>
        <v>0</v>
      </c>
      <c r="N64" s="6">
        <f ca="1" t="shared" ref="N64:N99" si="8">J64-M64+L64</f>
        <v>0</v>
      </c>
      <c r="O64" s="6">
        <f ca="1" t="shared" ref="O64:O99" si="9">N64/3600</f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7"/>
        <v>0</v>
      </c>
      <c r="K65" s="23"/>
      <c r="L65" s="23"/>
      <c r="M65" s="6">
        <f ca="1" t="shared" ref="M65:M99" si="10">K65*H65</f>
        <v>0</v>
      </c>
      <c r="N65" s="6">
        <f ca="1" t="shared" si="8"/>
        <v>0</v>
      </c>
      <c r="O65" s="6">
        <f ca="1" t="shared" si="9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si="7"/>
        <v>0</v>
      </c>
      <c r="K66" s="23"/>
      <c r="L66" s="23"/>
      <c r="M66" s="6">
        <f ca="1" t="shared" si="10"/>
        <v>0</v>
      </c>
      <c r="N66" s="6">
        <f ca="1" t="shared" si="8"/>
        <v>0</v>
      </c>
      <c r="O66" s="6">
        <f ca="1" t="shared" si="9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7"/>
        <v>0</v>
      </c>
      <c r="K67" s="23"/>
      <c r="L67" s="23"/>
      <c r="M67" s="6">
        <f ca="1" t="shared" si="10"/>
        <v>0</v>
      </c>
      <c r="N67" s="6">
        <f ca="1" t="shared" si="8"/>
        <v>0</v>
      </c>
      <c r="O67" s="6">
        <f ca="1" t="shared" si="9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7"/>
        <v>0</v>
      </c>
      <c r="K68" s="23"/>
      <c r="L68" s="23"/>
      <c r="M68" s="6">
        <f ca="1" t="shared" si="10"/>
        <v>0</v>
      </c>
      <c r="N68" s="6">
        <f ca="1" t="shared" si="8"/>
        <v>0</v>
      </c>
      <c r="O68" s="6">
        <f ca="1" t="shared" si="9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7"/>
        <v>0</v>
      </c>
      <c r="K69" s="23"/>
      <c r="L69" s="23"/>
      <c r="M69" s="6">
        <f ca="1" t="shared" si="10"/>
        <v>0</v>
      </c>
      <c r="N69" s="6">
        <f ca="1" t="shared" si="8"/>
        <v>0</v>
      </c>
      <c r="O69" s="6">
        <f ca="1" t="shared" si="9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7"/>
        <v>0</v>
      </c>
      <c r="K70" s="23"/>
      <c r="L70" s="23"/>
      <c r="M70" s="6">
        <f ca="1" t="shared" si="10"/>
        <v>0</v>
      </c>
      <c r="N70" s="6">
        <f ca="1" t="shared" si="8"/>
        <v>0</v>
      </c>
      <c r="O70" s="6">
        <f ca="1" t="shared" si="9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7"/>
        <v>0</v>
      </c>
      <c r="K71" s="23"/>
      <c r="L71" s="23"/>
      <c r="M71" s="6">
        <f ca="1" t="shared" si="10"/>
        <v>0</v>
      </c>
      <c r="N71" s="6">
        <f ca="1" t="shared" si="8"/>
        <v>0</v>
      </c>
      <c r="O71" s="6">
        <f ca="1" t="shared" si="9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7"/>
        <v>0</v>
      </c>
      <c r="K72" s="23"/>
      <c r="L72" s="23"/>
      <c r="M72" s="6">
        <f ca="1" t="shared" si="10"/>
        <v>0</v>
      </c>
      <c r="N72" s="6">
        <f ca="1" t="shared" si="8"/>
        <v>0</v>
      </c>
      <c r="O72" s="6">
        <f ca="1" t="shared" si="9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7"/>
        <v>0</v>
      </c>
      <c r="K73" s="23"/>
      <c r="L73" s="23"/>
      <c r="M73" s="6">
        <f ca="1" t="shared" si="10"/>
        <v>0</v>
      </c>
      <c r="N73" s="6">
        <f ca="1" t="shared" si="8"/>
        <v>0</v>
      </c>
      <c r="O73" s="6">
        <f ca="1" t="shared" si="9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7"/>
        <v>0</v>
      </c>
      <c r="K74" s="23"/>
      <c r="L74" s="23"/>
      <c r="M74" s="6">
        <f ca="1" t="shared" si="10"/>
        <v>0</v>
      </c>
      <c r="N74" s="6">
        <f ca="1" t="shared" si="8"/>
        <v>0</v>
      </c>
      <c r="O74" s="6">
        <f ca="1" t="shared" si="9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7"/>
        <v>0</v>
      </c>
      <c r="K75" s="23"/>
      <c r="L75" s="23"/>
      <c r="M75" s="6">
        <f ca="1" t="shared" si="10"/>
        <v>0</v>
      </c>
      <c r="N75" s="6">
        <f ca="1" t="shared" si="8"/>
        <v>0</v>
      </c>
      <c r="O75" s="6">
        <f ca="1" t="shared" si="9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7"/>
        <v>0</v>
      </c>
      <c r="K76" s="23"/>
      <c r="L76" s="23"/>
      <c r="M76" s="6">
        <f ca="1" t="shared" si="10"/>
        <v>0</v>
      </c>
      <c r="N76" s="6">
        <f ca="1" t="shared" si="8"/>
        <v>0</v>
      </c>
      <c r="O76" s="6">
        <f ca="1" t="shared" si="9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7"/>
        <v>0</v>
      </c>
      <c r="K77" s="23"/>
      <c r="L77" s="23"/>
      <c r="M77" s="6">
        <f ca="1" t="shared" si="10"/>
        <v>0</v>
      </c>
      <c r="N77" s="6">
        <f ca="1" t="shared" si="8"/>
        <v>0</v>
      </c>
      <c r="O77" s="6">
        <f ca="1" t="shared" si="9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7"/>
        <v>0</v>
      </c>
      <c r="K78" s="23"/>
      <c r="L78" s="23"/>
      <c r="M78" s="6">
        <f ca="1" t="shared" si="10"/>
        <v>0</v>
      </c>
      <c r="N78" s="6">
        <f ca="1" t="shared" si="8"/>
        <v>0</v>
      </c>
      <c r="O78" s="6">
        <f ca="1" t="shared" si="9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7"/>
        <v>0</v>
      </c>
      <c r="K79" s="23"/>
      <c r="L79" s="23"/>
      <c r="M79" s="6">
        <f ca="1" t="shared" si="10"/>
        <v>0</v>
      </c>
      <c r="N79" s="6">
        <f ca="1" t="shared" si="8"/>
        <v>0</v>
      </c>
      <c r="O79" s="6">
        <f ca="1" t="shared" si="9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7"/>
        <v>0</v>
      </c>
      <c r="K80" s="23"/>
      <c r="L80" s="23"/>
      <c r="M80" s="6">
        <f ca="1" t="shared" si="10"/>
        <v>0</v>
      </c>
      <c r="N80" s="6">
        <f ca="1" t="shared" si="8"/>
        <v>0</v>
      </c>
      <c r="O80" s="6">
        <f ca="1" t="shared" si="9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7"/>
        <v>0</v>
      </c>
      <c r="K81" s="23"/>
      <c r="L81" s="23"/>
      <c r="M81" s="6">
        <f ca="1" t="shared" si="10"/>
        <v>0</v>
      </c>
      <c r="N81" s="6">
        <f ca="1" t="shared" si="8"/>
        <v>0</v>
      </c>
      <c r="O81" s="6">
        <f ca="1" t="shared" si="9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7"/>
        <v>0</v>
      </c>
      <c r="K82" s="23"/>
      <c r="L82" s="23"/>
      <c r="M82" s="6">
        <f ca="1" t="shared" si="10"/>
        <v>0</v>
      </c>
      <c r="N82" s="6">
        <f ca="1" t="shared" si="8"/>
        <v>0</v>
      </c>
      <c r="O82" s="6">
        <f ca="1" t="shared" si="9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7"/>
        <v>0</v>
      </c>
      <c r="K83" s="23"/>
      <c r="L83" s="23"/>
      <c r="M83" s="6">
        <f ca="1" t="shared" si="10"/>
        <v>0</v>
      </c>
      <c r="N83" s="6">
        <f ca="1" t="shared" si="8"/>
        <v>0</v>
      </c>
      <c r="O83" s="6">
        <f ca="1" t="shared" si="9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7"/>
        <v>0</v>
      </c>
      <c r="K84" s="23"/>
      <c r="L84" s="23"/>
      <c r="M84" s="6">
        <f ca="1" t="shared" si="10"/>
        <v>0</v>
      </c>
      <c r="N84" s="6">
        <f ca="1" t="shared" si="8"/>
        <v>0</v>
      </c>
      <c r="O84" s="6">
        <f ca="1" t="shared" si="9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7"/>
        <v>0</v>
      </c>
      <c r="K85" s="23"/>
      <c r="L85" s="23"/>
      <c r="M85" s="6">
        <f ca="1" t="shared" si="10"/>
        <v>0</v>
      </c>
      <c r="N85" s="6">
        <f ca="1" t="shared" si="8"/>
        <v>0</v>
      </c>
      <c r="O85" s="6">
        <f ca="1" t="shared" si="9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7"/>
        <v>0</v>
      </c>
      <c r="K86" s="23"/>
      <c r="L86" s="23"/>
      <c r="M86" s="6">
        <f ca="1" t="shared" si="10"/>
        <v>0</v>
      </c>
      <c r="N86" s="6">
        <f ca="1" t="shared" si="8"/>
        <v>0</v>
      </c>
      <c r="O86" s="6">
        <f ca="1" t="shared" si="9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7"/>
        <v>0</v>
      </c>
      <c r="K87" s="23"/>
      <c r="L87" s="23"/>
      <c r="M87" s="6">
        <f ca="1" t="shared" si="10"/>
        <v>0</v>
      </c>
      <c r="N87" s="6">
        <f ca="1" t="shared" si="8"/>
        <v>0</v>
      </c>
      <c r="O87" s="6">
        <f ca="1" t="shared" si="9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7"/>
        <v>0</v>
      </c>
      <c r="K88" s="23"/>
      <c r="L88" s="23"/>
      <c r="M88" s="6">
        <f ca="1" t="shared" si="10"/>
        <v>0</v>
      </c>
      <c r="N88" s="6">
        <f ca="1" t="shared" si="8"/>
        <v>0</v>
      </c>
      <c r="O88" s="6">
        <f ca="1" t="shared" si="9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7"/>
        <v>0</v>
      </c>
      <c r="K89" s="23"/>
      <c r="L89" s="23"/>
      <c r="M89" s="6">
        <f ca="1" t="shared" si="10"/>
        <v>0</v>
      </c>
      <c r="N89" s="6">
        <f ca="1" t="shared" si="8"/>
        <v>0</v>
      </c>
      <c r="O89" s="6">
        <f ca="1" t="shared" si="9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7"/>
        <v>0</v>
      </c>
      <c r="K90" s="23"/>
      <c r="L90" s="23"/>
      <c r="M90" s="6">
        <f ca="1" t="shared" si="10"/>
        <v>0</v>
      </c>
      <c r="N90" s="6">
        <f ca="1" t="shared" si="8"/>
        <v>0</v>
      </c>
      <c r="O90" s="6">
        <f ca="1" t="shared" si="9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7"/>
        <v>0</v>
      </c>
      <c r="K91" s="23"/>
      <c r="L91" s="23"/>
      <c r="M91" s="6">
        <f ca="1" t="shared" si="10"/>
        <v>0</v>
      </c>
      <c r="N91" s="6">
        <f ca="1" t="shared" si="8"/>
        <v>0</v>
      </c>
      <c r="O91" s="6">
        <f ca="1" t="shared" si="9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7"/>
        <v>0</v>
      </c>
      <c r="K92" s="23"/>
      <c r="L92" s="23"/>
      <c r="M92" s="6">
        <f ca="1" t="shared" si="10"/>
        <v>0</v>
      </c>
      <c r="N92" s="6">
        <f ca="1" t="shared" si="8"/>
        <v>0</v>
      </c>
      <c r="O92" s="6">
        <f ca="1" t="shared" si="9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7"/>
        <v>0</v>
      </c>
      <c r="K93" s="23"/>
      <c r="L93" s="23"/>
      <c r="M93" s="6">
        <f ca="1" t="shared" si="10"/>
        <v>0</v>
      </c>
      <c r="N93" s="6">
        <f ca="1" t="shared" si="8"/>
        <v>0</v>
      </c>
      <c r="O93" s="6">
        <f ca="1" t="shared" si="9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7"/>
        <v>0</v>
      </c>
      <c r="K94" s="23"/>
      <c r="L94" s="23"/>
      <c r="M94" s="6">
        <f ca="1" t="shared" si="10"/>
        <v>0</v>
      </c>
      <c r="N94" s="6">
        <f ca="1" t="shared" si="8"/>
        <v>0</v>
      </c>
      <c r="O94" s="6">
        <f ca="1" t="shared" si="9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7"/>
        <v>0</v>
      </c>
      <c r="K95" s="23"/>
      <c r="L95" s="23"/>
      <c r="M95" s="6">
        <f ca="1" t="shared" si="10"/>
        <v>0</v>
      </c>
      <c r="N95" s="6">
        <f ca="1" t="shared" si="8"/>
        <v>0</v>
      </c>
      <c r="O95" s="6">
        <f ca="1" t="shared" si="9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7"/>
        <v>0</v>
      </c>
      <c r="K96" s="23"/>
      <c r="L96" s="23"/>
      <c r="M96" s="6">
        <f ca="1" t="shared" si="10"/>
        <v>0</v>
      </c>
      <c r="N96" s="6">
        <f ca="1" t="shared" si="8"/>
        <v>0</v>
      </c>
      <c r="O96" s="6">
        <f ca="1" t="shared" si="9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7"/>
        <v>0</v>
      </c>
      <c r="K97" s="23"/>
      <c r="L97" s="23"/>
      <c r="M97" s="6">
        <f ca="1" t="shared" si="10"/>
        <v>0</v>
      </c>
      <c r="N97" s="6">
        <f ca="1" t="shared" si="8"/>
        <v>0</v>
      </c>
      <c r="O97" s="6">
        <f ca="1" t="shared" si="9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7"/>
        <v>0</v>
      </c>
      <c r="K98" s="23"/>
      <c r="L98" s="23"/>
      <c r="M98" s="6">
        <f ca="1" t="shared" si="10"/>
        <v>0</v>
      </c>
      <c r="N98" s="6">
        <f ca="1" t="shared" si="8"/>
        <v>0</v>
      </c>
      <c r="O98" s="6">
        <f ca="1" t="shared" si="9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7"/>
        <v>0</v>
      </c>
      <c r="K99" s="23"/>
      <c r="L99" s="23"/>
      <c r="M99" s="6">
        <f ca="1" t="shared" si="10"/>
        <v>0</v>
      </c>
      <c r="N99" s="6">
        <f ca="1" t="shared" si="8"/>
        <v>0</v>
      </c>
      <c r="O99" s="6">
        <f ca="1" t="shared" si="9"/>
        <v>0</v>
      </c>
    </row>
    <row r="100" s="21" customFormat="1" customHeight="1" spans="1:15">
      <c r="A100" s="22"/>
      <c r="B100" s="23"/>
      <c r="C100" s="24"/>
      <c r="D100" s="23"/>
      <c r="E100" s="23"/>
      <c r="F100" s="23"/>
      <c r="G100" s="23"/>
      <c r="H100" s="25"/>
      <c r="I100" s="25"/>
      <c r="J100" s="23"/>
      <c r="K100" s="23"/>
      <c r="L100" s="23"/>
    </row>
    <row r="101" s="21" customFormat="1" customHeight="1" spans="1:15">
      <c r="A101" s="22"/>
      <c r="B101" s="23"/>
      <c r="C101" s="24"/>
      <c r="D101" s="23"/>
      <c r="E101" s="23"/>
      <c r="F101" s="23"/>
      <c r="G101" s="23"/>
      <c r="H101" s="25"/>
      <c r="I101" s="25"/>
      <c r="J101" s="23"/>
      <c r="K101" s="23"/>
      <c r="L101" s="23"/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329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12</v>
      </c>
      <c r="C2" s="28">
        <f ca="1" t="shared" ref="C2:C6" si="0">SUM(O2:O3)/B2</f>
        <v>1.1475</v>
      </c>
      <c r="D2" s="6" t="s">
        <v>35</v>
      </c>
      <c r="E2" s="6" t="s">
        <v>36</v>
      </c>
      <c r="F2" s="6">
        <v>119.5</v>
      </c>
      <c r="G2" s="6" t="s">
        <v>37</v>
      </c>
      <c r="H2" s="6">
        <f ca="1" t="array" ref="H2">INDEX(成本核算表!J:J,MATCH(1,(成本核算表!D:D=E2)*(成本核算表!C:C=G2),0))</f>
        <v>15</v>
      </c>
      <c r="I2" s="6">
        <v>1216</v>
      </c>
      <c r="J2" s="6">
        <f ca="1" t="shared" ref="J2:J65" si="1">H2*I2</f>
        <v>18240</v>
      </c>
      <c r="K2" s="6"/>
      <c r="L2" s="6"/>
      <c r="M2" s="6"/>
      <c r="N2" s="6">
        <f ca="1" t="shared" ref="N2:N65" si="2">J2-M2+L2</f>
        <v>18240</v>
      </c>
      <c r="O2" s="6">
        <f ca="1" t="shared" ref="O2:O65" si="3">N2/3600</f>
        <v>5.06666666666667</v>
      </c>
      <c r="P2" s="6"/>
      <c r="Q2" s="6"/>
    </row>
    <row r="3" s="21" customFormat="1" ht="20" customHeight="1" spans="1:17">
      <c r="A3" s="27">
        <v>46082</v>
      </c>
      <c r="B3" s="6"/>
      <c r="C3" s="28"/>
      <c r="D3" s="6" t="s">
        <v>35</v>
      </c>
      <c r="E3" s="6" t="s">
        <v>36</v>
      </c>
      <c r="F3" s="6">
        <v>119.5</v>
      </c>
      <c r="G3" s="6" t="s">
        <v>41</v>
      </c>
      <c r="H3" s="6">
        <f ca="1" t="array" ref="H3">INDEX(成本核算表!J:J,MATCH(1,(成本核算表!D:D=E3)*(成本核算表!C:C=G3),0))</f>
        <v>12</v>
      </c>
      <c r="I3" s="6">
        <v>2611</v>
      </c>
      <c r="J3" s="6">
        <f ca="1" t="shared" si="1"/>
        <v>31332</v>
      </c>
      <c r="K3" s="6"/>
      <c r="L3" s="6"/>
      <c r="M3" s="6"/>
      <c r="N3" s="6">
        <f ca="1" t="shared" si="2"/>
        <v>31332</v>
      </c>
      <c r="O3" s="6">
        <f ca="1" t="shared" si="3"/>
        <v>8.70333333333333</v>
      </c>
      <c r="P3" s="6"/>
      <c r="Q3" s="6"/>
    </row>
    <row r="4" s="21" customFormat="1" ht="20" customHeight="1" spans="1:17">
      <c r="A4" s="27">
        <v>46083</v>
      </c>
      <c r="B4" s="6">
        <v>12</v>
      </c>
      <c r="C4" s="28">
        <f ca="1" t="shared" si="0"/>
        <v>1.01851851851852</v>
      </c>
      <c r="D4" s="5" t="s">
        <v>107</v>
      </c>
      <c r="E4" s="5" t="s">
        <v>108</v>
      </c>
      <c r="F4" s="6">
        <v>260</v>
      </c>
      <c r="G4" s="5" t="s">
        <v>24</v>
      </c>
      <c r="H4" s="6">
        <f ca="1" t="array" ref="H4">INDEX(成本核算表!J:J,MATCH(1,(成本核算表!D:D=E4)*(成本核算表!C:C=G4),0))</f>
        <v>50</v>
      </c>
      <c r="I4" s="6">
        <v>400</v>
      </c>
      <c r="J4" s="6">
        <f ca="1" t="shared" si="1"/>
        <v>20000</v>
      </c>
      <c r="K4" s="6"/>
      <c r="L4" s="6"/>
      <c r="M4" s="6"/>
      <c r="N4" s="6">
        <f ca="1" t="shared" si="2"/>
        <v>20000</v>
      </c>
      <c r="O4" s="6">
        <f ca="1" t="shared" si="3"/>
        <v>5.55555555555556</v>
      </c>
      <c r="P4" s="6"/>
      <c r="Q4" s="6"/>
    </row>
    <row r="5" s="21" customFormat="1" ht="20" customHeight="1" spans="1:17">
      <c r="A5" s="27">
        <v>46083</v>
      </c>
      <c r="B5" s="6"/>
      <c r="C5" s="28"/>
      <c r="D5" s="5" t="s">
        <v>107</v>
      </c>
      <c r="E5" s="5" t="s">
        <v>108</v>
      </c>
      <c r="F5" s="6">
        <v>260</v>
      </c>
      <c r="G5" s="5" t="s">
        <v>25</v>
      </c>
      <c r="H5" s="6">
        <f ca="1" t="array" ref="H5">INDEX(成本核算表!J:J,MATCH(1,(成本核算表!D:D=E5)*(成本核算表!C:C=G5),0))</f>
        <v>60</v>
      </c>
      <c r="I5" s="6">
        <v>400</v>
      </c>
      <c r="J5" s="6">
        <f ca="1" t="shared" si="1"/>
        <v>24000</v>
      </c>
      <c r="K5" s="6"/>
      <c r="L5" s="6"/>
      <c r="M5" s="6"/>
      <c r="N5" s="6">
        <f ca="1" t="shared" si="2"/>
        <v>24000</v>
      </c>
      <c r="O5" s="6">
        <f ca="1" t="shared" si="3"/>
        <v>6.66666666666667</v>
      </c>
      <c r="P5" s="6"/>
      <c r="Q5" s="6"/>
    </row>
    <row r="6" s="21" customFormat="1" ht="20" customHeight="1" spans="1:17">
      <c r="A6" s="27">
        <v>46084</v>
      </c>
      <c r="B6" s="6">
        <v>12</v>
      </c>
      <c r="C6" s="28">
        <f ca="1">SUM(O6:O9)/B6</f>
        <v>0.575231481481482</v>
      </c>
      <c r="D6" s="6"/>
      <c r="E6" s="5" t="s">
        <v>34</v>
      </c>
      <c r="F6" s="6"/>
      <c r="G6" s="5" t="s">
        <v>33</v>
      </c>
      <c r="H6" s="6">
        <f ca="1" t="array" ref="H6">INDEX(成本核算表!J:J,MATCH(1,(成本核算表!D:D=E6)*(成本核算表!C:C=G6),0))</f>
        <v>100</v>
      </c>
      <c r="I6" s="6">
        <f>55/2</f>
        <v>27.5</v>
      </c>
      <c r="J6" s="6">
        <f ca="1" t="shared" si="1"/>
        <v>2750</v>
      </c>
      <c r="K6" s="6"/>
      <c r="L6" s="6"/>
      <c r="M6" s="6"/>
      <c r="N6" s="6">
        <f ca="1" t="shared" si="2"/>
        <v>2750</v>
      </c>
      <c r="O6" s="6">
        <f ca="1" t="shared" si="3"/>
        <v>0.763888888888889</v>
      </c>
      <c r="P6" s="6"/>
      <c r="Q6" s="6"/>
    </row>
    <row r="7" s="21" customFormat="1" ht="20" customHeight="1" spans="1:17">
      <c r="A7" s="27">
        <v>46084</v>
      </c>
      <c r="B7" s="6"/>
      <c r="C7" s="28"/>
      <c r="D7" s="5" t="s">
        <v>125</v>
      </c>
      <c r="E7" s="5" t="s">
        <v>55</v>
      </c>
      <c r="F7" s="6">
        <v>950</v>
      </c>
      <c r="G7" s="6" t="s">
        <v>126</v>
      </c>
      <c r="H7" s="6">
        <f ca="1" t="array" ref="H7">INDEX(成本核算表!J:J,MATCH(1,(成本核算表!D:D=E7)*(成本核算表!C:C=G7),0))</f>
        <v>20</v>
      </c>
      <c r="I7" s="6">
        <f>1030/2</f>
        <v>515</v>
      </c>
      <c r="J7" s="6">
        <f ca="1" t="shared" si="1"/>
        <v>10300</v>
      </c>
      <c r="K7" s="6"/>
      <c r="L7" s="6"/>
      <c r="M7" s="6"/>
      <c r="N7" s="6">
        <f ca="1" t="shared" si="2"/>
        <v>10300</v>
      </c>
      <c r="O7" s="6">
        <f ca="1" t="shared" si="3"/>
        <v>2.86111111111111</v>
      </c>
      <c r="P7" s="6"/>
      <c r="Q7" s="6"/>
    </row>
    <row r="8" s="21" customFormat="1" ht="20" customHeight="1" spans="1:17">
      <c r="A8" s="27">
        <v>46084</v>
      </c>
      <c r="B8" s="6"/>
      <c r="C8" s="28"/>
      <c r="D8" s="5" t="s">
        <v>127</v>
      </c>
      <c r="E8" s="5" t="s">
        <v>55</v>
      </c>
      <c r="F8" s="6">
        <v>1150</v>
      </c>
      <c r="G8" s="6" t="s">
        <v>126</v>
      </c>
      <c r="H8" s="6">
        <f ca="1" t="array" ref="H8">INDEX(成本核算表!J:J,MATCH(1,(成本核算表!D:D=E8)*(成本核算表!C:C=G8),0))</f>
        <v>20</v>
      </c>
      <c r="I8" s="6">
        <v>15</v>
      </c>
      <c r="J8" s="6">
        <f ca="1" t="shared" si="1"/>
        <v>300</v>
      </c>
      <c r="K8" s="6"/>
      <c r="L8" s="6"/>
      <c r="M8" s="6"/>
      <c r="N8" s="6">
        <f ca="1" t="shared" si="2"/>
        <v>300</v>
      </c>
      <c r="O8" s="6">
        <f ca="1" t="shared" si="3"/>
        <v>0.0833333333333333</v>
      </c>
      <c r="P8" s="6"/>
      <c r="Q8" s="6"/>
    </row>
    <row r="9" s="21" customFormat="1" ht="20" customHeight="1" spans="1:17">
      <c r="A9" s="27">
        <v>46084</v>
      </c>
      <c r="B9" s="6"/>
      <c r="C9" s="28"/>
      <c r="D9" s="5" t="s">
        <v>54</v>
      </c>
      <c r="E9" s="5" t="s">
        <v>55</v>
      </c>
      <c r="F9" s="6">
        <v>1150</v>
      </c>
      <c r="G9" s="6" t="s">
        <v>126</v>
      </c>
      <c r="H9" s="6">
        <f ca="1" t="array" ref="H9">INDEX(成本核算表!J:J,MATCH(1,(成本核算表!D:D=E9)*(成本核算表!C:C=G9),0))</f>
        <v>20</v>
      </c>
      <c r="I9" s="6">
        <f>1150/2</f>
        <v>575</v>
      </c>
      <c r="J9" s="6">
        <f ca="1" t="shared" si="1"/>
        <v>11500</v>
      </c>
      <c r="K9" s="6"/>
      <c r="L9" s="6"/>
      <c r="M9" s="6"/>
      <c r="N9" s="6">
        <f ca="1" t="shared" si="2"/>
        <v>11500</v>
      </c>
      <c r="O9" s="6">
        <f ca="1" t="shared" si="3"/>
        <v>3.19444444444444</v>
      </c>
      <c r="P9" s="6"/>
      <c r="Q9" s="6"/>
    </row>
    <row r="10" s="21" customFormat="1" ht="20" customHeight="1" spans="1:17">
      <c r="A10" s="27">
        <v>46085</v>
      </c>
      <c r="B10" s="6">
        <v>12</v>
      </c>
      <c r="C10" s="28">
        <f ca="1">SUM(O10:O11)/B10</f>
        <v>1.01851851851852</v>
      </c>
      <c r="D10" s="5" t="s">
        <v>107</v>
      </c>
      <c r="E10" s="5" t="s">
        <v>108</v>
      </c>
      <c r="F10" s="6">
        <v>260</v>
      </c>
      <c r="G10" s="5" t="s">
        <v>24</v>
      </c>
      <c r="H10" s="6">
        <f ca="1" t="array" ref="H10">INDEX(成本核算表!J:J,MATCH(1,(成本核算表!D:D=E10)*(成本核算表!C:C=G10),0))</f>
        <v>50</v>
      </c>
      <c r="I10" s="6">
        <v>400</v>
      </c>
      <c r="J10" s="6">
        <f ca="1" t="shared" si="1"/>
        <v>20000</v>
      </c>
      <c r="K10" s="6"/>
      <c r="L10" s="6"/>
      <c r="M10" s="6"/>
      <c r="N10" s="6">
        <f ca="1" t="shared" si="2"/>
        <v>20000</v>
      </c>
      <c r="O10" s="6">
        <f ca="1" t="shared" si="3"/>
        <v>5.55555555555556</v>
      </c>
      <c r="P10" s="6"/>
      <c r="Q10" s="6"/>
    </row>
    <row r="11" s="21" customFormat="1" ht="20" customHeight="1" spans="1:17">
      <c r="A11" s="27">
        <v>46085</v>
      </c>
      <c r="B11" s="6"/>
      <c r="C11" s="28"/>
      <c r="D11" s="5" t="s">
        <v>107</v>
      </c>
      <c r="E11" s="5" t="s">
        <v>108</v>
      </c>
      <c r="F11" s="6">
        <v>260</v>
      </c>
      <c r="G11" s="5" t="s">
        <v>25</v>
      </c>
      <c r="H11" s="6">
        <f ca="1" t="array" ref="H11">INDEX(成本核算表!J:J,MATCH(1,(成本核算表!D:D=E11)*(成本核算表!C:C=G11),0))</f>
        <v>60</v>
      </c>
      <c r="I11" s="6">
        <v>400</v>
      </c>
      <c r="J11" s="6">
        <f ca="1" t="shared" si="1"/>
        <v>24000</v>
      </c>
      <c r="K11" s="6"/>
      <c r="L11" s="6"/>
      <c r="M11" s="6"/>
      <c r="N11" s="6">
        <f ca="1" t="shared" si="2"/>
        <v>24000</v>
      </c>
      <c r="O11" s="6">
        <f ca="1" t="shared" si="3"/>
        <v>6.66666666666667</v>
      </c>
      <c r="P11" s="6"/>
      <c r="Q11" s="6"/>
    </row>
    <row r="12" s="21" customFormat="1" ht="20" customHeight="1" spans="1:17">
      <c r="A12" s="27">
        <v>46086</v>
      </c>
      <c r="B12" s="6">
        <v>12</v>
      </c>
      <c r="C12" s="28">
        <f ca="1" t="shared" ref="C12:C19" si="4">SUM(O12)/B12</f>
        <v>0.75</v>
      </c>
      <c r="D12" s="6" t="s">
        <v>35</v>
      </c>
      <c r="E12" s="6" t="s">
        <v>36</v>
      </c>
      <c r="F12" s="6">
        <v>119.5</v>
      </c>
      <c r="G12" s="6" t="s">
        <v>41</v>
      </c>
      <c r="H12" s="6">
        <f ca="1" t="array" ref="H12">INDEX(成本核算表!J:J,MATCH(1,(成本核算表!D:D=E12)*(成本核算表!C:C=G12),0))</f>
        <v>12</v>
      </c>
      <c r="I12" s="6">
        <v>2400</v>
      </c>
      <c r="J12" s="6">
        <f ca="1" t="shared" si="1"/>
        <v>28800</v>
      </c>
      <c r="K12" s="6"/>
      <c r="L12" s="6">
        <v>3600</v>
      </c>
      <c r="M12" s="6"/>
      <c r="N12" s="6">
        <f ca="1" t="shared" si="2"/>
        <v>32400</v>
      </c>
      <c r="O12" s="6">
        <f ca="1" t="shared" si="3"/>
        <v>9</v>
      </c>
      <c r="P12" s="6"/>
      <c r="Q12" s="6"/>
    </row>
    <row r="13" s="21" customFormat="1" ht="20" customHeight="1" spans="1:17">
      <c r="A13" s="27">
        <v>46087</v>
      </c>
      <c r="B13" s="6">
        <v>12</v>
      </c>
      <c r="C13" s="28">
        <f ca="1" t="shared" si="4"/>
        <v>0.505555555555556</v>
      </c>
      <c r="D13" s="6" t="s">
        <v>35</v>
      </c>
      <c r="E13" s="6" t="s">
        <v>36</v>
      </c>
      <c r="F13" s="6">
        <v>119.5</v>
      </c>
      <c r="G13" s="6" t="s">
        <v>41</v>
      </c>
      <c r="H13" s="6">
        <f ca="1" t="array" ref="H13">INDEX(成本核算表!J:J,MATCH(1,(成本核算表!D:D=E13)*(成本核算表!C:C=G13),0))</f>
        <v>12</v>
      </c>
      <c r="I13" s="6">
        <v>1820</v>
      </c>
      <c r="J13" s="6">
        <f ca="1" t="shared" si="1"/>
        <v>21840</v>
      </c>
      <c r="K13" s="6"/>
      <c r="L13" s="6"/>
      <c r="M13" s="6"/>
      <c r="N13" s="6">
        <f ca="1" t="shared" si="2"/>
        <v>21840</v>
      </c>
      <c r="O13" s="6">
        <f ca="1" t="shared" si="3"/>
        <v>6.06666666666667</v>
      </c>
      <c r="P13" s="6"/>
      <c r="Q13" s="6"/>
    </row>
    <row r="14" s="21" customFormat="1" ht="20" customHeight="1" spans="1:17">
      <c r="A14" s="27">
        <v>46088</v>
      </c>
      <c r="B14" s="6">
        <v>12</v>
      </c>
      <c r="C14" s="28">
        <f ca="1">C10</f>
        <v>1.01851851851852</v>
      </c>
      <c r="D14" s="5" t="s">
        <v>128</v>
      </c>
      <c r="E14" s="5" t="s">
        <v>129</v>
      </c>
      <c r="F14" s="6">
        <v>1633.7</v>
      </c>
      <c r="G14" s="5" t="s">
        <v>22</v>
      </c>
      <c r="H14" s="6">
        <f ca="1" t="array" ref="H14">INDEX(成本核算表!J:J,MATCH(1,(成本核算表!D:D=E14)*(成本核算表!C:C=G14),0))</f>
        <v>400</v>
      </c>
      <c r="I14" s="6">
        <v>86</v>
      </c>
      <c r="J14" s="6">
        <f ca="1" t="shared" si="1"/>
        <v>34400</v>
      </c>
      <c r="K14" s="6"/>
      <c r="L14" s="6"/>
      <c r="M14" s="6"/>
      <c r="N14" s="6">
        <f ca="1" t="shared" si="2"/>
        <v>34400</v>
      </c>
      <c r="O14" s="6">
        <f ca="1" t="shared" si="3"/>
        <v>9.55555555555556</v>
      </c>
      <c r="P14" s="6"/>
      <c r="Q14" s="6"/>
    </row>
    <row r="15" s="21" customFormat="1" ht="20" customHeight="1" spans="1:17">
      <c r="A15" s="27">
        <v>46088</v>
      </c>
      <c r="B15" s="6"/>
      <c r="C15" s="28"/>
      <c r="D15" s="5" t="s">
        <v>130</v>
      </c>
      <c r="E15" s="5" t="s">
        <v>131</v>
      </c>
      <c r="F15" s="6">
        <v>140</v>
      </c>
      <c r="G15" s="5" t="s">
        <v>25</v>
      </c>
      <c r="H15" s="6">
        <f ca="1" t="array" ref="H15">INDEX(成本核算表!J:J,MATCH(1,(成本核算表!D:D=E15)*(成本核算表!C:C=G15),0))</f>
        <v>700</v>
      </c>
      <c r="I15" s="6">
        <v>50</v>
      </c>
      <c r="J15" s="6">
        <f ca="1" t="shared" si="1"/>
        <v>35000</v>
      </c>
      <c r="K15" s="6"/>
      <c r="L15" s="6"/>
      <c r="M15" s="6"/>
      <c r="N15" s="6">
        <f ca="1" t="shared" si="2"/>
        <v>35000</v>
      </c>
      <c r="O15" s="6">
        <f ca="1" t="shared" si="3"/>
        <v>9.72222222222222</v>
      </c>
      <c r="P15" s="6"/>
      <c r="Q15" s="6"/>
    </row>
    <row r="16" s="21" customFormat="1" ht="20" customHeight="1" spans="1:17">
      <c r="A16" s="6"/>
      <c r="B16" s="6"/>
      <c r="C16" s="28"/>
      <c r="D16" s="6"/>
      <c r="E16" s="6"/>
      <c r="F16" s="6"/>
      <c r="G16" s="6"/>
      <c r="H16" s="6">
        <f ca="1" t="array" ref="H16">INDEX(成本核算表!J:J,MATCH(1,(成本核算表!D:D=E16)*(成本核算表!C:C=G16),0))</f>
        <v>0</v>
      </c>
      <c r="I16" s="6"/>
      <c r="J16" s="6">
        <f ca="1" t="shared" si="1"/>
        <v>0</v>
      </c>
      <c r="K16" s="6"/>
      <c r="L16" s="6"/>
      <c r="M16" s="6"/>
      <c r="N16" s="6">
        <f ca="1" t="shared" si="2"/>
        <v>0</v>
      </c>
      <c r="O16" s="6">
        <f ca="1" t="shared" si="3"/>
        <v>0</v>
      </c>
      <c r="P16" s="6"/>
      <c r="Q16" s="6"/>
    </row>
    <row r="17" s="21" customFormat="1" ht="20" customHeight="1" spans="1:17">
      <c r="A17" s="27">
        <v>46090</v>
      </c>
      <c r="B17" s="6">
        <v>11</v>
      </c>
      <c r="C17" s="28">
        <f ca="1" t="shared" si="4"/>
        <v>1.13636363636364</v>
      </c>
      <c r="D17" s="5" t="s">
        <v>105</v>
      </c>
      <c r="E17" s="5" t="s">
        <v>104</v>
      </c>
      <c r="F17" s="6">
        <v>2296.8</v>
      </c>
      <c r="G17" s="5" t="s">
        <v>22</v>
      </c>
      <c r="H17" s="6">
        <f ca="1" t="array" ref="H17">INDEX(成本核算表!J:J,MATCH(1,(成本核算表!D:D=E17)*(成本核算表!C:C=G17),0))</f>
        <v>600</v>
      </c>
      <c r="I17" s="6">
        <v>75</v>
      </c>
      <c r="J17" s="6">
        <f ca="1" t="shared" si="1"/>
        <v>45000</v>
      </c>
      <c r="K17" s="6"/>
      <c r="L17" s="6"/>
      <c r="M17" s="6"/>
      <c r="N17" s="6">
        <f ca="1" t="shared" si="2"/>
        <v>45000</v>
      </c>
      <c r="O17" s="6">
        <f ca="1" t="shared" si="3"/>
        <v>12.5</v>
      </c>
      <c r="P17" s="6"/>
      <c r="Q17" s="6"/>
    </row>
    <row r="18" s="21" customFormat="1" ht="20" customHeight="1" spans="1:17">
      <c r="A18" s="27">
        <v>46091</v>
      </c>
      <c r="B18" s="6">
        <v>11</v>
      </c>
      <c r="C18" s="28">
        <f ca="1" t="shared" si="4"/>
        <v>1.13636363636364</v>
      </c>
      <c r="D18" s="5" t="s">
        <v>105</v>
      </c>
      <c r="E18" s="5" t="s">
        <v>104</v>
      </c>
      <c r="F18" s="6">
        <v>2296.8</v>
      </c>
      <c r="G18" s="5" t="s">
        <v>22</v>
      </c>
      <c r="H18" s="6">
        <f ca="1" t="array" ref="H18">INDEX(成本核算表!J:J,MATCH(1,(成本核算表!D:D=E18)*(成本核算表!C:C=G18),0))</f>
        <v>600</v>
      </c>
      <c r="I18" s="6">
        <v>75</v>
      </c>
      <c r="J18" s="6">
        <f ca="1" t="shared" si="1"/>
        <v>45000</v>
      </c>
      <c r="K18" s="6"/>
      <c r="L18" s="6"/>
      <c r="M18" s="6"/>
      <c r="N18" s="6">
        <f ca="1" t="shared" si="2"/>
        <v>45000</v>
      </c>
      <c r="O18" s="6">
        <f ca="1" t="shared" si="3"/>
        <v>12.5</v>
      </c>
      <c r="P18" s="6"/>
      <c r="Q18" s="6"/>
    </row>
    <row r="19" s="21" customFormat="1" ht="20" customHeight="1" spans="1:17">
      <c r="A19" s="27">
        <v>46092</v>
      </c>
      <c r="B19" s="6">
        <v>12</v>
      </c>
      <c r="C19" s="28">
        <f ca="1" t="shared" si="4"/>
        <v>0.494444444444444</v>
      </c>
      <c r="D19" s="5" t="s">
        <v>40</v>
      </c>
      <c r="E19" s="6" t="s">
        <v>36</v>
      </c>
      <c r="F19" s="6">
        <v>119.5</v>
      </c>
      <c r="G19" s="6" t="s">
        <v>41</v>
      </c>
      <c r="H19" s="6">
        <f ca="1" t="array" ref="H19">INDEX(成本核算表!J:J,MATCH(1,(成本核算表!D:D=E19)*(成本核算表!C:C=G19),0))</f>
        <v>12</v>
      </c>
      <c r="I19" s="6">
        <v>1780</v>
      </c>
      <c r="J19" s="6">
        <f ca="1" t="shared" si="1"/>
        <v>21360</v>
      </c>
      <c r="K19" s="6"/>
      <c r="L19" s="6"/>
      <c r="M19" s="6"/>
      <c r="N19" s="6">
        <f ca="1" t="shared" si="2"/>
        <v>21360</v>
      </c>
      <c r="O19" s="6">
        <f ca="1" t="shared" si="3"/>
        <v>5.93333333333333</v>
      </c>
      <c r="P19" s="6"/>
      <c r="Q19" s="6"/>
    </row>
    <row r="20" s="21" customFormat="1" ht="20" customHeight="1" spans="1:17">
      <c r="A20" s="6"/>
      <c r="B20" s="6"/>
      <c r="C20" s="28"/>
      <c r="D20" s="6"/>
      <c r="E20" s="6"/>
      <c r="F20" s="6"/>
      <c r="G20" s="6"/>
      <c r="H20" s="6">
        <f ca="1" t="array" ref="H20">INDEX(成本核算表!J:J,MATCH(1,(成本核算表!D:D=E20)*(成本核算表!C:C=G20),0))</f>
        <v>0</v>
      </c>
      <c r="I20" s="6"/>
      <c r="J20" s="6">
        <f ca="1" t="shared" si="1"/>
        <v>0</v>
      </c>
      <c r="K20" s="6"/>
      <c r="L20" s="6"/>
      <c r="M20" s="6"/>
      <c r="N20" s="6">
        <f ca="1" t="shared" si="2"/>
        <v>0</v>
      </c>
      <c r="O20" s="6">
        <f ca="1" t="shared" si="3"/>
        <v>0</v>
      </c>
      <c r="P20" s="6"/>
      <c r="Q20" s="6"/>
    </row>
    <row r="21" s="21" customFormat="1" ht="20" customHeight="1" spans="1:17">
      <c r="A21" s="6"/>
      <c r="B21" s="6"/>
      <c r="C21" s="28"/>
      <c r="D21" s="6"/>
      <c r="E21" s="6"/>
      <c r="F21" s="6"/>
      <c r="G21" s="6"/>
      <c r="H21" s="6">
        <f ca="1" t="array" ref="H21">INDEX(成本核算表!J:J,MATCH(1,(成本核算表!D:D=E21)*(成本核算表!C:C=G21),0))</f>
        <v>0</v>
      </c>
      <c r="I21" s="6"/>
      <c r="J21" s="6">
        <f ca="1" t="shared" si="1"/>
        <v>0</v>
      </c>
      <c r="K21" s="6"/>
      <c r="L21" s="6"/>
      <c r="M21" s="6"/>
      <c r="N21" s="6">
        <f ca="1" t="shared" si="2"/>
        <v>0</v>
      </c>
      <c r="O21" s="6">
        <f ca="1" t="shared" si="3"/>
        <v>0</v>
      </c>
      <c r="P21" s="6"/>
      <c r="Q21" s="6"/>
    </row>
    <row r="22" s="21" customFormat="1" ht="20" customHeight="1" spans="1:17">
      <c r="A22" s="6"/>
      <c r="B22" s="6"/>
      <c r="C22" s="28"/>
      <c r="D22" s="6"/>
      <c r="E22" s="6"/>
      <c r="F22" s="6"/>
      <c r="G22" s="6"/>
      <c r="H22" s="6">
        <f ca="1" t="array" ref="H22">INDEX(成本核算表!J:J,MATCH(1,(成本核算表!D:D=E22)*(成本核算表!C:C=G22),0))</f>
        <v>0</v>
      </c>
      <c r="I22" s="6"/>
      <c r="J22" s="6">
        <f ca="1" t="shared" si="1"/>
        <v>0</v>
      </c>
      <c r="K22" s="6"/>
      <c r="L22" s="6"/>
      <c r="M22" s="6"/>
      <c r="N22" s="6">
        <f ca="1" t="shared" si="2"/>
        <v>0</v>
      </c>
      <c r="O22" s="6">
        <f ca="1" t="shared" si="3"/>
        <v>0</v>
      </c>
      <c r="P22" s="6"/>
      <c r="Q22" s="6"/>
    </row>
    <row r="23" s="21" customFormat="1" ht="20" customHeight="1" spans="1:17">
      <c r="A23" s="27">
        <v>46096</v>
      </c>
      <c r="B23" s="6">
        <v>12</v>
      </c>
      <c r="C23" s="28">
        <f ca="1">SUM(O23)/B23</f>
        <v>1.04166666666667</v>
      </c>
      <c r="D23" s="5" t="s">
        <v>105</v>
      </c>
      <c r="E23" s="5" t="s">
        <v>104</v>
      </c>
      <c r="F23" s="6">
        <v>2296.8</v>
      </c>
      <c r="G23" s="5" t="s">
        <v>22</v>
      </c>
      <c r="H23" s="6">
        <f ca="1" t="array" ref="H23">INDEX(成本核算表!J:J,MATCH(1,(成本核算表!D:D=E23)*(成本核算表!C:C=G23),0))</f>
        <v>600</v>
      </c>
      <c r="I23" s="6">
        <v>75</v>
      </c>
      <c r="J23" s="6">
        <f ca="1" t="shared" si="1"/>
        <v>45000</v>
      </c>
      <c r="K23" s="6"/>
      <c r="L23" s="6"/>
      <c r="M23" s="6"/>
      <c r="N23" s="6">
        <f ca="1" t="shared" si="2"/>
        <v>45000</v>
      </c>
      <c r="O23" s="6">
        <f ca="1" t="shared" si="3"/>
        <v>12.5</v>
      </c>
      <c r="P23" s="6"/>
      <c r="Q23" s="6"/>
    </row>
    <row r="24" s="21" customFormat="1" ht="20" customHeight="1" spans="1:17">
      <c r="A24" s="27">
        <v>46097</v>
      </c>
      <c r="B24" s="6">
        <v>12</v>
      </c>
      <c r="C24" s="28">
        <f ca="1">SUM(O24)/B24</f>
        <v>1.04166666666667</v>
      </c>
      <c r="D24" s="5" t="s">
        <v>105</v>
      </c>
      <c r="E24" s="5" t="s">
        <v>104</v>
      </c>
      <c r="F24" s="6">
        <v>2296.8</v>
      </c>
      <c r="G24" s="5" t="s">
        <v>22</v>
      </c>
      <c r="H24" s="6">
        <f ca="1" t="array" ref="H24">INDEX(成本核算表!J:J,MATCH(1,(成本核算表!D:D=E24)*(成本核算表!C:C=G24),0))</f>
        <v>600</v>
      </c>
      <c r="I24" s="6">
        <v>75</v>
      </c>
      <c r="J24" s="6">
        <f ca="1" t="shared" si="1"/>
        <v>45000</v>
      </c>
      <c r="K24" s="6"/>
      <c r="L24" s="6"/>
      <c r="M24" s="6"/>
      <c r="N24" s="6">
        <f ca="1" t="shared" si="2"/>
        <v>45000</v>
      </c>
      <c r="O24" s="6">
        <f ca="1" t="shared" si="3"/>
        <v>12.5</v>
      </c>
      <c r="P24" s="6"/>
      <c r="Q24" s="6"/>
    </row>
    <row r="25" s="21" customFormat="1" ht="20" customHeight="1" spans="1:17">
      <c r="A25" s="27">
        <v>46098</v>
      </c>
      <c r="B25" s="6">
        <v>12</v>
      </c>
      <c r="C25" s="28">
        <f ca="1" t="shared" ref="C25:C29" si="5">SUM(O25:O26)/B25</f>
        <v>0.902777777777778</v>
      </c>
      <c r="D25" s="5" t="s">
        <v>80</v>
      </c>
      <c r="E25" s="5" t="s">
        <v>78</v>
      </c>
      <c r="F25" s="6">
        <v>1960</v>
      </c>
      <c r="G25" s="5" t="s">
        <v>132</v>
      </c>
      <c r="H25" s="6">
        <f ca="1" t="array" ref="H25">INDEX(成本核算表!J:J,MATCH(1,(成本核算表!D:D=E25)*(成本核算表!C:C=G25),0))</f>
        <v>30</v>
      </c>
      <c r="I25" s="6">
        <v>500</v>
      </c>
      <c r="J25" s="6">
        <f ca="1" t="shared" si="1"/>
        <v>15000</v>
      </c>
      <c r="K25" s="6"/>
      <c r="L25" s="6">
        <v>14400</v>
      </c>
      <c r="M25" s="6"/>
      <c r="N25" s="6">
        <f ca="1" t="shared" si="2"/>
        <v>29400</v>
      </c>
      <c r="O25" s="6">
        <f ca="1" t="shared" si="3"/>
        <v>8.16666666666667</v>
      </c>
      <c r="P25" s="6"/>
      <c r="Q25" s="5" t="s">
        <v>133</v>
      </c>
    </row>
    <row r="26" s="21" customFormat="1" ht="20" customHeight="1" spans="1:17">
      <c r="A26" s="27">
        <v>46098</v>
      </c>
      <c r="B26" s="6"/>
      <c r="C26" s="28"/>
      <c r="D26" s="5" t="s">
        <v>77</v>
      </c>
      <c r="E26" s="5" t="s">
        <v>78</v>
      </c>
      <c r="F26" s="6">
        <v>1960</v>
      </c>
      <c r="G26" s="5" t="s">
        <v>132</v>
      </c>
      <c r="H26" s="6">
        <f ca="1" t="array" ref="H26">INDEX(成本核算表!J:J,MATCH(1,(成本核算表!D:D=E26)*(成本核算表!C:C=G26),0))</f>
        <v>30</v>
      </c>
      <c r="I26" s="6">
        <v>320</v>
      </c>
      <c r="J26" s="6">
        <f ca="1" t="shared" si="1"/>
        <v>9600</v>
      </c>
      <c r="K26" s="6"/>
      <c r="L26" s="6"/>
      <c r="M26" s="6"/>
      <c r="N26" s="6">
        <f ca="1" t="shared" si="2"/>
        <v>9600</v>
      </c>
      <c r="O26" s="6">
        <f ca="1" t="shared" si="3"/>
        <v>2.66666666666667</v>
      </c>
      <c r="P26" s="6"/>
      <c r="Q26" s="6"/>
    </row>
    <row r="27" s="21" customFormat="1" ht="20" customHeight="1" spans="1:17">
      <c r="A27" s="27">
        <v>46099</v>
      </c>
      <c r="B27" s="6">
        <v>12</v>
      </c>
      <c r="C27" s="28">
        <f ca="1" t="shared" si="5"/>
        <v>0.586805555555555</v>
      </c>
      <c r="D27" s="5" t="s">
        <v>83</v>
      </c>
      <c r="E27" s="5" t="s">
        <v>78</v>
      </c>
      <c r="F27" s="6">
        <v>780</v>
      </c>
      <c r="G27" s="5" t="s">
        <v>132</v>
      </c>
      <c r="H27" s="6">
        <f ca="1" t="array" ref="H27">INDEX(成本核算表!J:J,MATCH(1,(成本核算表!D:D=E27)*(成本核算表!C:C=G27),0))</f>
        <v>30</v>
      </c>
      <c r="I27" s="6">
        <v>505</v>
      </c>
      <c r="J27" s="6">
        <f ca="1" t="shared" si="1"/>
        <v>15150</v>
      </c>
      <c r="K27" s="6"/>
      <c r="L27" s="6">
        <v>7200</v>
      </c>
      <c r="M27" s="6"/>
      <c r="N27" s="6">
        <f ca="1" t="shared" si="2"/>
        <v>22350</v>
      </c>
      <c r="O27" s="6">
        <f ca="1" t="shared" si="3"/>
        <v>6.20833333333333</v>
      </c>
      <c r="P27" s="6"/>
      <c r="Q27" s="6"/>
    </row>
    <row r="28" s="21" customFormat="1" ht="20" customHeight="1" spans="1:17">
      <c r="A28" s="27">
        <v>46099</v>
      </c>
      <c r="B28" s="6"/>
      <c r="C28" s="28"/>
      <c r="D28" s="5" t="s">
        <v>35</v>
      </c>
      <c r="E28" s="5" t="s">
        <v>36</v>
      </c>
      <c r="F28" s="6">
        <v>119.5</v>
      </c>
      <c r="G28" s="6" t="s">
        <v>41</v>
      </c>
      <c r="H28" s="6">
        <f ca="1" t="array" ref="H28">INDEX(成本核算表!J:J,MATCH(1,(成本核算表!D:D=E28)*(成本核算表!C:C=G28),0))</f>
        <v>12</v>
      </c>
      <c r="I28" s="6">
        <v>250</v>
      </c>
      <c r="J28" s="6">
        <f ca="1" t="shared" si="1"/>
        <v>3000</v>
      </c>
      <c r="K28" s="6"/>
      <c r="L28" s="6"/>
      <c r="M28" s="6"/>
      <c r="N28" s="6">
        <f ca="1" t="shared" si="2"/>
        <v>3000</v>
      </c>
      <c r="O28" s="6">
        <f ca="1" t="shared" si="3"/>
        <v>0.833333333333333</v>
      </c>
      <c r="P28" s="6"/>
      <c r="Q28" s="6"/>
    </row>
    <row r="29" s="21" customFormat="1" ht="20" customHeight="1" spans="1:17">
      <c r="A29" s="27">
        <v>46100</v>
      </c>
      <c r="B29" s="6">
        <v>12</v>
      </c>
      <c r="C29" s="28">
        <f ca="1" t="shared" si="5"/>
        <v>1.01851851851852</v>
      </c>
      <c r="D29" s="5" t="s">
        <v>107</v>
      </c>
      <c r="E29" s="5" t="s">
        <v>108</v>
      </c>
      <c r="F29" s="6">
        <v>260</v>
      </c>
      <c r="G29" s="5" t="s">
        <v>24</v>
      </c>
      <c r="H29" s="6">
        <f ca="1" t="array" ref="H29">INDEX(成本核算表!J:J,MATCH(1,(成本核算表!D:D=E29)*(成本核算表!C:C=G29),0))</f>
        <v>50</v>
      </c>
      <c r="I29" s="6">
        <v>400</v>
      </c>
      <c r="J29" s="6">
        <f ca="1" t="shared" si="1"/>
        <v>20000</v>
      </c>
      <c r="K29" s="6"/>
      <c r="L29" s="6"/>
      <c r="M29" s="6"/>
      <c r="N29" s="6">
        <f ca="1" t="shared" si="2"/>
        <v>20000</v>
      </c>
      <c r="O29" s="6">
        <f ca="1" t="shared" si="3"/>
        <v>5.55555555555556</v>
      </c>
      <c r="P29" s="6"/>
      <c r="Q29" s="6"/>
    </row>
    <row r="30" s="21" customFormat="1" ht="20" customHeight="1" spans="1:17">
      <c r="A30" s="27">
        <v>46100</v>
      </c>
      <c r="B30" s="6"/>
      <c r="C30" s="28"/>
      <c r="D30" s="5" t="s">
        <v>107</v>
      </c>
      <c r="E30" s="5" t="s">
        <v>108</v>
      </c>
      <c r="F30" s="6">
        <v>260</v>
      </c>
      <c r="G30" s="5" t="s">
        <v>25</v>
      </c>
      <c r="H30" s="6">
        <f ca="1" t="array" ref="H30">INDEX(成本核算表!J:J,MATCH(1,(成本核算表!D:D=E30)*(成本核算表!C:C=G30),0))</f>
        <v>60</v>
      </c>
      <c r="I30" s="6">
        <v>400</v>
      </c>
      <c r="J30" s="6">
        <f ca="1" t="shared" si="1"/>
        <v>24000</v>
      </c>
      <c r="K30" s="6"/>
      <c r="L30" s="6"/>
      <c r="M30" s="6"/>
      <c r="N30" s="6">
        <f ca="1" t="shared" si="2"/>
        <v>24000</v>
      </c>
      <c r="O30" s="6">
        <f ca="1" t="shared" si="3"/>
        <v>6.66666666666667</v>
      </c>
      <c r="P30" s="6"/>
      <c r="Q30" s="6"/>
    </row>
    <row r="31" s="21" customFormat="1" ht="20" customHeight="1" spans="1:17">
      <c r="A31" s="27">
        <v>46101</v>
      </c>
      <c r="B31" s="6">
        <v>12</v>
      </c>
      <c r="C31" s="28">
        <f ca="1">SUM(O31)/B31</f>
        <v>0.992592592592593</v>
      </c>
      <c r="D31" s="5" t="s">
        <v>111</v>
      </c>
      <c r="E31" s="5" t="s">
        <v>134</v>
      </c>
      <c r="F31" s="6">
        <v>1447</v>
      </c>
      <c r="G31" s="5" t="s">
        <v>22</v>
      </c>
      <c r="H31" s="6">
        <f ca="1" t="array" ref="H31">INDEX(成本核算表!J:J,MATCH(1,(成本核算表!D:D=E31)*(成本核算表!C:C=G31),0))</f>
        <v>335</v>
      </c>
      <c r="I31" s="6">
        <v>130</v>
      </c>
      <c r="J31" s="6">
        <f ca="1" t="shared" si="1"/>
        <v>43550</v>
      </c>
      <c r="K31" s="6">
        <v>2</v>
      </c>
      <c r="L31" s="6"/>
      <c r="M31" s="6">
        <f ca="1">K31*H31</f>
        <v>670</v>
      </c>
      <c r="N31" s="6">
        <f ca="1" t="shared" si="2"/>
        <v>42880</v>
      </c>
      <c r="O31" s="6">
        <f ca="1" t="shared" si="3"/>
        <v>11.9111111111111</v>
      </c>
      <c r="P31" s="6"/>
      <c r="Q31" s="6"/>
    </row>
    <row r="32" s="21" customFormat="1" ht="20" customHeight="1" spans="1:17">
      <c r="A32" s="6"/>
      <c r="B32" s="6"/>
      <c r="C32" s="28"/>
      <c r="D32" s="6"/>
      <c r="E32" s="5"/>
      <c r="F32" s="6"/>
      <c r="G32" s="5"/>
      <c r="H32" s="6">
        <f ca="1" t="array" ref="H32">INDEX(成本核算表!J:J,MATCH(1,(成本核算表!D:D=E32)*(成本核算表!C:C=G32),0))</f>
        <v>0</v>
      </c>
      <c r="I32" s="6"/>
      <c r="J32" s="6">
        <f ca="1" t="shared" si="1"/>
        <v>0</v>
      </c>
      <c r="K32" s="6"/>
      <c r="L32" s="6"/>
      <c r="M32" s="6"/>
      <c r="N32" s="6">
        <f ca="1" t="shared" si="2"/>
        <v>0</v>
      </c>
      <c r="O32" s="6">
        <f ca="1" t="shared" si="3"/>
        <v>0</v>
      </c>
      <c r="P32" s="6"/>
      <c r="Q32" s="6"/>
    </row>
    <row r="33" s="21" customFormat="1" ht="20" customHeight="1" spans="1:17">
      <c r="A33" s="6"/>
      <c r="B33" s="6"/>
      <c r="C33" s="28"/>
      <c r="D33" s="6"/>
      <c r="E33" s="6"/>
      <c r="F33" s="6"/>
      <c r="G33" s="6"/>
      <c r="H33" s="6">
        <f ca="1" t="array" ref="H33">INDEX(成本核算表!J:J,MATCH(1,(成本核算表!D:D=E33)*(成本核算表!C:C=G33),0))</f>
        <v>0</v>
      </c>
      <c r="I33" s="6"/>
      <c r="J33" s="6">
        <f ca="1" t="shared" si="1"/>
        <v>0</v>
      </c>
      <c r="K33" s="6"/>
      <c r="L33" s="6"/>
      <c r="M33" s="6"/>
      <c r="N33" s="6">
        <f ca="1" t="shared" si="2"/>
        <v>0</v>
      </c>
      <c r="O33" s="6">
        <f ca="1" t="shared" si="3"/>
        <v>0</v>
      </c>
      <c r="P33" s="6"/>
      <c r="Q33" s="6"/>
    </row>
    <row r="34" s="21" customFormat="1" ht="20" customHeight="1" spans="1:17">
      <c r="A34" s="6"/>
      <c r="B34" s="6"/>
      <c r="C34" s="28"/>
      <c r="D34" s="6"/>
      <c r="E34" s="6"/>
      <c r="F34" s="6"/>
      <c r="G34" s="6"/>
      <c r="H34" s="6">
        <f ca="1" t="array" ref="H34">INDEX(成本核算表!J:J,MATCH(1,(成本核算表!D:D=E34)*(成本核算表!C:C=G34),0))</f>
        <v>0</v>
      </c>
      <c r="I34" s="6"/>
      <c r="J34" s="6">
        <f ca="1" t="shared" si="1"/>
        <v>0</v>
      </c>
      <c r="K34" s="6"/>
      <c r="L34" s="6"/>
      <c r="M34" s="6"/>
      <c r="N34" s="6">
        <f ca="1" t="shared" si="2"/>
        <v>0</v>
      </c>
      <c r="O34" s="6">
        <f ca="1" t="shared" si="3"/>
        <v>0</v>
      </c>
      <c r="P34" s="6"/>
      <c r="Q34" s="6"/>
    </row>
    <row r="35" s="21" customFormat="1" ht="20" customHeight="1" spans="1:17">
      <c r="A35" s="6"/>
      <c r="B35" s="6"/>
      <c r="C35" s="28"/>
      <c r="D35" s="6"/>
      <c r="E35" s="6"/>
      <c r="F35" s="6"/>
      <c r="G35" s="6"/>
      <c r="H35" s="6">
        <f ca="1" t="array" ref="H35">INDEX(成本核算表!J:J,MATCH(1,(成本核算表!D:D=E35)*(成本核算表!C:C=G35),0))</f>
        <v>0</v>
      </c>
      <c r="I35" s="6"/>
      <c r="J35" s="6">
        <f ca="1" t="shared" si="1"/>
        <v>0</v>
      </c>
      <c r="K35" s="6"/>
      <c r="L35" s="6"/>
      <c r="M35" s="6"/>
      <c r="N35" s="6">
        <f ca="1" t="shared" si="2"/>
        <v>0</v>
      </c>
      <c r="O35" s="6">
        <f ca="1" t="shared" si="3"/>
        <v>0</v>
      </c>
      <c r="P35" s="6"/>
      <c r="Q35" s="6"/>
    </row>
    <row r="36" s="21" customFormat="1" ht="20" customHeight="1" spans="1:17">
      <c r="A36" s="6"/>
      <c r="B36" s="6"/>
      <c r="C36" s="28"/>
      <c r="D36" s="6"/>
      <c r="E36" s="6"/>
      <c r="F36" s="6"/>
      <c r="G36" s="6"/>
      <c r="H36" s="6">
        <f ca="1" t="array" ref="H36">INDEX(成本核算表!J:J,MATCH(1,(成本核算表!D:D=E36)*(成本核算表!C:C=G36),0))</f>
        <v>0</v>
      </c>
      <c r="I36" s="6"/>
      <c r="J36" s="6">
        <f ca="1" t="shared" si="1"/>
        <v>0</v>
      </c>
      <c r="K36" s="6"/>
      <c r="L36" s="6"/>
      <c r="M36" s="6"/>
      <c r="N36" s="6">
        <f ca="1" t="shared" si="2"/>
        <v>0</v>
      </c>
      <c r="O36" s="6">
        <f ca="1" t="shared" si="3"/>
        <v>0</v>
      </c>
      <c r="P36" s="6"/>
      <c r="Q36" s="6"/>
    </row>
    <row r="37" s="21" customFormat="1" ht="20" customHeight="1" spans="1:17">
      <c r="A37" s="6"/>
      <c r="B37" s="6"/>
      <c r="C37" s="28"/>
      <c r="D37" s="6"/>
      <c r="E37" s="6"/>
      <c r="F37" s="6"/>
      <c r="G37" s="6"/>
      <c r="H37" s="6">
        <f ca="1" t="array" ref="H37">INDEX(成本核算表!J:J,MATCH(1,(成本核算表!D:D=E37)*(成本核算表!C:C=G37),0))</f>
        <v>0</v>
      </c>
      <c r="I37" s="6"/>
      <c r="J37" s="6">
        <f ca="1" t="shared" si="1"/>
        <v>0</v>
      </c>
      <c r="K37" s="6"/>
      <c r="L37" s="6"/>
      <c r="M37" s="6"/>
      <c r="N37" s="6">
        <f ca="1" t="shared" si="2"/>
        <v>0</v>
      </c>
      <c r="O37" s="6">
        <f ca="1" t="shared" si="3"/>
        <v>0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1"/>
        <v>0</v>
      </c>
      <c r="K38" s="6"/>
      <c r="L38" s="6"/>
      <c r="M38" s="6"/>
      <c r="N38" s="6">
        <f ca="1" t="shared" si="2"/>
        <v>0</v>
      </c>
      <c r="O38" s="6">
        <f ca="1" t="shared" si="3"/>
        <v>0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1"/>
        <v>0</v>
      </c>
      <c r="K39" s="6"/>
      <c r="L39" s="6"/>
      <c r="M39" s="6"/>
      <c r="N39" s="6">
        <f ca="1" t="shared" si="2"/>
        <v>0</v>
      </c>
      <c r="O39" s="6">
        <f ca="1" t="shared" si="3"/>
        <v>0</v>
      </c>
      <c r="P39" s="6"/>
      <c r="Q39" s="6"/>
    </row>
    <row r="40" s="21" customFormat="1" ht="20" customHeight="1" spans="1:17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6"/>
      <c r="J40" s="6">
        <f ca="1" t="shared" si="1"/>
        <v>0</v>
      </c>
      <c r="K40" s="6"/>
      <c r="L40" s="6"/>
      <c r="M40" s="6"/>
      <c r="N40" s="6">
        <f ca="1" t="shared" si="2"/>
        <v>0</v>
      </c>
      <c r="O40" s="6">
        <f ca="1" t="shared" si="3"/>
        <v>0</v>
      </c>
      <c r="P40" s="6"/>
      <c r="Q40" s="6"/>
    </row>
    <row r="41" s="21" customFormat="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1"/>
        <v>0</v>
      </c>
      <c r="K41" s="6"/>
      <c r="L41" s="6"/>
      <c r="M41" s="6"/>
      <c r="N41" s="6">
        <f ca="1" t="shared" si="2"/>
        <v>0</v>
      </c>
      <c r="O41" s="6">
        <f ca="1" t="shared" si="3"/>
        <v>0</v>
      </c>
      <c r="P41" s="6"/>
      <c r="Q41" s="6"/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1"/>
        <v>0</v>
      </c>
      <c r="K42" s="23"/>
      <c r="L42" s="23"/>
      <c r="N42" s="6">
        <f ca="1" t="shared" si="2"/>
        <v>0</v>
      </c>
      <c r="O42" s="6">
        <f ca="1" t="shared" si="3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1"/>
        <v>0</v>
      </c>
      <c r="K43" s="23"/>
      <c r="L43" s="23"/>
      <c r="N43" s="6">
        <f ca="1" t="shared" si="2"/>
        <v>0</v>
      </c>
      <c r="O43" s="6">
        <f ca="1" t="shared" si="3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1"/>
        <v>0</v>
      </c>
      <c r="K44" s="23"/>
      <c r="L44" s="23"/>
      <c r="N44" s="6">
        <f ca="1" t="shared" si="2"/>
        <v>0</v>
      </c>
      <c r="O44" s="6">
        <f ca="1" t="shared" si="3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1"/>
        <v>0</v>
      </c>
      <c r="K45" s="23"/>
      <c r="L45" s="23"/>
      <c r="N45" s="6">
        <f ca="1" t="shared" si="2"/>
        <v>0</v>
      </c>
      <c r="O45" s="6">
        <f ca="1" t="shared" si="3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1"/>
        <v>0</v>
      </c>
      <c r="K46" s="23"/>
      <c r="L46" s="23"/>
      <c r="N46" s="6">
        <f ca="1" t="shared" si="2"/>
        <v>0</v>
      </c>
      <c r="O46" s="6">
        <f ca="1" t="shared" si="3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1"/>
        <v>0</v>
      </c>
      <c r="K47" s="23"/>
      <c r="L47" s="23"/>
      <c r="N47" s="6">
        <f ca="1" t="shared" si="2"/>
        <v>0</v>
      </c>
      <c r="O47" s="6">
        <f ca="1" t="shared" si="3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1"/>
        <v>0</v>
      </c>
      <c r="K48" s="23"/>
      <c r="L48" s="23"/>
      <c r="N48" s="6">
        <f ca="1" t="shared" si="2"/>
        <v>0</v>
      </c>
      <c r="O48" s="6">
        <f ca="1" t="shared" si="3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1"/>
        <v>0</v>
      </c>
      <c r="K49" s="23"/>
      <c r="L49" s="23"/>
      <c r="N49" s="6">
        <f ca="1" t="shared" si="2"/>
        <v>0</v>
      </c>
      <c r="O49" s="6">
        <f ca="1" t="shared" si="3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1"/>
        <v>0</v>
      </c>
      <c r="K50" s="23"/>
      <c r="L50" s="23"/>
      <c r="N50" s="6">
        <f ca="1" t="shared" si="2"/>
        <v>0</v>
      </c>
      <c r="O50" s="6">
        <f ca="1" t="shared" si="3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1"/>
        <v>0</v>
      </c>
      <c r="K51" s="23"/>
      <c r="L51" s="23"/>
      <c r="N51" s="6">
        <f ca="1" t="shared" si="2"/>
        <v>0</v>
      </c>
      <c r="O51" s="6">
        <f ca="1" t="shared" si="3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1"/>
        <v>0</v>
      </c>
      <c r="K52" s="23"/>
      <c r="L52" s="23"/>
      <c r="N52" s="6">
        <f ca="1" t="shared" si="2"/>
        <v>0</v>
      </c>
      <c r="O52" s="6">
        <f ca="1" t="shared" si="3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1"/>
        <v>0</v>
      </c>
      <c r="K53" s="23"/>
      <c r="L53" s="23"/>
      <c r="N53" s="6">
        <f ca="1" t="shared" si="2"/>
        <v>0</v>
      </c>
      <c r="O53" s="6">
        <f ca="1" t="shared" si="3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1"/>
        <v>0</v>
      </c>
      <c r="K54" s="23"/>
      <c r="L54" s="23"/>
      <c r="N54" s="6">
        <f ca="1" t="shared" si="2"/>
        <v>0</v>
      </c>
      <c r="O54" s="6">
        <f ca="1" t="shared" si="3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1"/>
        <v>0</v>
      </c>
      <c r="K55" s="23"/>
      <c r="L55" s="23"/>
      <c r="N55" s="6">
        <f ca="1" t="shared" si="2"/>
        <v>0</v>
      </c>
      <c r="O55" s="6">
        <f ca="1" t="shared" si="3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1"/>
        <v>0</v>
      </c>
      <c r="K56" s="23"/>
      <c r="L56" s="23"/>
      <c r="N56" s="6">
        <f ca="1" t="shared" si="2"/>
        <v>0</v>
      </c>
      <c r="O56" s="6">
        <f ca="1" t="shared" si="3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1"/>
        <v>0</v>
      </c>
      <c r="K57" s="23"/>
      <c r="L57" s="23"/>
      <c r="N57" s="6">
        <f ca="1" t="shared" si="2"/>
        <v>0</v>
      </c>
      <c r="O57" s="6">
        <f ca="1" t="shared" si="3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1"/>
        <v>0</v>
      </c>
      <c r="K58" s="23"/>
      <c r="L58" s="23"/>
      <c r="N58" s="6">
        <f ca="1" t="shared" si="2"/>
        <v>0</v>
      </c>
      <c r="O58" s="6">
        <f ca="1" t="shared" si="3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1"/>
        <v>0</v>
      </c>
      <c r="K59" s="23"/>
      <c r="L59" s="23"/>
      <c r="N59" s="6">
        <f ca="1" t="shared" si="2"/>
        <v>0</v>
      </c>
      <c r="O59" s="6">
        <f ca="1" t="shared" si="3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1"/>
        <v>0</v>
      </c>
      <c r="K60" s="23"/>
      <c r="L60" s="23"/>
      <c r="N60" s="6">
        <f ca="1" t="shared" si="2"/>
        <v>0</v>
      </c>
      <c r="O60" s="6">
        <f ca="1" t="shared" si="3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1"/>
        <v>0</v>
      </c>
      <c r="K61" s="23"/>
      <c r="L61" s="23"/>
      <c r="N61" s="6">
        <f ca="1" t="shared" si="2"/>
        <v>0</v>
      </c>
      <c r="O61" s="6">
        <f ca="1" t="shared" si="3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1"/>
        <v>0</v>
      </c>
      <c r="K62" s="23"/>
      <c r="L62" s="23"/>
      <c r="N62" s="6">
        <f ca="1" t="shared" si="2"/>
        <v>0</v>
      </c>
      <c r="O62" s="6">
        <f ca="1" t="shared" si="3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1"/>
        <v>0</v>
      </c>
      <c r="K63" s="23"/>
      <c r="L63" s="23"/>
      <c r="N63" s="6">
        <f ca="1" t="shared" si="2"/>
        <v>0</v>
      </c>
      <c r="O63" s="6">
        <f ca="1" t="shared" si="3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1"/>
        <v>0</v>
      </c>
      <c r="K64" s="23"/>
      <c r="L64" s="23"/>
      <c r="N64" s="6">
        <f ca="1" t="shared" si="2"/>
        <v>0</v>
      </c>
      <c r="O64" s="6">
        <f ca="1" t="shared" si="3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1"/>
        <v>0</v>
      </c>
      <c r="K65" s="23"/>
      <c r="L65" s="23"/>
      <c r="N65" s="6">
        <f ca="1" t="shared" si="2"/>
        <v>0</v>
      </c>
      <c r="O65" s="6">
        <f ca="1" t="shared" si="3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101" si="6">H66*I66</f>
        <v>0</v>
      </c>
      <c r="K66" s="23"/>
      <c r="L66" s="23"/>
      <c r="N66" s="6">
        <f ca="1" t="shared" ref="N66:N101" si="7">J66-M66+L66</f>
        <v>0</v>
      </c>
      <c r="O66" s="6">
        <f ca="1" t="shared" ref="O66:O101" si="8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6"/>
        <v>0</v>
      </c>
      <c r="K67" s="23"/>
      <c r="L67" s="23"/>
      <c r="N67" s="6">
        <f ca="1" t="shared" si="7"/>
        <v>0</v>
      </c>
      <c r="O67" s="6">
        <f ca="1" t="shared" si="8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6"/>
        <v>0</v>
      </c>
      <c r="K68" s="23"/>
      <c r="L68" s="23"/>
      <c r="N68" s="6">
        <f ca="1" t="shared" si="7"/>
        <v>0</v>
      </c>
      <c r="O68" s="6">
        <f ca="1" t="shared" si="8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6"/>
        <v>0</v>
      </c>
      <c r="K69" s="23"/>
      <c r="L69" s="23"/>
      <c r="N69" s="6">
        <f ca="1" t="shared" si="7"/>
        <v>0</v>
      </c>
      <c r="O69" s="6">
        <f ca="1" t="shared" si="8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6"/>
        <v>0</v>
      </c>
      <c r="K70" s="23"/>
      <c r="L70" s="23"/>
      <c r="N70" s="6">
        <f ca="1" t="shared" si="7"/>
        <v>0</v>
      </c>
      <c r="O70" s="6">
        <f ca="1" t="shared" si="8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6"/>
        <v>0</v>
      </c>
      <c r="K71" s="23"/>
      <c r="L71" s="23"/>
      <c r="N71" s="6">
        <f ca="1" t="shared" si="7"/>
        <v>0</v>
      </c>
      <c r="O71" s="6">
        <f ca="1" t="shared" si="8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6"/>
        <v>0</v>
      </c>
      <c r="K72" s="23"/>
      <c r="L72" s="23"/>
      <c r="N72" s="6">
        <f ca="1" t="shared" si="7"/>
        <v>0</v>
      </c>
      <c r="O72" s="6">
        <f ca="1" t="shared" si="8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6"/>
        <v>0</v>
      </c>
      <c r="K73" s="23"/>
      <c r="L73" s="23"/>
      <c r="N73" s="6">
        <f ca="1" t="shared" si="7"/>
        <v>0</v>
      </c>
      <c r="O73" s="6">
        <f ca="1" t="shared" si="8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6"/>
        <v>0</v>
      </c>
      <c r="K74" s="23"/>
      <c r="L74" s="23"/>
      <c r="N74" s="6">
        <f ca="1" t="shared" si="7"/>
        <v>0</v>
      </c>
      <c r="O74" s="6">
        <f ca="1" t="shared" si="8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6"/>
        <v>0</v>
      </c>
      <c r="K75" s="23"/>
      <c r="L75" s="23"/>
      <c r="N75" s="6">
        <f ca="1" t="shared" si="7"/>
        <v>0</v>
      </c>
      <c r="O75" s="6">
        <f ca="1" t="shared" si="8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6"/>
        <v>0</v>
      </c>
      <c r="K76" s="23"/>
      <c r="L76" s="23"/>
      <c r="N76" s="6">
        <f ca="1" t="shared" si="7"/>
        <v>0</v>
      </c>
      <c r="O76" s="6">
        <f ca="1" t="shared" si="8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6"/>
        <v>0</v>
      </c>
      <c r="K77" s="23"/>
      <c r="L77" s="23"/>
      <c r="N77" s="6">
        <f ca="1" t="shared" si="7"/>
        <v>0</v>
      </c>
      <c r="O77" s="6">
        <f ca="1" t="shared" si="8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6"/>
        <v>0</v>
      </c>
      <c r="K78" s="23"/>
      <c r="L78" s="23"/>
      <c r="N78" s="6">
        <f ca="1" t="shared" si="7"/>
        <v>0</v>
      </c>
      <c r="O78" s="6">
        <f ca="1" t="shared" si="8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6"/>
        <v>0</v>
      </c>
      <c r="K79" s="23"/>
      <c r="L79" s="23"/>
      <c r="N79" s="6">
        <f ca="1" t="shared" si="7"/>
        <v>0</v>
      </c>
      <c r="O79" s="6">
        <f ca="1" t="shared" si="8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6"/>
        <v>0</v>
      </c>
      <c r="K80" s="23"/>
      <c r="L80" s="23"/>
      <c r="N80" s="6">
        <f ca="1" t="shared" si="7"/>
        <v>0</v>
      </c>
      <c r="O80" s="6">
        <f ca="1" t="shared" si="8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6"/>
        <v>0</v>
      </c>
      <c r="K81" s="23"/>
      <c r="L81" s="23"/>
      <c r="N81" s="6">
        <f ca="1" t="shared" si="7"/>
        <v>0</v>
      </c>
      <c r="O81" s="6">
        <f ca="1" t="shared" si="8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6"/>
        <v>0</v>
      </c>
      <c r="K82" s="23"/>
      <c r="L82" s="23"/>
      <c r="N82" s="6">
        <f ca="1" t="shared" si="7"/>
        <v>0</v>
      </c>
      <c r="O82" s="6">
        <f ca="1" t="shared" si="8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6"/>
        <v>0</v>
      </c>
      <c r="K83" s="23"/>
      <c r="L83" s="23"/>
      <c r="N83" s="6">
        <f ca="1" t="shared" si="7"/>
        <v>0</v>
      </c>
      <c r="O83" s="6">
        <f ca="1" t="shared" si="8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6"/>
        <v>0</v>
      </c>
      <c r="K84" s="23"/>
      <c r="L84" s="23"/>
      <c r="N84" s="6">
        <f ca="1" t="shared" si="7"/>
        <v>0</v>
      </c>
      <c r="O84" s="6">
        <f ca="1" t="shared" si="8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6"/>
        <v>0</v>
      </c>
      <c r="K85" s="23"/>
      <c r="L85" s="23"/>
      <c r="N85" s="6">
        <f ca="1" t="shared" si="7"/>
        <v>0</v>
      </c>
      <c r="O85" s="6">
        <f ca="1" t="shared" si="8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6"/>
        <v>0</v>
      </c>
      <c r="K86" s="23"/>
      <c r="L86" s="23"/>
      <c r="N86" s="6">
        <f ca="1" t="shared" si="7"/>
        <v>0</v>
      </c>
      <c r="O86" s="6">
        <f ca="1" t="shared" si="8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6"/>
        <v>0</v>
      </c>
      <c r="K87" s="23"/>
      <c r="L87" s="23"/>
      <c r="N87" s="6">
        <f ca="1" t="shared" si="7"/>
        <v>0</v>
      </c>
      <c r="O87" s="6">
        <f ca="1" t="shared" si="8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6"/>
        <v>0</v>
      </c>
      <c r="K88" s="23"/>
      <c r="L88" s="23"/>
      <c r="N88" s="6">
        <f ca="1" t="shared" si="7"/>
        <v>0</v>
      </c>
      <c r="O88" s="6">
        <f ca="1" t="shared" si="8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6"/>
        <v>0</v>
      </c>
      <c r="K89" s="23"/>
      <c r="L89" s="23"/>
      <c r="N89" s="6">
        <f ca="1" t="shared" si="7"/>
        <v>0</v>
      </c>
      <c r="O89" s="6">
        <f ca="1" t="shared" si="8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6"/>
        <v>0</v>
      </c>
      <c r="K90" s="23"/>
      <c r="L90" s="23"/>
      <c r="N90" s="6">
        <f ca="1" t="shared" si="7"/>
        <v>0</v>
      </c>
      <c r="O90" s="6">
        <f ca="1" t="shared" si="8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6"/>
        <v>0</v>
      </c>
      <c r="K91" s="23"/>
      <c r="L91" s="23"/>
      <c r="N91" s="6">
        <f ca="1" t="shared" si="7"/>
        <v>0</v>
      </c>
      <c r="O91" s="6">
        <f ca="1" t="shared" si="8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6"/>
        <v>0</v>
      </c>
      <c r="K92" s="23"/>
      <c r="L92" s="23"/>
      <c r="N92" s="6">
        <f ca="1" t="shared" si="7"/>
        <v>0</v>
      </c>
      <c r="O92" s="6">
        <f ca="1" t="shared" si="8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6"/>
        <v>0</v>
      </c>
      <c r="K93" s="23"/>
      <c r="L93" s="23"/>
      <c r="N93" s="6">
        <f ca="1" t="shared" si="7"/>
        <v>0</v>
      </c>
      <c r="O93" s="6">
        <f ca="1" t="shared" si="8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6"/>
        <v>0</v>
      </c>
      <c r="K94" s="23"/>
      <c r="L94" s="23"/>
      <c r="N94" s="6">
        <f ca="1" t="shared" si="7"/>
        <v>0</v>
      </c>
      <c r="O94" s="6">
        <f ca="1" t="shared" si="8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6"/>
        <v>0</v>
      </c>
      <c r="K95" s="23"/>
      <c r="L95" s="23"/>
      <c r="N95" s="6">
        <f ca="1" t="shared" si="7"/>
        <v>0</v>
      </c>
      <c r="O95" s="6">
        <f ca="1" t="shared" si="8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6"/>
        <v>0</v>
      </c>
      <c r="K96" s="23"/>
      <c r="L96" s="23"/>
      <c r="N96" s="6">
        <f ca="1" t="shared" si="7"/>
        <v>0</v>
      </c>
      <c r="O96" s="6">
        <f ca="1" t="shared" si="8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6"/>
        <v>0</v>
      </c>
      <c r="K97" s="23"/>
      <c r="L97" s="23"/>
      <c r="N97" s="6">
        <f ca="1" t="shared" si="7"/>
        <v>0</v>
      </c>
      <c r="O97" s="6">
        <f ca="1" t="shared" si="8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6"/>
        <v>0</v>
      </c>
      <c r="K98" s="23"/>
      <c r="L98" s="23"/>
      <c r="N98" s="6">
        <f ca="1" t="shared" si="7"/>
        <v>0</v>
      </c>
      <c r="O98" s="6">
        <f ca="1" t="shared" si="8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6"/>
        <v>0</v>
      </c>
      <c r="K99" s="23"/>
      <c r="L99" s="23"/>
      <c r="N99" s="6">
        <f ca="1" t="shared" si="7"/>
        <v>0</v>
      </c>
      <c r="O99" s="6">
        <f ca="1" t="shared" si="8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6"/>
        <v>0</v>
      </c>
      <c r="K100" s="23"/>
      <c r="L100" s="23"/>
      <c r="N100" s="6">
        <f ca="1" t="shared" si="7"/>
        <v>0</v>
      </c>
      <c r="O100" s="6">
        <f ca="1" t="shared" si="8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6"/>
        <v>0</v>
      </c>
      <c r="K101" s="23"/>
      <c r="L101" s="23"/>
      <c r="N101" s="6">
        <f ca="1" t="shared" si="7"/>
        <v>0</v>
      </c>
      <c r="O101" s="6">
        <f ca="1" t="shared" si="8"/>
        <v>0</v>
      </c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  <row r="180" s="21" customFormat="1" customHeight="1" spans="1:12">
      <c r="A180" s="22"/>
      <c r="B180" s="23"/>
      <c r="C180" s="24"/>
      <c r="D180" s="23"/>
      <c r="E180" s="23"/>
      <c r="F180" s="23"/>
      <c r="G180" s="23"/>
      <c r="H180" s="25"/>
      <c r="I180" s="25"/>
      <c r="J180" s="23"/>
      <c r="K180" s="23"/>
      <c r="L180" s="23"/>
    </row>
    <row r="181" s="21" customFormat="1" customHeight="1" spans="1:12">
      <c r="A181" s="22"/>
      <c r="B181" s="23"/>
      <c r="C181" s="24"/>
      <c r="D181" s="23"/>
      <c r="E181" s="23"/>
      <c r="F181" s="23"/>
      <c r="G181" s="23"/>
      <c r="H181" s="25"/>
      <c r="I181" s="25"/>
      <c r="J181" s="23"/>
      <c r="K181" s="23"/>
      <c r="L181" s="23"/>
    </row>
    <row r="182" s="21" customFormat="1" customHeight="1" spans="1:12">
      <c r="A182" s="22"/>
      <c r="B182" s="23"/>
      <c r="C182" s="24"/>
      <c r="D182" s="23"/>
      <c r="E182" s="23"/>
      <c r="F182" s="23"/>
      <c r="G182" s="23"/>
      <c r="H182" s="25"/>
      <c r="I182" s="25"/>
      <c r="J182" s="23"/>
      <c r="K182" s="23"/>
      <c r="L182" s="23"/>
    </row>
    <row r="183" s="21" customFormat="1" customHeight="1" spans="1:12">
      <c r="A183" s="22"/>
      <c r="B183" s="23"/>
      <c r="C183" s="24"/>
      <c r="D183" s="23"/>
      <c r="E183" s="23"/>
      <c r="F183" s="23"/>
      <c r="G183" s="23"/>
      <c r="H183" s="25"/>
      <c r="I183" s="25"/>
      <c r="J183" s="23"/>
      <c r="K183" s="23"/>
      <c r="L183" s="23"/>
    </row>
    <row r="184" s="21" customFormat="1" customHeight="1" spans="1:12">
      <c r="A184" s="22"/>
      <c r="B184" s="23"/>
      <c r="C184" s="24"/>
      <c r="D184" s="23"/>
      <c r="E184" s="23"/>
      <c r="F184" s="23"/>
      <c r="G184" s="23"/>
      <c r="H184" s="25"/>
      <c r="I184" s="25"/>
      <c r="J184" s="23"/>
      <c r="K184" s="23"/>
      <c r="L184" s="23"/>
    </row>
    <row r="185" s="21" customFormat="1" customHeight="1" spans="1:12">
      <c r="A185" s="22"/>
      <c r="B185" s="23"/>
      <c r="C185" s="24"/>
      <c r="D185" s="23"/>
      <c r="E185" s="23"/>
      <c r="F185" s="23"/>
      <c r="G185" s="23"/>
      <c r="H185" s="25"/>
      <c r="I185" s="25"/>
      <c r="J185" s="23"/>
      <c r="K185" s="23"/>
      <c r="L185" s="23"/>
    </row>
    <row r="186" s="21" customFormat="1" customHeight="1" spans="1:12">
      <c r="A186" s="22"/>
      <c r="B186" s="23"/>
      <c r="C186" s="24"/>
      <c r="D186" s="23"/>
      <c r="E186" s="23"/>
      <c r="F186" s="23"/>
      <c r="G186" s="23"/>
      <c r="H186" s="25"/>
      <c r="I186" s="25"/>
      <c r="J186" s="23"/>
      <c r="K186" s="23"/>
      <c r="L186" s="23"/>
    </row>
    <row r="187" s="21" customFormat="1" customHeight="1" spans="1:12">
      <c r="A187" s="22"/>
      <c r="B187" s="23"/>
      <c r="C187" s="24"/>
      <c r="D187" s="23"/>
      <c r="E187" s="23"/>
      <c r="F187" s="23"/>
      <c r="G187" s="23"/>
      <c r="H187" s="25"/>
      <c r="I187" s="25"/>
      <c r="J187" s="23"/>
      <c r="K187" s="23"/>
      <c r="L187" s="23"/>
    </row>
    <row r="188" s="21" customFormat="1" customHeight="1" spans="1:12">
      <c r="A188" s="22"/>
      <c r="B188" s="23"/>
      <c r="C188" s="24"/>
      <c r="D188" s="23"/>
      <c r="E188" s="23"/>
      <c r="F188" s="23"/>
      <c r="G188" s="23"/>
      <c r="H188" s="25"/>
      <c r="I188" s="25"/>
      <c r="J188" s="23"/>
      <c r="K188" s="23"/>
      <c r="L188" s="23"/>
    </row>
    <row r="189" s="21" customFormat="1" customHeight="1" spans="1:12">
      <c r="A189" s="22"/>
      <c r="B189" s="23"/>
      <c r="C189" s="24"/>
      <c r="D189" s="23"/>
      <c r="E189" s="23"/>
      <c r="F189" s="23"/>
      <c r="G189" s="23"/>
      <c r="H189" s="25"/>
      <c r="I189" s="25"/>
      <c r="J189" s="23"/>
      <c r="K189" s="23"/>
      <c r="L189" s="23"/>
    </row>
    <row r="190" s="21" customFormat="1" customHeight="1" spans="1:12">
      <c r="A190" s="22"/>
      <c r="B190" s="23"/>
      <c r="C190" s="24"/>
      <c r="D190" s="23"/>
      <c r="E190" s="23"/>
      <c r="F190" s="23"/>
      <c r="G190" s="23"/>
      <c r="H190" s="25"/>
      <c r="I190" s="25"/>
      <c r="J190" s="23"/>
      <c r="K190" s="23"/>
      <c r="L190" s="23"/>
    </row>
    <row r="191" s="21" customFormat="1" customHeight="1" spans="1:12">
      <c r="A191" s="22"/>
      <c r="B191" s="23"/>
      <c r="C191" s="24"/>
      <c r="D191" s="23"/>
      <c r="E191" s="23"/>
      <c r="F191" s="23"/>
      <c r="G191" s="23"/>
      <c r="H191" s="25"/>
      <c r="I191" s="25"/>
      <c r="J191" s="23"/>
      <c r="K191" s="23"/>
      <c r="L191" s="23"/>
    </row>
    <row r="192" s="21" customFormat="1" customHeight="1" spans="1:12">
      <c r="A192" s="22"/>
      <c r="B192" s="23"/>
      <c r="C192" s="24"/>
      <c r="D192" s="23"/>
      <c r="E192" s="23"/>
      <c r="F192" s="23"/>
      <c r="G192" s="23"/>
      <c r="H192" s="25"/>
      <c r="I192" s="25"/>
      <c r="J192" s="23"/>
      <c r="K192" s="23"/>
      <c r="L192" s="23"/>
    </row>
    <row r="193" s="21" customFormat="1" customHeight="1" spans="1:12">
      <c r="A193" s="22"/>
      <c r="B193" s="23"/>
      <c r="C193" s="24"/>
      <c r="D193" s="23"/>
      <c r="E193" s="23"/>
      <c r="F193" s="23"/>
      <c r="G193" s="23"/>
      <c r="H193" s="25"/>
      <c r="I193" s="25"/>
      <c r="J193" s="23"/>
      <c r="K193" s="23"/>
      <c r="L193" s="23"/>
    </row>
    <row r="194" s="21" customFormat="1" customHeight="1" spans="1:12">
      <c r="A194" s="22"/>
      <c r="B194" s="23"/>
      <c r="C194" s="24"/>
      <c r="D194" s="23"/>
      <c r="E194" s="23"/>
      <c r="F194" s="23"/>
      <c r="G194" s="23"/>
      <c r="H194" s="25"/>
      <c r="I194" s="25"/>
      <c r="J194" s="23"/>
      <c r="K194" s="23"/>
      <c r="L194" s="23"/>
    </row>
    <row r="195" s="21" customFormat="1" customHeight="1" spans="1:12">
      <c r="A195" s="22"/>
      <c r="B195" s="23"/>
      <c r="C195" s="24"/>
      <c r="D195" s="23"/>
      <c r="E195" s="23"/>
      <c r="F195" s="23"/>
      <c r="G195" s="23"/>
      <c r="H195" s="25"/>
      <c r="I195" s="25"/>
      <c r="J195" s="23"/>
      <c r="K195" s="23"/>
      <c r="L195" s="23"/>
    </row>
    <row r="196" s="21" customFormat="1" customHeight="1" spans="1:12">
      <c r="A196" s="22"/>
      <c r="B196" s="23"/>
      <c r="C196" s="24"/>
      <c r="D196" s="23"/>
      <c r="E196" s="23"/>
      <c r="F196" s="23"/>
      <c r="G196" s="23"/>
      <c r="H196" s="25"/>
      <c r="I196" s="25"/>
      <c r="J196" s="23"/>
      <c r="K196" s="23"/>
      <c r="L196" s="23"/>
    </row>
    <row r="197" s="21" customFormat="1" customHeight="1" spans="1:12">
      <c r="A197" s="22"/>
      <c r="B197" s="23"/>
      <c r="C197" s="24"/>
      <c r="D197" s="23"/>
      <c r="E197" s="23"/>
      <c r="F197" s="23"/>
      <c r="G197" s="23"/>
      <c r="H197" s="25"/>
      <c r="I197" s="25"/>
      <c r="J197" s="23"/>
      <c r="K197" s="23"/>
      <c r="L197" s="23"/>
    </row>
    <row r="198" s="21" customFormat="1" customHeight="1" spans="1:12">
      <c r="A198" s="22"/>
      <c r="B198" s="23"/>
      <c r="C198" s="24"/>
      <c r="D198" s="23"/>
      <c r="E198" s="23"/>
      <c r="F198" s="23"/>
      <c r="G198" s="23"/>
      <c r="H198" s="25"/>
      <c r="I198" s="25"/>
      <c r="J198" s="23"/>
      <c r="K198" s="23"/>
      <c r="L198" s="23"/>
    </row>
    <row r="199" s="21" customFormat="1" customHeight="1" spans="1:12">
      <c r="A199" s="22"/>
      <c r="B199" s="23"/>
      <c r="C199" s="24"/>
      <c r="D199" s="23"/>
      <c r="E199" s="23"/>
      <c r="F199" s="23"/>
      <c r="G199" s="23"/>
      <c r="H199" s="25"/>
      <c r="I199" s="25"/>
      <c r="J199" s="23"/>
      <c r="K199" s="23"/>
      <c r="L199" s="23"/>
    </row>
    <row r="291" s="21" customFormat="1" customHeight="1" spans="1:12">
      <c r="A291" s="22"/>
      <c r="B291" s="23"/>
      <c r="C291" s="24"/>
      <c r="D291" s="23"/>
      <c r="E291" s="23"/>
      <c r="F291" s="23"/>
      <c r="G291" s="23"/>
      <c r="H291" s="25"/>
      <c r="I291" s="25"/>
      <c r="J291" s="23"/>
      <c r="K291" s="23"/>
      <c r="L291" s="23"/>
    </row>
    <row r="292" s="21" customFormat="1" customHeight="1" spans="1:12">
      <c r="A292" s="22"/>
      <c r="B292" s="23"/>
      <c r="C292" s="24"/>
      <c r="D292" s="23"/>
      <c r="E292" s="23"/>
      <c r="F292" s="23"/>
      <c r="G292" s="23"/>
      <c r="H292" s="25"/>
      <c r="I292" s="25"/>
      <c r="J292" s="23"/>
      <c r="K292" s="23"/>
      <c r="L292" s="23"/>
    </row>
    <row r="293" s="21" customFormat="1" customHeight="1" spans="1:12">
      <c r="A293" s="22"/>
      <c r="B293" s="23"/>
      <c r="C293" s="24"/>
      <c r="D293" s="23"/>
      <c r="E293" s="23"/>
      <c r="F293" s="23"/>
      <c r="G293" s="23"/>
      <c r="H293" s="25"/>
      <c r="I293" s="25"/>
      <c r="J293" s="23"/>
      <c r="K293" s="23"/>
      <c r="L293" s="23"/>
    </row>
    <row r="294" s="21" customFormat="1" customHeight="1" spans="1:12">
      <c r="A294" s="22"/>
      <c r="B294" s="23"/>
      <c r="C294" s="24"/>
      <c r="D294" s="23"/>
      <c r="E294" s="23"/>
      <c r="F294" s="23"/>
      <c r="G294" s="23"/>
      <c r="H294" s="25"/>
      <c r="I294" s="25"/>
      <c r="J294" s="23"/>
      <c r="K294" s="23"/>
      <c r="L294" s="23"/>
    </row>
    <row r="295" s="21" customFormat="1" customHeight="1" spans="1:12">
      <c r="A295" s="22"/>
      <c r="B295" s="23"/>
      <c r="C295" s="24"/>
      <c r="D295" s="23"/>
      <c r="E295" s="23"/>
      <c r="F295" s="23"/>
      <c r="G295" s="23"/>
      <c r="H295" s="25"/>
      <c r="I295" s="25"/>
      <c r="J295" s="23"/>
      <c r="K295" s="23"/>
      <c r="L295" s="23"/>
    </row>
    <row r="296" s="21" customFormat="1" customHeight="1" spans="1:12">
      <c r="A296" s="22"/>
      <c r="B296" s="23"/>
      <c r="C296" s="24"/>
      <c r="D296" s="23"/>
      <c r="E296" s="23"/>
      <c r="F296" s="23"/>
      <c r="G296" s="23"/>
      <c r="H296" s="25"/>
      <c r="I296" s="25"/>
      <c r="J296" s="23"/>
      <c r="K296" s="23"/>
      <c r="L296" s="23"/>
    </row>
    <row r="297" s="21" customFormat="1" customHeight="1" spans="1:12">
      <c r="A297" s="22"/>
      <c r="B297" s="23"/>
      <c r="C297" s="24"/>
      <c r="D297" s="23"/>
      <c r="E297" s="23"/>
      <c r="F297" s="23"/>
      <c r="G297" s="23"/>
      <c r="H297" s="25"/>
      <c r="I297" s="25"/>
      <c r="J297" s="23"/>
      <c r="K297" s="23"/>
      <c r="L297" s="23"/>
    </row>
    <row r="298" s="21" customFormat="1" customHeight="1" spans="1:12">
      <c r="A298" s="22"/>
      <c r="B298" s="23"/>
      <c r="C298" s="24"/>
      <c r="D298" s="23"/>
      <c r="E298" s="23"/>
      <c r="F298" s="23"/>
      <c r="G298" s="23"/>
      <c r="H298" s="25"/>
      <c r="I298" s="25"/>
      <c r="J298" s="23"/>
      <c r="K298" s="23"/>
      <c r="L298" s="23"/>
    </row>
    <row r="299" s="21" customFormat="1" customHeight="1" spans="1:12">
      <c r="A299" s="22"/>
      <c r="B299" s="23"/>
      <c r="C299" s="24"/>
      <c r="D299" s="23"/>
      <c r="E299" s="23"/>
      <c r="F299" s="23"/>
      <c r="G299" s="23"/>
      <c r="H299" s="25"/>
      <c r="I299" s="25"/>
      <c r="J299" s="23"/>
      <c r="K299" s="23"/>
      <c r="L299" s="23"/>
    </row>
    <row r="300" s="21" customFormat="1" customHeight="1" spans="1:12">
      <c r="A300" s="22"/>
      <c r="B300" s="23"/>
      <c r="C300" s="24"/>
      <c r="D300" s="23"/>
      <c r="E300" s="23"/>
      <c r="F300" s="23"/>
      <c r="G300" s="23"/>
      <c r="H300" s="25"/>
      <c r="I300" s="25"/>
      <c r="J300" s="23"/>
      <c r="K300" s="23"/>
      <c r="L300" s="23"/>
    </row>
    <row r="301" s="21" customFormat="1" customHeight="1" spans="1:12">
      <c r="A301" s="22"/>
      <c r="B301" s="23"/>
      <c r="C301" s="24"/>
      <c r="D301" s="23"/>
      <c r="E301" s="23"/>
      <c r="F301" s="23"/>
      <c r="G301" s="23"/>
      <c r="H301" s="25"/>
      <c r="I301" s="25"/>
      <c r="J301" s="23"/>
      <c r="K301" s="23"/>
      <c r="L301" s="23"/>
    </row>
    <row r="302" s="21" customFormat="1" customHeight="1" spans="1:12">
      <c r="A302" s="22"/>
      <c r="B302" s="23"/>
      <c r="C302" s="24"/>
      <c r="D302" s="23"/>
      <c r="E302" s="23"/>
      <c r="F302" s="23"/>
      <c r="G302" s="23"/>
      <c r="H302" s="25"/>
      <c r="I302" s="25"/>
      <c r="J302" s="23"/>
      <c r="K302" s="23"/>
      <c r="L302" s="23"/>
    </row>
    <row r="303" s="21" customFormat="1" customHeight="1" spans="1:12">
      <c r="A303" s="22"/>
      <c r="B303" s="23"/>
      <c r="C303" s="24"/>
      <c r="D303" s="23"/>
      <c r="E303" s="23"/>
      <c r="F303" s="23"/>
      <c r="G303" s="23"/>
      <c r="H303" s="25"/>
      <c r="I303" s="25"/>
      <c r="J303" s="23"/>
      <c r="K303" s="23"/>
      <c r="L303" s="23"/>
    </row>
    <row r="304" s="21" customFormat="1" customHeight="1" spans="1:12">
      <c r="A304" s="22"/>
      <c r="B304" s="23"/>
      <c r="C304" s="24"/>
      <c r="D304" s="23"/>
      <c r="E304" s="23"/>
      <c r="F304" s="23"/>
      <c r="G304" s="23"/>
      <c r="H304" s="25"/>
      <c r="I304" s="25"/>
      <c r="J304" s="23"/>
      <c r="K304" s="23"/>
      <c r="L304" s="23"/>
    </row>
    <row r="305" s="21" customFormat="1" customHeight="1" spans="1:12">
      <c r="A305" s="22"/>
      <c r="B305" s="23"/>
      <c r="C305" s="24"/>
      <c r="D305" s="23"/>
      <c r="E305" s="23"/>
      <c r="F305" s="23"/>
      <c r="G305" s="23"/>
      <c r="H305" s="25"/>
      <c r="I305" s="25"/>
      <c r="J305" s="23"/>
      <c r="K305" s="23"/>
      <c r="L305" s="23"/>
    </row>
    <row r="306" s="21" customFormat="1" customHeight="1" spans="1:12">
      <c r="A306" s="22"/>
      <c r="B306" s="23"/>
      <c r="C306" s="24"/>
      <c r="D306" s="23"/>
      <c r="E306" s="23"/>
      <c r="F306" s="23"/>
      <c r="G306" s="23"/>
      <c r="H306" s="25"/>
      <c r="I306" s="25"/>
      <c r="J306" s="23"/>
      <c r="K306" s="23"/>
      <c r="L306" s="23"/>
    </row>
    <row r="307" s="21" customFormat="1" customHeight="1" spans="1:12">
      <c r="A307" s="22"/>
      <c r="B307" s="23"/>
      <c r="C307" s="24"/>
      <c r="D307" s="23"/>
      <c r="E307" s="23"/>
      <c r="F307" s="23"/>
      <c r="G307" s="23"/>
      <c r="H307" s="25"/>
      <c r="I307" s="25"/>
      <c r="J307" s="23"/>
      <c r="K307" s="23"/>
      <c r="L307" s="23"/>
    </row>
    <row r="308" s="21" customFormat="1" customHeight="1" spans="1:12">
      <c r="A308" s="22"/>
      <c r="B308" s="23"/>
      <c r="C308" s="24"/>
      <c r="D308" s="23"/>
      <c r="E308" s="23"/>
      <c r="F308" s="23"/>
      <c r="G308" s="23"/>
      <c r="H308" s="25"/>
      <c r="I308" s="25"/>
      <c r="J308" s="23"/>
      <c r="K308" s="23"/>
      <c r="L308" s="23"/>
    </row>
    <row r="309" s="21" customFormat="1" customHeight="1" spans="1:12">
      <c r="A309" s="22"/>
      <c r="B309" s="23"/>
      <c r="C309" s="24"/>
      <c r="D309" s="23"/>
      <c r="E309" s="23"/>
      <c r="F309" s="23"/>
      <c r="G309" s="23"/>
      <c r="H309" s="25"/>
      <c r="I309" s="25"/>
      <c r="J309" s="23"/>
      <c r="K309" s="23"/>
      <c r="L309" s="23"/>
    </row>
    <row r="310" s="21" customFormat="1" customHeight="1" spans="1:12">
      <c r="A310" s="22"/>
      <c r="B310" s="23"/>
      <c r="C310" s="24"/>
      <c r="D310" s="23"/>
      <c r="E310" s="23"/>
      <c r="F310" s="23"/>
      <c r="G310" s="23"/>
      <c r="H310" s="25"/>
      <c r="I310" s="25"/>
      <c r="J310" s="23"/>
      <c r="K310" s="23"/>
      <c r="L310" s="23"/>
    </row>
    <row r="311" s="21" customFormat="1" customHeight="1" spans="1:12">
      <c r="A311" s="22"/>
      <c r="B311" s="23"/>
      <c r="C311" s="24"/>
      <c r="D311" s="23"/>
      <c r="E311" s="23"/>
      <c r="F311" s="23"/>
      <c r="G311" s="23"/>
      <c r="H311" s="25"/>
      <c r="I311" s="25"/>
      <c r="J311" s="23"/>
      <c r="K311" s="23"/>
      <c r="L311" s="23"/>
    </row>
    <row r="312" s="21" customFormat="1" customHeight="1" spans="1:12">
      <c r="A312" s="22"/>
      <c r="B312" s="23"/>
      <c r="C312" s="24"/>
      <c r="D312" s="23"/>
      <c r="E312" s="23"/>
      <c r="F312" s="23"/>
      <c r="G312" s="23"/>
      <c r="H312" s="25"/>
      <c r="I312" s="25"/>
      <c r="J312" s="23"/>
      <c r="K312" s="23"/>
      <c r="L312" s="23"/>
    </row>
    <row r="313" s="21" customFormat="1" customHeight="1" spans="1:12">
      <c r="A313" s="22"/>
      <c r="B313" s="23"/>
      <c r="C313" s="24"/>
      <c r="D313" s="23"/>
      <c r="E313" s="23"/>
      <c r="F313" s="23"/>
      <c r="G313" s="23"/>
      <c r="H313" s="25"/>
      <c r="I313" s="25"/>
      <c r="J313" s="23"/>
      <c r="K313" s="23"/>
      <c r="L313" s="23"/>
    </row>
    <row r="314" s="21" customFormat="1" customHeight="1" spans="1:12">
      <c r="A314" s="22"/>
      <c r="B314" s="23"/>
      <c r="C314" s="24"/>
      <c r="D314" s="23"/>
      <c r="E314" s="23"/>
      <c r="F314" s="23"/>
      <c r="G314" s="23"/>
      <c r="H314" s="25"/>
      <c r="I314" s="25"/>
      <c r="J314" s="23"/>
      <c r="K314" s="23"/>
      <c r="L314" s="23"/>
    </row>
    <row r="315" s="21" customFormat="1" customHeight="1" spans="1:12">
      <c r="A315" s="22"/>
      <c r="B315" s="23"/>
      <c r="C315" s="24"/>
      <c r="D315" s="23"/>
      <c r="E315" s="23"/>
      <c r="F315" s="23"/>
      <c r="G315" s="23"/>
      <c r="H315" s="25"/>
      <c r="I315" s="25"/>
      <c r="J315" s="23"/>
      <c r="K315" s="23"/>
      <c r="L315" s="23"/>
    </row>
    <row r="316" s="21" customFormat="1" customHeight="1" spans="1:12">
      <c r="A316" s="22"/>
      <c r="B316" s="23"/>
      <c r="C316" s="24"/>
      <c r="D316" s="23"/>
      <c r="E316" s="23"/>
      <c r="F316" s="23"/>
      <c r="G316" s="23"/>
      <c r="H316" s="25"/>
      <c r="I316" s="25"/>
      <c r="J316" s="23"/>
      <c r="K316" s="23"/>
      <c r="L316" s="23"/>
    </row>
    <row r="317" s="21" customFormat="1" customHeight="1" spans="1:12">
      <c r="A317" s="22"/>
      <c r="B317" s="23"/>
      <c r="C317" s="24"/>
      <c r="D317" s="23"/>
      <c r="E317" s="23"/>
      <c r="F317" s="23"/>
      <c r="G317" s="23"/>
      <c r="H317" s="25"/>
      <c r="I317" s="25"/>
      <c r="J317" s="23"/>
      <c r="K317" s="23"/>
      <c r="L317" s="23"/>
    </row>
    <row r="318" s="21" customFormat="1" customHeight="1" spans="1:12">
      <c r="A318" s="22"/>
      <c r="B318" s="23"/>
      <c r="C318" s="24"/>
      <c r="D318" s="23"/>
      <c r="E318" s="23"/>
      <c r="F318" s="23"/>
      <c r="G318" s="23"/>
      <c r="H318" s="25"/>
      <c r="I318" s="25"/>
      <c r="J318" s="23"/>
      <c r="K318" s="23"/>
      <c r="L318" s="23"/>
    </row>
    <row r="319" s="21" customFormat="1" customHeight="1" spans="1:12">
      <c r="A319" s="22"/>
      <c r="B319" s="23"/>
      <c r="C319" s="24"/>
      <c r="D319" s="23"/>
      <c r="E319" s="23"/>
      <c r="F319" s="23"/>
      <c r="G319" s="23"/>
      <c r="H319" s="25"/>
      <c r="I319" s="25"/>
      <c r="J319" s="23"/>
      <c r="K319" s="23"/>
      <c r="L319" s="23"/>
    </row>
    <row r="320" s="21" customFormat="1" customHeight="1" spans="1:12">
      <c r="A320" s="22"/>
      <c r="B320" s="23"/>
      <c r="C320" s="24"/>
      <c r="D320" s="23"/>
      <c r="E320" s="23"/>
      <c r="F320" s="23"/>
      <c r="G320" s="23"/>
      <c r="H320" s="25"/>
      <c r="I320" s="25"/>
      <c r="J320" s="23"/>
      <c r="K320" s="23"/>
      <c r="L320" s="23"/>
    </row>
    <row r="321" s="21" customFormat="1" customHeight="1" spans="1:12">
      <c r="A321" s="22"/>
      <c r="B321" s="23"/>
      <c r="C321" s="24"/>
      <c r="D321" s="23"/>
      <c r="E321" s="23"/>
      <c r="F321" s="23"/>
      <c r="G321" s="23"/>
      <c r="H321" s="25"/>
      <c r="I321" s="25"/>
      <c r="J321" s="23"/>
      <c r="K321" s="23"/>
      <c r="L321" s="23"/>
    </row>
    <row r="322" s="21" customFormat="1" customHeight="1" spans="1:12">
      <c r="A322" s="22"/>
      <c r="B322" s="23"/>
      <c r="C322" s="24"/>
      <c r="D322" s="23"/>
      <c r="E322" s="23"/>
      <c r="F322" s="23"/>
      <c r="G322" s="23"/>
      <c r="H322" s="25"/>
      <c r="I322" s="25"/>
      <c r="J322" s="23"/>
      <c r="K322" s="23"/>
      <c r="L322" s="23"/>
    </row>
    <row r="323" s="21" customFormat="1" customHeight="1" spans="1:12">
      <c r="A323" s="22"/>
      <c r="B323" s="23"/>
      <c r="C323" s="24"/>
      <c r="D323" s="23"/>
      <c r="E323" s="23"/>
      <c r="F323" s="23"/>
      <c r="G323" s="23"/>
      <c r="H323" s="25"/>
      <c r="I323" s="25"/>
      <c r="J323" s="23"/>
      <c r="K323" s="23"/>
      <c r="L323" s="23"/>
    </row>
    <row r="324" s="21" customFormat="1" customHeight="1" spans="1:12">
      <c r="A324" s="22"/>
      <c r="B324" s="23"/>
      <c r="C324" s="24"/>
      <c r="D324" s="23"/>
      <c r="E324" s="23"/>
      <c r="F324" s="23"/>
      <c r="G324" s="23"/>
      <c r="H324" s="25"/>
      <c r="I324" s="25"/>
      <c r="J324" s="23"/>
      <c r="K324" s="23"/>
      <c r="L324" s="23"/>
    </row>
    <row r="325" s="21" customFormat="1" customHeight="1" spans="1:12">
      <c r="A325" s="22"/>
      <c r="B325" s="23"/>
      <c r="C325" s="24"/>
      <c r="D325" s="23"/>
      <c r="E325" s="23"/>
      <c r="F325" s="23"/>
      <c r="G325" s="23"/>
      <c r="H325" s="25"/>
      <c r="I325" s="25"/>
      <c r="J325" s="23"/>
      <c r="K325" s="23"/>
      <c r="L325" s="23"/>
    </row>
    <row r="326" s="21" customFormat="1" customHeight="1" spans="1:12">
      <c r="A326" s="22"/>
      <c r="B326" s="23"/>
      <c r="C326" s="24"/>
      <c r="D326" s="23"/>
      <c r="E326" s="23"/>
      <c r="F326" s="23"/>
      <c r="G326" s="23"/>
      <c r="H326" s="25"/>
      <c r="I326" s="25"/>
      <c r="J326" s="23"/>
      <c r="K326" s="23"/>
      <c r="L326" s="23"/>
    </row>
    <row r="327" s="21" customFormat="1" customHeight="1" spans="1:12">
      <c r="A327" s="22"/>
      <c r="B327" s="23"/>
      <c r="C327" s="24"/>
      <c r="D327" s="23"/>
      <c r="E327" s="23"/>
      <c r="F327" s="23"/>
      <c r="G327" s="23"/>
      <c r="H327" s="25"/>
      <c r="I327" s="25"/>
      <c r="J327" s="23"/>
      <c r="K327" s="23"/>
      <c r="L327" s="23"/>
    </row>
    <row r="328" s="21" customFormat="1" customHeight="1" spans="1:12">
      <c r="A328" s="22"/>
      <c r="B328" s="23"/>
      <c r="C328" s="24"/>
      <c r="D328" s="23"/>
      <c r="E328" s="23"/>
      <c r="F328" s="23"/>
      <c r="G328" s="23"/>
      <c r="H328" s="25"/>
      <c r="I328" s="25"/>
      <c r="J328" s="23"/>
      <c r="K328" s="23"/>
      <c r="L328" s="23"/>
    </row>
    <row r="329" s="21" customFormat="1" customHeight="1" spans="1:12">
      <c r="A329" s="22"/>
      <c r="B329" s="23"/>
      <c r="C329" s="24"/>
      <c r="D329" s="23"/>
      <c r="E329" s="23"/>
      <c r="F329" s="23"/>
      <c r="G329" s="23"/>
      <c r="H329" s="25"/>
      <c r="I329" s="25"/>
      <c r="J329" s="23"/>
      <c r="K329" s="23"/>
      <c r="L329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277"/>
  <sheetViews>
    <sheetView topLeftCell="G1" workbookViewId="0">
      <pane ySplit="1" topLeftCell="A23" activePane="bottomLeft" state="frozen"/>
      <selection/>
      <selection pane="bottomLeft" activeCell="C8" sqref="C8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4" width="9" style="21"/>
    <col min="15" max="15" width="12.625" style="21"/>
    <col min="16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12</v>
      </c>
      <c r="C2" s="28">
        <f ca="1">O2/B2</f>
        <v>1.18518518518519</v>
      </c>
      <c r="D2" s="6" t="s">
        <v>135</v>
      </c>
      <c r="E2" s="6" t="s">
        <v>136</v>
      </c>
      <c r="F2" s="6">
        <v>190</v>
      </c>
      <c r="G2" s="6" t="s">
        <v>22</v>
      </c>
      <c r="H2" s="6">
        <f ca="1" t="array" ref="H2">INDEX(成本核算表!J:J,MATCH(1,(成本核算表!D:D=E2)*(成本核算表!C:C=G2),0))</f>
        <v>160</v>
      </c>
      <c r="I2" s="6">
        <v>320</v>
      </c>
      <c r="J2" s="6">
        <f ca="1" t="shared" ref="J2:J10" si="0">H2*I2</f>
        <v>51200</v>
      </c>
      <c r="K2" s="6"/>
      <c r="L2" s="6"/>
      <c r="M2" s="6"/>
      <c r="N2" s="6">
        <f ca="1" t="shared" ref="N2:N10" si="1">J2-M2+L2</f>
        <v>51200</v>
      </c>
      <c r="O2" s="6">
        <f ca="1" t="shared" ref="O2:O10" si="2">N2/3600</f>
        <v>14.2222222222222</v>
      </c>
      <c r="P2" s="6"/>
      <c r="Q2" s="6"/>
    </row>
    <row r="3" s="21" customFormat="1" ht="20" customHeight="1" spans="1:17">
      <c r="A3" s="27">
        <v>46083</v>
      </c>
      <c r="B3" s="6">
        <v>12</v>
      </c>
      <c r="C3" s="28">
        <f ca="1">O3/B3</f>
        <v>0.933333333333333</v>
      </c>
      <c r="D3" s="5" t="s">
        <v>35</v>
      </c>
      <c r="E3" s="5" t="s">
        <v>36</v>
      </c>
      <c r="F3" s="6">
        <v>119.5</v>
      </c>
      <c r="G3" s="5" t="s">
        <v>41</v>
      </c>
      <c r="H3" s="6">
        <f ca="1" t="array" ref="H3">INDEX(成本核算表!J:J,MATCH(1,(成本核算表!D:D=E3)*(成本核算表!C:C=G3),0))</f>
        <v>12</v>
      </c>
      <c r="I3" s="6">
        <v>3360</v>
      </c>
      <c r="J3" s="6">
        <f ca="1" t="shared" si="0"/>
        <v>40320</v>
      </c>
      <c r="K3" s="6"/>
      <c r="L3" s="6"/>
      <c r="M3" s="6"/>
      <c r="N3" s="6">
        <f ca="1" t="shared" si="1"/>
        <v>40320</v>
      </c>
      <c r="O3" s="6">
        <f ca="1" t="shared" si="2"/>
        <v>11.2</v>
      </c>
      <c r="P3" s="6"/>
      <c r="Q3" s="6"/>
    </row>
    <row r="4" s="21" customFormat="1" ht="20" customHeight="1" spans="1:17">
      <c r="A4" s="27">
        <v>46084</v>
      </c>
      <c r="B4" s="6">
        <v>12</v>
      </c>
      <c r="C4" s="28">
        <f ca="1">SUM(O4:O7)/B4</f>
        <v>1.25416666666667</v>
      </c>
      <c r="D4" s="5" t="s">
        <v>40</v>
      </c>
      <c r="E4" s="5" t="s">
        <v>36</v>
      </c>
      <c r="F4" s="6">
        <v>119.5</v>
      </c>
      <c r="G4" s="5" t="s">
        <v>37</v>
      </c>
      <c r="H4" s="6">
        <f ca="1" t="array" ref="H4">INDEX(成本核算表!J:J,MATCH(1,(成本核算表!D:D=E4)*(成本核算表!C:C=G4),0))</f>
        <v>15</v>
      </c>
      <c r="I4" s="6">
        <v>1002</v>
      </c>
      <c r="J4" s="6">
        <f ca="1" t="shared" si="0"/>
        <v>15030</v>
      </c>
      <c r="K4" s="6"/>
      <c r="L4" s="6"/>
      <c r="M4" s="6"/>
      <c r="N4" s="6">
        <f ca="1" t="shared" si="1"/>
        <v>15030</v>
      </c>
      <c r="O4" s="6">
        <f ca="1" t="shared" si="2"/>
        <v>4.175</v>
      </c>
      <c r="P4" s="6"/>
      <c r="Q4" s="6"/>
    </row>
    <row r="5" s="21" customFormat="1" ht="20" customHeight="1" spans="1:17">
      <c r="A5" s="27">
        <v>46084</v>
      </c>
      <c r="B5" s="6"/>
      <c r="C5" s="28"/>
      <c r="D5" s="5" t="s">
        <v>137</v>
      </c>
      <c r="E5" s="5" t="s">
        <v>138</v>
      </c>
      <c r="F5" s="6">
        <v>1587.5</v>
      </c>
      <c r="G5" s="5" t="s">
        <v>22</v>
      </c>
      <c r="H5" s="6">
        <f ca="1" t="array" ref="H5">INDEX(成本核算表!J:J,MATCH(1,(成本核算表!D:D=E5)*(成本核算表!C:C=G5),0))</f>
        <v>25</v>
      </c>
      <c r="I5" s="6">
        <v>126</v>
      </c>
      <c r="J5" s="6">
        <f ca="1" t="shared" si="0"/>
        <v>3150</v>
      </c>
      <c r="K5" s="6"/>
      <c r="L5" s="6"/>
      <c r="M5" s="6"/>
      <c r="N5" s="6">
        <f ca="1" t="shared" si="1"/>
        <v>3150</v>
      </c>
      <c r="O5" s="6">
        <f ca="1" t="shared" si="2"/>
        <v>0.875</v>
      </c>
      <c r="P5" s="6"/>
      <c r="Q5" s="6"/>
    </row>
    <row r="6" s="21" customFormat="1" ht="20" customHeight="1" spans="1:17">
      <c r="A6" s="27">
        <v>46084</v>
      </c>
      <c r="B6" s="6"/>
      <c r="C6" s="28"/>
      <c r="D6" s="5" t="s">
        <v>26</v>
      </c>
      <c r="E6" s="5" t="s">
        <v>27</v>
      </c>
      <c r="F6" s="6">
        <v>180</v>
      </c>
      <c r="G6" s="5" t="s">
        <v>24</v>
      </c>
      <c r="H6" s="6">
        <f ca="1" t="array" ref="H6">INDEX(成本核算表!J:J,MATCH(1,(成本核算表!D:D=E6)*(成本核算表!C:C=G6),0))</f>
        <v>800</v>
      </c>
      <c r="I6" s="6">
        <v>17</v>
      </c>
      <c r="J6" s="6">
        <f ca="1" t="shared" si="0"/>
        <v>13600</v>
      </c>
      <c r="K6" s="6"/>
      <c r="L6" s="6"/>
      <c r="M6" s="6"/>
      <c r="N6" s="6">
        <f ca="1" t="shared" si="1"/>
        <v>13600</v>
      </c>
      <c r="O6" s="6">
        <f ca="1" t="shared" si="2"/>
        <v>3.77777777777778</v>
      </c>
      <c r="P6" s="6"/>
      <c r="Q6" s="6"/>
    </row>
    <row r="7" s="21" customFormat="1" ht="20" customHeight="1" spans="1:17">
      <c r="A7" s="27">
        <v>46084</v>
      </c>
      <c r="B7" s="6"/>
      <c r="C7" s="28"/>
      <c r="D7" s="5" t="s">
        <v>29</v>
      </c>
      <c r="E7" s="5" t="s">
        <v>27</v>
      </c>
      <c r="F7" s="6">
        <v>180</v>
      </c>
      <c r="G7" s="5" t="s">
        <v>24</v>
      </c>
      <c r="H7" s="6">
        <f ca="1" t="array" ref="H7">INDEX(成本核算表!J:J,MATCH(1,(成本核算表!D:D=E7)*(成本核算表!C:C=G7),0))</f>
        <v>800</v>
      </c>
      <c r="I7" s="6">
        <v>28</v>
      </c>
      <c r="J7" s="6">
        <f ca="1" t="shared" si="0"/>
        <v>22400</v>
      </c>
      <c r="K7" s="6"/>
      <c r="L7" s="6"/>
      <c r="M7" s="6"/>
      <c r="N7" s="6">
        <f ca="1" t="shared" si="1"/>
        <v>22400</v>
      </c>
      <c r="O7" s="6">
        <f ca="1" t="shared" si="2"/>
        <v>6.22222222222222</v>
      </c>
      <c r="P7" s="6"/>
      <c r="Q7" s="6"/>
    </row>
    <row r="8" s="21" customFormat="1" ht="20" customHeight="1" spans="1:17">
      <c r="A8" s="27">
        <v>46085</v>
      </c>
      <c r="B8" s="6">
        <v>12</v>
      </c>
      <c r="C8" s="28">
        <f ca="1">SUM(O8:O9)/B8</f>
        <v>0.957407407407407</v>
      </c>
      <c r="D8" s="5" t="s">
        <v>114</v>
      </c>
      <c r="E8" s="5" t="s">
        <v>101</v>
      </c>
      <c r="F8" s="6">
        <v>138.8</v>
      </c>
      <c r="G8" s="6" t="s">
        <v>22</v>
      </c>
      <c r="H8" s="6">
        <f ca="1" t="array" ref="H8">INDEX(成本核算表!J:J,MATCH(1,(成本核算表!D:D=E8)*(成本核算表!C:C=G8),0))</f>
        <v>160</v>
      </c>
      <c r="I8" s="6">
        <f>726/3</f>
        <v>242</v>
      </c>
      <c r="J8" s="6">
        <f ca="1" t="shared" si="0"/>
        <v>38720</v>
      </c>
      <c r="K8" s="6"/>
      <c r="L8" s="6"/>
      <c r="M8" s="6"/>
      <c r="N8" s="6">
        <f ca="1" t="shared" si="1"/>
        <v>38720</v>
      </c>
      <c r="O8" s="6">
        <f ca="1" t="shared" si="2"/>
        <v>10.7555555555556</v>
      </c>
      <c r="P8" s="6"/>
      <c r="Q8" s="6"/>
    </row>
    <row r="9" s="21" customFormat="1" ht="20" customHeight="1" spans="1:17">
      <c r="A9" s="27">
        <v>46085</v>
      </c>
      <c r="B9" s="6"/>
      <c r="C9" s="28"/>
      <c r="D9" s="6"/>
      <c r="E9" s="51" t="s">
        <v>139</v>
      </c>
      <c r="F9" s="6">
        <v>2115</v>
      </c>
      <c r="G9" s="6" t="s">
        <v>22</v>
      </c>
      <c r="H9" s="6">
        <f ca="1" t="array" ref="H9">INDEX(成本核算表!J:J,MATCH(1,(成本核算表!D:D=E9)*(成本核算表!C:C=G9),0))</f>
        <v>120</v>
      </c>
      <c r="I9" s="6">
        <v>22</v>
      </c>
      <c r="J9" s="6">
        <f ca="1" t="shared" si="0"/>
        <v>2640</v>
      </c>
      <c r="K9" s="6"/>
      <c r="L9" s="6"/>
      <c r="M9" s="6"/>
      <c r="N9" s="6">
        <f ca="1" t="shared" si="1"/>
        <v>2640</v>
      </c>
      <c r="O9" s="6">
        <f ca="1" t="shared" si="2"/>
        <v>0.733333333333333</v>
      </c>
      <c r="P9" s="6"/>
      <c r="Q9" s="6"/>
    </row>
    <row r="10" s="21" customFormat="1" ht="20" customHeight="1" spans="1:17">
      <c r="A10" s="27"/>
      <c r="B10" s="6"/>
      <c r="C10" s="28"/>
      <c r="D10" s="6"/>
      <c r="E10" s="1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="21" customFormat="1" ht="20" customHeight="1" spans="1:17">
      <c r="A11" s="27">
        <v>46087</v>
      </c>
      <c r="B11" s="6">
        <v>12</v>
      </c>
      <c r="C11" s="28">
        <f ca="1">O11/B11</f>
        <v>1.18055555555556</v>
      </c>
      <c r="D11" s="5" t="s">
        <v>40</v>
      </c>
      <c r="E11" s="5" t="s">
        <v>36</v>
      </c>
      <c r="F11" s="6">
        <v>119.5</v>
      </c>
      <c r="G11" s="5" t="s">
        <v>37</v>
      </c>
      <c r="H11" s="6">
        <f ca="1" t="array" ref="H11">INDEX(成本核算表!J:J,MATCH(1,(成本核算表!D:D=E11)*(成本核算表!C:C=G11),0))</f>
        <v>15</v>
      </c>
      <c r="I11" s="6">
        <v>3400</v>
      </c>
      <c r="J11" s="6">
        <f ca="1">H11*I11</f>
        <v>51000</v>
      </c>
      <c r="K11" s="6"/>
      <c r="L11" s="6"/>
      <c r="M11" s="6"/>
      <c r="N11" s="6">
        <f ca="1">J11-M11+L11</f>
        <v>51000</v>
      </c>
      <c r="O11" s="6">
        <f ca="1">N11/3600</f>
        <v>14.1666666666667</v>
      </c>
      <c r="P11" s="6"/>
      <c r="Q11" s="6"/>
    </row>
    <row r="12" s="21" customFormat="1" ht="20" customHeight="1" spans="1:17">
      <c r="A12" s="27">
        <v>46088</v>
      </c>
      <c r="B12" s="6">
        <v>12</v>
      </c>
      <c r="C12" s="28">
        <f ca="1">O12/B12</f>
        <v>0.697777777777778</v>
      </c>
      <c r="D12" s="5" t="s">
        <v>35</v>
      </c>
      <c r="E12" s="5" t="s">
        <v>36</v>
      </c>
      <c r="F12" s="6">
        <v>119.5</v>
      </c>
      <c r="G12" s="5" t="s">
        <v>41</v>
      </c>
      <c r="H12" s="6">
        <f ca="1" t="array" ref="H12">INDEX(成本核算表!J:J,MATCH(1,(成本核算表!D:D=E12)*(成本核算表!C:C=G12),0))</f>
        <v>12</v>
      </c>
      <c r="I12" s="6">
        <v>2516</v>
      </c>
      <c r="J12" s="6">
        <f ca="1" t="shared" ref="J12:J66" si="3">H12*I12</f>
        <v>30192</v>
      </c>
      <c r="K12" s="6">
        <v>4</v>
      </c>
      <c r="L12" s="6"/>
      <c r="M12" s="6">
        <f ca="1">K12*H12</f>
        <v>48</v>
      </c>
      <c r="N12" s="6">
        <f ca="1" t="shared" ref="N12:N66" si="4">J12-M12+L12</f>
        <v>30144</v>
      </c>
      <c r="O12" s="6">
        <f ca="1" t="shared" ref="O12:O66" si="5">N12/3600</f>
        <v>8.37333333333333</v>
      </c>
      <c r="P12" s="6"/>
      <c r="Q12" s="6"/>
    </row>
    <row r="13" s="21" customFormat="1" ht="20" customHeight="1" spans="1:17">
      <c r="A13" s="6"/>
      <c r="B13" s="6"/>
      <c r="C13" s="28"/>
      <c r="D13" s="6"/>
      <c r="E13" s="6"/>
      <c r="F13" s="6"/>
      <c r="G13" s="6"/>
      <c r="H13" s="6">
        <f ca="1" t="array" ref="H13">INDEX(成本核算表!J:J,MATCH(1,(成本核算表!D:D=E13)*(成本核算表!C:C=G13),0))</f>
        <v>0</v>
      </c>
      <c r="I13" s="6"/>
      <c r="J13" s="6">
        <f ca="1" t="shared" si="3"/>
        <v>0</v>
      </c>
      <c r="K13" s="6"/>
      <c r="L13" s="6"/>
      <c r="M13" s="6">
        <f ca="1" t="shared" ref="M13:M19" si="6">K13*H13</f>
        <v>0</v>
      </c>
      <c r="N13" s="6">
        <f ca="1" t="shared" si="4"/>
        <v>0</v>
      </c>
      <c r="O13" s="6">
        <f ca="1" t="shared" si="5"/>
        <v>0</v>
      </c>
      <c r="P13" s="6"/>
      <c r="Q13" s="6"/>
    </row>
    <row r="14" s="21" customFormat="1" ht="20" customHeight="1" spans="1:17">
      <c r="A14" s="27">
        <v>46090</v>
      </c>
      <c r="B14" s="6">
        <v>11</v>
      </c>
      <c r="C14" s="28">
        <f ca="1" t="shared" ref="C14:C16" si="7">SUM(O14)/B14</f>
        <v>1.13636363636364</v>
      </c>
      <c r="D14" s="5" t="s">
        <v>105</v>
      </c>
      <c r="E14" s="5" t="s">
        <v>104</v>
      </c>
      <c r="F14" s="6">
        <v>2296.8</v>
      </c>
      <c r="G14" s="5" t="s">
        <v>22</v>
      </c>
      <c r="H14" s="6">
        <f ca="1" t="array" ref="H14">INDEX(成本核算表!J:J,MATCH(1,(成本核算表!D:D=E14)*(成本核算表!C:C=G14),0))</f>
        <v>600</v>
      </c>
      <c r="I14" s="6">
        <v>75</v>
      </c>
      <c r="J14" s="6">
        <f ca="1" t="shared" si="3"/>
        <v>45000</v>
      </c>
      <c r="K14" s="6"/>
      <c r="L14" s="6"/>
      <c r="M14" s="6">
        <f ca="1" t="shared" si="6"/>
        <v>0</v>
      </c>
      <c r="N14" s="6">
        <f ca="1" t="shared" si="4"/>
        <v>45000</v>
      </c>
      <c r="O14" s="6">
        <f ca="1" t="shared" si="5"/>
        <v>12.5</v>
      </c>
      <c r="P14" s="6"/>
      <c r="Q14" s="6"/>
    </row>
    <row r="15" s="21" customFormat="1" ht="20" customHeight="1" spans="1:17">
      <c r="A15" s="27">
        <v>46091</v>
      </c>
      <c r="B15" s="6">
        <v>11</v>
      </c>
      <c r="C15" s="28">
        <f ca="1" t="shared" si="7"/>
        <v>1.13636363636364</v>
      </c>
      <c r="D15" s="5" t="s">
        <v>105</v>
      </c>
      <c r="E15" s="5" t="s">
        <v>104</v>
      </c>
      <c r="F15" s="6">
        <v>2296.8</v>
      </c>
      <c r="G15" s="5" t="s">
        <v>22</v>
      </c>
      <c r="H15" s="6">
        <f ca="1" t="array" ref="H15">INDEX(成本核算表!J:J,MATCH(1,(成本核算表!D:D=E15)*(成本核算表!C:C=G15),0))</f>
        <v>600</v>
      </c>
      <c r="I15" s="6">
        <v>75</v>
      </c>
      <c r="J15" s="6">
        <f ca="1" t="shared" si="3"/>
        <v>45000</v>
      </c>
      <c r="K15" s="6"/>
      <c r="L15" s="6"/>
      <c r="M15" s="6">
        <f ca="1" t="shared" si="6"/>
        <v>0</v>
      </c>
      <c r="N15" s="6">
        <f ca="1" t="shared" si="4"/>
        <v>45000</v>
      </c>
      <c r="O15" s="6">
        <f ca="1" t="shared" si="5"/>
        <v>12.5</v>
      </c>
      <c r="P15" s="6"/>
      <c r="Q15" s="6"/>
    </row>
    <row r="16" s="21" customFormat="1" ht="20" customHeight="1" spans="1:17">
      <c r="A16" s="27">
        <v>46092</v>
      </c>
      <c r="B16" s="6">
        <v>11</v>
      </c>
      <c r="C16" s="28">
        <f ca="1" t="shared" si="7"/>
        <v>1.13636363636364</v>
      </c>
      <c r="D16" s="5" t="s">
        <v>105</v>
      </c>
      <c r="E16" s="5" t="s">
        <v>104</v>
      </c>
      <c r="F16" s="6">
        <v>2296.8</v>
      </c>
      <c r="G16" s="5" t="s">
        <v>22</v>
      </c>
      <c r="H16" s="6">
        <f ca="1" t="array" ref="H16">INDEX(成本核算表!J:J,MATCH(1,(成本核算表!D:D=E16)*(成本核算表!C:C=G16),0))</f>
        <v>600</v>
      </c>
      <c r="I16" s="6">
        <v>75</v>
      </c>
      <c r="J16" s="6">
        <f ca="1" t="shared" si="3"/>
        <v>45000</v>
      </c>
      <c r="K16" s="6"/>
      <c r="L16" s="6"/>
      <c r="M16" s="6">
        <f ca="1" t="shared" si="6"/>
        <v>0</v>
      </c>
      <c r="N16" s="6">
        <f ca="1" t="shared" si="4"/>
        <v>45000</v>
      </c>
      <c r="O16" s="6">
        <f ca="1" t="shared" si="5"/>
        <v>12.5</v>
      </c>
      <c r="P16" s="6"/>
      <c r="Q16" s="6"/>
    </row>
    <row r="17" s="21" customFormat="1" ht="20" customHeight="1" spans="1:17">
      <c r="A17" s="27">
        <v>46093</v>
      </c>
      <c r="B17" s="6">
        <v>11</v>
      </c>
      <c r="C17" s="28">
        <f ca="1">SUM(O17:O19)/B17</f>
        <v>0.76040404040404</v>
      </c>
      <c r="D17" s="5" t="s">
        <v>17</v>
      </c>
      <c r="E17" s="6" t="s">
        <v>18</v>
      </c>
      <c r="F17" s="6">
        <v>1942</v>
      </c>
      <c r="G17" s="5" t="s">
        <v>41</v>
      </c>
      <c r="H17" s="6">
        <f ca="1" t="array" ref="H17">INDEX(成本核算表!J:J,MATCH(1,(成本核算表!D:D=E17)*(成本核算表!C:C=G17),0))</f>
        <v>35</v>
      </c>
      <c r="I17" s="6">
        <v>224</v>
      </c>
      <c r="J17" s="6">
        <f ca="1" t="shared" si="3"/>
        <v>7840</v>
      </c>
      <c r="K17" s="6"/>
      <c r="L17" s="6">
        <v>3600</v>
      </c>
      <c r="M17" s="6">
        <f ca="1" t="shared" si="6"/>
        <v>0</v>
      </c>
      <c r="N17" s="6">
        <f ca="1" t="shared" si="4"/>
        <v>11440</v>
      </c>
      <c r="O17" s="6">
        <f ca="1" t="shared" si="5"/>
        <v>3.17777777777778</v>
      </c>
      <c r="P17" s="6"/>
      <c r="Q17" s="6"/>
    </row>
    <row r="18" s="21" customFormat="1" ht="20" customHeight="1" spans="1:17">
      <c r="A18" s="27">
        <v>46093</v>
      </c>
      <c r="B18" s="6"/>
      <c r="C18" s="28"/>
      <c r="D18" s="5" t="s">
        <v>20</v>
      </c>
      <c r="E18" s="6" t="s">
        <v>18</v>
      </c>
      <c r="F18" s="6">
        <v>1942</v>
      </c>
      <c r="G18" s="5" t="s">
        <v>41</v>
      </c>
      <c r="H18" s="6">
        <f ca="1" t="array" ref="H18">INDEX(成本核算表!J:J,MATCH(1,(成本核算表!D:D=E18)*(成本核算表!C:C=G18),0))</f>
        <v>35</v>
      </c>
      <c r="I18" s="6">
        <v>444</v>
      </c>
      <c r="J18" s="6">
        <f ca="1" t="shared" si="3"/>
        <v>15540</v>
      </c>
      <c r="K18" s="6">
        <v>24</v>
      </c>
      <c r="L18" s="6"/>
      <c r="M18" s="6">
        <f ca="1" t="shared" si="6"/>
        <v>840</v>
      </c>
      <c r="N18" s="6">
        <f ca="1" t="shared" si="4"/>
        <v>14700</v>
      </c>
      <c r="O18" s="6">
        <f ca="1" t="shared" si="5"/>
        <v>4.08333333333333</v>
      </c>
      <c r="P18" s="6"/>
      <c r="Q18" s="6"/>
    </row>
    <row r="19" s="21" customFormat="1" ht="20" customHeight="1" spans="1:17">
      <c r="A19" s="27">
        <v>46093</v>
      </c>
      <c r="B19" s="6"/>
      <c r="C19" s="28"/>
      <c r="D19" s="5" t="s">
        <v>35</v>
      </c>
      <c r="E19" s="5" t="s">
        <v>36</v>
      </c>
      <c r="F19" s="6">
        <v>119.5</v>
      </c>
      <c r="G19" s="5" t="s">
        <v>41</v>
      </c>
      <c r="H19" s="6">
        <f ca="1" t="array" ref="H19">INDEX(成本核算表!J:J,MATCH(1,(成本核算表!D:D=E19)*(成本核算表!C:C=G19),0))</f>
        <v>12</v>
      </c>
      <c r="I19" s="6">
        <v>337</v>
      </c>
      <c r="J19" s="6">
        <f ca="1" t="shared" si="3"/>
        <v>4044</v>
      </c>
      <c r="K19" s="6">
        <v>6</v>
      </c>
      <c r="L19" s="6"/>
      <c r="M19" s="6">
        <f ca="1" t="shared" si="6"/>
        <v>72</v>
      </c>
      <c r="N19" s="6">
        <f ca="1" t="shared" si="4"/>
        <v>3972</v>
      </c>
      <c r="O19" s="6">
        <f ca="1" t="shared" si="5"/>
        <v>1.10333333333333</v>
      </c>
      <c r="P19" s="6"/>
      <c r="Q19" s="6"/>
    </row>
    <row r="20" s="21" customFormat="1" ht="20" customHeight="1" spans="1:17">
      <c r="A20" s="27">
        <v>46094</v>
      </c>
      <c r="B20" s="6">
        <v>11</v>
      </c>
      <c r="C20" s="28">
        <f ca="1">SUM(O20:O22)/B20</f>
        <v>1.09772727272727</v>
      </c>
      <c r="D20" s="5" t="s">
        <v>17</v>
      </c>
      <c r="E20" s="6" t="s">
        <v>18</v>
      </c>
      <c r="F20" s="6">
        <v>1942</v>
      </c>
      <c r="G20" s="5" t="s">
        <v>41</v>
      </c>
      <c r="H20" s="6">
        <f ca="1" t="array" ref="H20">INDEX(成本核算表!J:J,MATCH(1,(成本核算表!D:D=E20)*(成本核算表!C:C=G20),0))</f>
        <v>35</v>
      </c>
      <c r="I20" s="6">
        <v>150</v>
      </c>
      <c r="J20" s="6">
        <f ca="1" t="shared" si="3"/>
        <v>5250</v>
      </c>
      <c r="K20" s="6"/>
      <c r="L20" s="6">
        <v>3600</v>
      </c>
      <c r="M20" s="6"/>
      <c r="N20" s="6">
        <f ca="1" t="shared" si="4"/>
        <v>8850</v>
      </c>
      <c r="O20" s="6">
        <f ca="1" t="shared" si="5"/>
        <v>2.45833333333333</v>
      </c>
      <c r="P20" s="6"/>
      <c r="Q20" s="6"/>
    </row>
    <row r="21" s="21" customFormat="1" ht="20" customHeight="1" spans="1:17">
      <c r="A21" s="27">
        <v>46094</v>
      </c>
      <c r="B21" s="6"/>
      <c r="C21" s="28"/>
      <c r="D21" s="5" t="s">
        <v>20</v>
      </c>
      <c r="E21" s="6" t="s">
        <v>18</v>
      </c>
      <c r="F21" s="6">
        <v>1942</v>
      </c>
      <c r="G21" s="5" t="s">
        <v>41</v>
      </c>
      <c r="H21" s="6">
        <f ca="1" t="array" ref="H21">INDEX(成本核算表!J:J,MATCH(1,(成本核算表!D:D=E21)*(成本核算表!C:C=G21),0))</f>
        <v>35</v>
      </c>
      <c r="I21" s="6">
        <v>804</v>
      </c>
      <c r="J21" s="6">
        <f ca="1" t="shared" si="3"/>
        <v>28140</v>
      </c>
      <c r="K21" s="6"/>
      <c r="L21" s="6"/>
      <c r="M21" s="6"/>
      <c r="N21" s="6">
        <f ca="1" t="shared" si="4"/>
        <v>28140</v>
      </c>
      <c r="O21" s="6">
        <f ca="1" t="shared" si="5"/>
        <v>7.81666666666667</v>
      </c>
      <c r="P21" s="6"/>
      <c r="Q21" s="6"/>
    </row>
    <row r="22" s="21" customFormat="1" ht="20" customHeight="1" spans="1:17">
      <c r="A22" s="27">
        <v>46094</v>
      </c>
      <c r="B22" s="6"/>
      <c r="C22" s="28"/>
      <c r="D22" s="5" t="s">
        <v>77</v>
      </c>
      <c r="E22" s="5" t="s">
        <v>78</v>
      </c>
      <c r="F22" s="6">
        <v>1960</v>
      </c>
      <c r="G22" s="5" t="s">
        <v>22</v>
      </c>
      <c r="H22" s="6">
        <f ca="1" t="array" ref="H22">INDEX(成本核算表!J:J,MATCH(1,(成本核算表!D:D=E22)*(成本核算表!C:C=G22),0))</f>
        <v>60</v>
      </c>
      <c r="I22" s="6">
        <v>108</v>
      </c>
      <c r="J22" s="6">
        <f ca="1" t="shared" si="3"/>
        <v>6480</v>
      </c>
      <c r="K22" s="6"/>
      <c r="L22" s="6"/>
      <c r="M22" s="6"/>
      <c r="N22" s="6">
        <f ca="1" t="shared" si="4"/>
        <v>6480</v>
      </c>
      <c r="O22" s="6">
        <f ca="1" t="shared" si="5"/>
        <v>1.8</v>
      </c>
      <c r="P22" s="6"/>
      <c r="Q22" s="6"/>
    </row>
    <row r="23" s="21" customFormat="1" ht="20" customHeight="1" spans="1:17">
      <c r="A23" s="27">
        <v>46095</v>
      </c>
      <c r="B23" s="6">
        <v>11</v>
      </c>
      <c r="C23" s="28">
        <f ca="1">SUM(O23:O25)/B23</f>
        <v>1.00113636363636</v>
      </c>
      <c r="D23" s="5" t="s">
        <v>17</v>
      </c>
      <c r="E23" s="6" t="s">
        <v>18</v>
      </c>
      <c r="F23" s="6">
        <v>1942</v>
      </c>
      <c r="G23" s="5" t="s">
        <v>140</v>
      </c>
      <c r="H23" s="6">
        <f ca="1" t="array" ref="H23">INDEX(成本核算表!J:J,MATCH(1,(成本核算表!D:D=E23)*(成本核算表!C:C=G23),0))</f>
        <v>30</v>
      </c>
      <c r="I23" s="6">
        <f>1487/2</f>
        <v>743.5</v>
      </c>
      <c r="J23" s="6">
        <f ca="1" t="shared" si="3"/>
        <v>22305</v>
      </c>
      <c r="K23" s="6"/>
      <c r="L23" s="6"/>
      <c r="M23" s="6"/>
      <c r="N23" s="6">
        <f ca="1" t="shared" si="4"/>
        <v>22305</v>
      </c>
      <c r="O23" s="6">
        <f ca="1" t="shared" si="5"/>
        <v>6.19583333333333</v>
      </c>
      <c r="P23" s="6"/>
      <c r="Q23" s="6"/>
    </row>
    <row r="24" s="21" customFormat="1" ht="20" customHeight="1" spans="1:17">
      <c r="A24" s="27">
        <v>46095</v>
      </c>
      <c r="B24" s="6"/>
      <c r="C24" s="28"/>
      <c r="D24" s="5" t="s">
        <v>20</v>
      </c>
      <c r="E24" s="6" t="s">
        <v>18</v>
      </c>
      <c r="F24" s="6">
        <v>1942</v>
      </c>
      <c r="G24" s="5" t="s">
        <v>140</v>
      </c>
      <c r="H24" s="6">
        <f ca="1" t="array" ref="H24">INDEX(成本核算表!J:J,MATCH(1,(成本核算表!D:D=E24)*(成本核算表!C:C=G24),0))</f>
        <v>30</v>
      </c>
      <c r="I24" s="6">
        <f>318</f>
        <v>318</v>
      </c>
      <c r="J24" s="6">
        <f ca="1" t="shared" si="3"/>
        <v>9540</v>
      </c>
      <c r="K24" s="6"/>
      <c r="L24" s="6"/>
      <c r="M24" s="6"/>
      <c r="N24" s="6">
        <f ca="1" t="shared" si="4"/>
        <v>9540</v>
      </c>
      <c r="O24" s="6">
        <f ca="1" t="shared" si="5"/>
        <v>2.65</v>
      </c>
      <c r="P24" s="6"/>
      <c r="Q24" s="6"/>
    </row>
    <row r="25" s="21" customFormat="1" ht="20" customHeight="1" spans="1:17">
      <c r="A25" s="27">
        <v>46095</v>
      </c>
      <c r="B25" s="6"/>
      <c r="C25" s="28"/>
      <c r="D25" s="5" t="s">
        <v>35</v>
      </c>
      <c r="E25" s="5" t="s">
        <v>36</v>
      </c>
      <c r="F25" s="6">
        <v>119.5</v>
      </c>
      <c r="G25" s="5" t="s">
        <v>41</v>
      </c>
      <c r="H25" s="6">
        <f ca="1" t="array" ref="H25">INDEX(成本核算表!J:J,MATCH(1,(成本核算表!D:D=E25)*(成本核算表!C:C=G25),0))</f>
        <v>12</v>
      </c>
      <c r="I25" s="6">
        <v>650</v>
      </c>
      <c r="J25" s="6">
        <f ca="1" t="shared" si="3"/>
        <v>7800</v>
      </c>
      <c r="K25" s="6"/>
      <c r="L25" s="6"/>
      <c r="M25" s="6"/>
      <c r="N25" s="6">
        <f ca="1" t="shared" si="4"/>
        <v>7800</v>
      </c>
      <c r="O25" s="6">
        <f ca="1" t="shared" si="5"/>
        <v>2.16666666666667</v>
      </c>
      <c r="P25" s="6"/>
      <c r="Q25" s="6"/>
    </row>
    <row r="26" s="21" customFormat="1" ht="20" customHeight="1" spans="1:17">
      <c r="A26" s="27">
        <v>46096</v>
      </c>
      <c r="B26" s="6">
        <v>12</v>
      </c>
      <c r="C26" s="28">
        <f ca="1">SUM(O26)/B26</f>
        <v>1.04166666666667</v>
      </c>
      <c r="D26" s="5" t="s">
        <v>105</v>
      </c>
      <c r="E26" s="5" t="s">
        <v>104</v>
      </c>
      <c r="F26" s="6">
        <v>2296.8</v>
      </c>
      <c r="G26" s="5" t="s">
        <v>22</v>
      </c>
      <c r="H26" s="6">
        <f ca="1" t="array" ref="H26">INDEX(成本核算表!J:J,MATCH(1,(成本核算表!D:D=E26)*(成本核算表!C:C=G26),0))</f>
        <v>600</v>
      </c>
      <c r="I26" s="6">
        <v>75</v>
      </c>
      <c r="J26" s="6">
        <f ca="1" t="shared" si="3"/>
        <v>45000</v>
      </c>
      <c r="K26" s="6"/>
      <c r="L26" s="6"/>
      <c r="M26" s="6"/>
      <c r="N26" s="6">
        <f ca="1" t="shared" si="4"/>
        <v>45000</v>
      </c>
      <c r="O26" s="6">
        <f ca="1" t="shared" si="5"/>
        <v>12.5</v>
      </c>
      <c r="P26" s="6"/>
      <c r="Q26" s="6"/>
    </row>
    <row r="27" s="21" customFormat="1" ht="20" customHeight="1" spans="1:17">
      <c r="A27" s="27">
        <v>46097</v>
      </c>
      <c r="B27" s="6">
        <v>12</v>
      </c>
      <c r="C27" s="28">
        <f ca="1">SUM(O27)/B27</f>
        <v>1.04166666666667</v>
      </c>
      <c r="D27" s="5" t="s">
        <v>105</v>
      </c>
      <c r="E27" s="5" t="s">
        <v>104</v>
      </c>
      <c r="F27" s="6">
        <v>2296.8</v>
      </c>
      <c r="G27" s="5" t="s">
        <v>22</v>
      </c>
      <c r="H27" s="6">
        <f ca="1" t="array" ref="H27">INDEX(成本核算表!J:J,MATCH(1,(成本核算表!D:D=E27)*(成本核算表!C:C=G27),0))</f>
        <v>600</v>
      </c>
      <c r="I27" s="6">
        <v>75</v>
      </c>
      <c r="J27" s="6">
        <f ca="1" t="shared" si="3"/>
        <v>45000</v>
      </c>
      <c r="K27" s="6"/>
      <c r="L27" s="6"/>
      <c r="M27" s="6"/>
      <c r="N27" s="6">
        <f ca="1" t="shared" si="4"/>
        <v>45000</v>
      </c>
      <c r="O27" s="6">
        <f ca="1" t="shared" si="5"/>
        <v>12.5</v>
      </c>
      <c r="P27" s="6"/>
      <c r="Q27" s="6"/>
    </row>
    <row r="28" s="21" customFormat="1" ht="20" customHeight="1" spans="1:17">
      <c r="A28" s="27">
        <v>46098</v>
      </c>
      <c r="B28" s="6">
        <v>12</v>
      </c>
      <c r="C28" s="28">
        <f ca="1">SUM(O28:O31)/B28</f>
        <v>0.944444444444445</v>
      </c>
      <c r="D28" s="5" t="s">
        <v>105</v>
      </c>
      <c r="E28" s="5" t="s">
        <v>104</v>
      </c>
      <c r="F28" s="6">
        <v>2296.8</v>
      </c>
      <c r="G28" s="5" t="s">
        <v>22</v>
      </c>
      <c r="H28" s="6">
        <f ca="1" t="array" ref="H28">INDEX(成本核算表!J:J,MATCH(1,(成本核算表!D:D=E28)*(成本核算表!C:C=G28),0))</f>
        <v>600</v>
      </c>
      <c r="I28" s="6">
        <v>26</v>
      </c>
      <c r="J28" s="6">
        <f ca="1" t="shared" si="3"/>
        <v>15600</v>
      </c>
      <c r="K28" s="6"/>
      <c r="L28" s="6"/>
      <c r="M28" s="6"/>
      <c r="N28" s="6">
        <f ca="1" t="shared" si="4"/>
        <v>15600</v>
      </c>
      <c r="O28" s="6">
        <f ca="1" t="shared" si="5"/>
        <v>4.33333333333333</v>
      </c>
      <c r="P28" s="6"/>
      <c r="Q28" s="6"/>
    </row>
    <row r="29" s="21" customFormat="1" ht="20" customHeight="1" spans="1:17">
      <c r="A29" s="27">
        <v>46098</v>
      </c>
      <c r="B29" s="6"/>
      <c r="C29" s="28"/>
      <c r="D29" s="5" t="s">
        <v>35</v>
      </c>
      <c r="E29" s="5" t="s">
        <v>36</v>
      </c>
      <c r="F29" s="6">
        <v>119.5</v>
      </c>
      <c r="G29" s="5" t="s">
        <v>41</v>
      </c>
      <c r="H29" s="6">
        <f ca="1" t="array" ref="H29">INDEX(成本核算表!J:J,MATCH(1,(成本核算表!D:D=E29)*(成本核算表!C:C=G29),0))</f>
        <v>12</v>
      </c>
      <c r="I29" s="6">
        <v>1130</v>
      </c>
      <c r="J29" s="6">
        <f ca="1" t="shared" si="3"/>
        <v>13560</v>
      </c>
      <c r="K29" s="6"/>
      <c r="L29" s="6">
        <v>9000</v>
      </c>
      <c r="M29" s="6"/>
      <c r="N29" s="6">
        <f ca="1" t="shared" si="4"/>
        <v>22560</v>
      </c>
      <c r="O29" s="6">
        <f ca="1" t="shared" si="5"/>
        <v>6.26666666666667</v>
      </c>
      <c r="P29" s="6"/>
      <c r="Q29" s="5" t="s">
        <v>72</v>
      </c>
    </row>
    <row r="30" s="21" customFormat="1" ht="20" customHeight="1" spans="1:17">
      <c r="A30" s="27">
        <v>46098</v>
      </c>
      <c r="B30" s="6"/>
      <c r="C30" s="28"/>
      <c r="D30" s="6"/>
      <c r="E30" s="5" t="s">
        <v>141</v>
      </c>
      <c r="F30" s="6">
        <v>133</v>
      </c>
      <c r="G30" s="5" t="s">
        <v>41</v>
      </c>
      <c r="H30" s="6">
        <f ca="1" t="array" ref="H30">INDEX(成本核算表!J:J,MATCH(1,(成本核算表!D:D=E30)*(成本核算表!C:C=G30),0))</f>
        <v>30</v>
      </c>
      <c r="I30" s="6">
        <v>44</v>
      </c>
      <c r="J30" s="6">
        <f ca="1" t="shared" si="3"/>
        <v>1320</v>
      </c>
      <c r="K30" s="6"/>
      <c r="L30" s="6"/>
      <c r="M30" s="6"/>
      <c r="N30" s="6">
        <f ca="1" t="shared" si="4"/>
        <v>1320</v>
      </c>
      <c r="O30" s="6">
        <f ca="1" t="shared" si="5"/>
        <v>0.366666666666667</v>
      </c>
      <c r="P30" s="6"/>
      <c r="Q30" s="6"/>
    </row>
    <row r="31" s="21" customFormat="1" ht="20" customHeight="1" spans="1:17">
      <c r="A31" s="27">
        <v>46098</v>
      </c>
      <c r="B31" s="6"/>
      <c r="C31" s="28"/>
      <c r="D31" s="6"/>
      <c r="E31" s="5" t="s">
        <v>141</v>
      </c>
      <c r="F31" s="6">
        <v>133</v>
      </c>
      <c r="G31" s="5" t="s">
        <v>57</v>
      </c>
      <c r="H31" s="6">
        <f ca="1" t="array" ref="H31">INDEX(成本核算表!J:J,MATCH(1,(成本核算表!D:D=E31)*(成本核算表!C:C=G31),0))</f>
        <v>30</v>
      </c>
      <c r="I31" s="6">
        <v>44</v>
      </c>
      <c r="J31" s="6">
        <f ca="1" t="shared" si="3"/>
        <v>1320</v>
      </c>
      <c r="K31" s="6"/>
      <c r="L31" s="6"/>
      <c r="M31" s="6"/>
      <c r="N31" s="6">
        <f ca="1" t="shared" si="4"/>
        <v>1320</v>
      </c>
      <c r="O31" s="6">
        <f ca="1" t="shared" si="5"/>
        <v>0.366666666666667</v>
      </c>
      <c r="P31" s="6"/>
      <c r="Q31" s="6"/>
    </row>
    <row r="32" s="21" customFormat="1" ht="20" customHeight="1" spans="1:17">
      <c r="A32" s="27">
        <v>46099</v>
      </c>
      <c r="B32" s="6">
        <v>12</v>
      </c>
      <c r="C32" s="28">
        <f ca="1">SUM(O32:O33)/B32</f>
        <v>1.01851851851852</v>
      </c>
      <c r="D32" s="6" t="s">
        <v>107</v>
      </c>
      <c r="E32" s="6" t="s">
        <v>108</v>
      </c>
      <c r="F32" s="6">
        <v>260</v>
      </c>
      <c r="G32" s="6" t="s">
        <v>24</v>
      </c>
      <c r="H32" s="6">
        <f ca="1" t="array" ref="H32">INDEX(成本核算表!J:J,MATCH(1,(成本核算表!D:D=E32)*(成本核算表!C:C=G32),0))</f>
        <v>50</v>
      </c>
      <c r="I32" s="6">
        <v>400</v>
      </c>
      <c r="J32" s="6">
        <f ca="1" t="shared" si="3"/>
        <v>20000</v>
      </c>
      <c r="K32" s="6"/>
      <c r="L32" s="6"/>
      <c r="M32" s="6"/>
      <c r="N32" s="6">
        <f ca="1" t="shared" si="4"/>
        <v>20000</v>
      </c>
      <c r="O32" s="6">
        <f ca="1" t="shared" si="5"/>
        <v>5.55555555555556</v>
      </c>
      <c r="P32" s="6"/>
      <c r="Q32" s="6"/>
    </row>
    <row r="33" s="21" customFormat="1" ht="20" customHeight="1" spans="1:17">
      <c r="A33" s="27">
        <v>46099</v>
      </c>
      <c r="B33" s="6"/>
      <c r="C33" s="28"/>
      <c r="D33" s="6" t="s">
        <v>107</v>
      </c>
      <c r="E33" s="6" t="s">
        <v>108</v>
      </c>
      <c r="F33" s="6">
        <v>260</v>
      </c>
      <c r="G33" s="6" t="s">
        <v>25</v>
      </c>
      <c r="H33" s="6">
        <f ca="1" t="array" ref="H33">INDEX(成本核算表!J:J,MATCH(1,(成本核算表!D:D=E33)*(成本核算表!C:C=G33),0))</f>
        <v>60</v>
      </c>
      <c r="I33" s="6">
        <v>400</v>
      </c>
      <c r="J33" s="6">
        <f ca="1" t="shared" si="3"/>
        <v>24000</v>
      </c>
      <c r="K33" s="6"/>
      <c r="L33" s="6"/>
      <c r="M33" s="6"/>
      <c r="N33" s="6">
        <f ca="1" t="shared" si="4"/>
        <v>24000</v>
      </c>
      <c r="O33" s="6">
        <f ca="1" t="shared" si="5"/>
        <v>6.66666666666667</v>
      </c>
      <c r="P33" s="6"/>
      <c r="Q33" s="6"/>
    </row>
    <row r="34" s="21" customFormat="1" ht="20" customHeight="1" spans="1:17">
      <c r="A34" s="27">
        <v>46100</v>
      </c>
      <c r="B34" s="6">
        <v>12</v>
      </c>
      <c r="C34" s="28">
        <f ca="1">SUM(O34)/B34</f>
        <v>1</v>
      </c>
      <c r="D34" s="5" t="s">
        <v>142</v>
      </c>
      <c r="E34" s="5" t="s">
        <v>143</v>
      </c>
      <c r="F34" s="6">
        <v>2400</v>
      </c>
      <c r="G34" s="5" t="s">
        <v>22</v>
      </c>
      <c r="H34" s="6">
        <f ca="1" t="array" ref="H34">INDEX(成本核算表!J:J,MATCH(1,(成本核算表!D:D=E34)*(成本核算表!C:C=G34),0))</f>
        <v>240</v>
      </c>
      <c r="I34" s="6">
        <v>180</v>
      </c>
      <c r="J34" s="6">
        <f ca="1" t="shared" si="3"/>
        <v>43200</v>
      </c>
      <c r="K34" s="6"/>
      <c r="L34" s="6"/>
      <c r="M34" s="6"/>
      <c r="N34" s="6">
        <f ca="1" t="shared" si="4"/>
        <v>43200</v>
      </c>
      <c r="O34" s="6">
        <f ca="1" t="shared" si="5"/>
        <v>12</v>
      </c>
      <c r="P34" s="6"/>
      <c r="Q34" s="6"/>
    </row>
    <row r="35" s="21" customFormat="1" ht="20" customHeight="1" spans="1:17">
      <c r="A35" s="27">
        <v>46101</v>
      </c>
      <c r="B35" s="6">
        <v>12</v>
      </c>
      <c r="C35" s="28">
        <f ca="1">SUM(O35)/B35</f>
        <v>1.00810185185185</v>
      </c>
      <c r="D35" s="5" t="s">
        <v>111</v>
      </c>
      <c r="E35" s="5" t="s">
        <v>134</v>
      </c>
      <c r="F35" s="6">
        <v>1447</v>
      </c>
      <c r="G35" s="5" t="s">
        <v>22</v>
      </c>
      <c r="H35" s="6">
        <f ca="1" t="array" ref="H35">INDEX(成本核算表!J:J,MATCH(1,(成本核算表!D:D=E35)*(成本核算表!C:C=G35),0))</f>
        <v>335</v>
      </c>
      <c r="I35" s="6">
        <v>130</v>
      </c>
      <c r="J35" s="6">
        <f ca="1" t="shared" si="3"/>
        <v>43550</v>
      </c>
      <c r="K35" s="6"/>
      <c r="L35" s="6"/>
      <c r="M35" s="6"/>
      <c r="N35" s="6">
        <f ca="1" t="shared" si="4"/>
        <v>43550</v>
      </c>
      <c r="O35" s="6">
        <f ca="1" t="shared" si="5"/>
        <v>12.0972222222222</v>
      </c>
      <c r="P35" s="6"/>
      <c r="Q35" s="6"/>
    </row>
    <row r="36" s="21" customFormat="1" ht="20" customHeight="1" spans="1:17">
      <c r="A36" s="6"/>
      <c r="B36" s="6"/>
      <c r="C36" s="28"/>
      <c r="D36" s="6"/>
      <c r="E36" s="6"/>
      <c r="F36" s="6"/>
      <c r="G36" s="6"/>
      <c r="H36" s="6">
        <f ca="1" t="array" ref="H36">INDEX(成本核算表!J:J,MATCH(1,(成本核算表!D:D=E36)*(成本核算表!C:C=G36),0))</f>
        <v>0</v>
      </c>
      <c r="I36" s="6"/>
      <c r="J36" s="6">
        <f ca="1" t="shared" si="3"/>
        <v>0</v>
      </c>
      <c r="K36" s="6"/>
      <c r="L36" s="6"/>
      <c r="M36" s="6"/>
      <c r="N36" s="6">
        <f ca="1" t="shared" si="4"/>
        <v>0</v>
      </c>
      <c r="O36" s="6">
        <f ca="1" t="shared" si="5"/>
        <v>0</v>
      </c>
      <c r="P36" s="6"/>
      <c r="Q36" s="6"/>
    </row>
    <row r="37" s="21" customFormat="1" ht="20" customHeight="1" spans="1:17">
      <c r="A37" s="6"/>
      <c r="B37" s="6"/>
      <c r="C37" s="28"/>
      <c r="D37" s="6"/>
      <c r="E37" s="6"/>
      <c r="F37" s="6"/>
      <c r="G37" s="6"/>
      <c r="H37" s="6">
        <f ca="1" t="array" ref="H37">INDEX(成本核算表!J:J,MATCH(1,(成本核算表!D:D=E37)*(成本核算表!C:C=G37),0))</f>
        <v>0</v>
      </c>
      <c r="I37" s="6"/>
      <c r="J37" s="6">
        <f ca="1" t="shared" si="3"/>
        <v>0</v>
      </c>
      <c r="K37" s="6"/>
      <c r="L37" s="6"/>
      <c r="M37" s="6"/>
      <c r="N37" s="6">
        <f ca="1" t="shared" si="4"/>
        <v>0</v>
      </c>
      <c r="O37" s="6">
        <f ca="1" t="shared" si="5"/>
        <v>0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3"/>
        <v>0</v>
      </c>
      <c r="K38" s="6"/>
      <c r="L38" s="6"/>
      <c r="M38" s="6"/>
      <c r="N38" s="6">
        <f ca="1" t="shared" si="4"/>
        <v>0</v>
      </c>
      <c r="O38" s="6">
        <f ca="1" t="shared" si="5"/>
        <v>0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3"/>
        <v>0</v>
      </c>
      <c r="K39" s="6"/>
      <c r="L39" s="6"/>
      <c r="M39" s="6"/>
      <c r="N39" s="6">
        <f ca="1" t="shared" si="4"/>
        <v>0</v>
      </c>
      <c r="O39" s="6">
        <f ca="1" t="shared" si="5"/>
        <v>0</v>
      </c>
      <c r="P39" s="6"/>
      <c r="Q39" s="6"/>
    </row>
    <row r="40" s="21" customFormat="1" ht="20" customHeight="1" spans="1:17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6"/>
      <c r="J40" s="6">
        <f ca="1" t="shared" si="3"/>
        <v>0</v>
      </c>
      <c r="K40" s="6"/>
      <c r="L40" s="6"/>
      <c r="M40" s="6"/>
      <c r="N40" s="6">
        <f ca="1" t="shared" si="4"/>
        <v>0</v>
      </c>
      <c r="O40" s="6">
        <f ca="1" t="shared" si="5"/>
        <v>0</v>
      </c>
      <c r="P40" s="6"/>
      <c r="Q40" s="6"/>
    </row>
    <row r="41" s="21" customFormat="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3"/>
        <v>0</v>
      </c>
      <c r="K41" s="6"/>
      <c r="L41" s="6"/>
      <c r="M41" s="6"/>
      <c r="N41" s="6">
        <f ca="1" t="shared" si="4"/>
        <v>0</v>
      </c>
      <c r="O41" s="6">
        <f ca="1" t="shared" si="5"/>
        <v>0</v>
      </c>
      <c r="P41" s="6"/>
      <c r="Q41" s="6"/>
    </row>
    <row r="42" s="21" customFormat="1" ht="20" customHeight="1" spans="1:17">
      <c r="A42" s="6"/>
      <c r="B42" s="6"/>
      <c r="C42" s="28"/>
      <c r="D42" s="6"/>
      <c r="E42" s="6"/>
      <c r="F42" s="6"/>
      <c r="G42" s="6"/>
      <c r="H42" s="6">
        <f ca="1" t="array" ref="H42">INDEX(成本核算表!J:J,MATCH(1,(成本核算表!D:D=E42)*(成本核算表!C:C=G42),0))</f>
        <v>0</v>
      </c>
      <c r="I42" s="6"/>
      <c r="J42" s="6">
        <f ca="1" t="shared" si="3"/>
        <v>0</v>
      </c>
      <c r="K42" s="6"/>
      <c r="L42" s="6"/>
      <c r="M42" s="6"/>
      <c r="N42" s="6">
        <f ca="1" t="shared" si="4"/>
        <v>0</v>
      </c>
      <c r="O42" s="6">
        <f ca="1" t="shared" si="5"/>
        <v>0</v>
      </c>
      <c r="P42" s="6"/>
      <c r="Q42" s="6"/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3"/>
        <v>0</v>
      </c>
      <c r="K43" s="23"/>
      <c r="L43" s="23"/>
      <c r="N43" s="6">
        <f ca="1" t="shared" si="4"/>
        <v>0</v>
      </c>
      <c r="O43" s="6">
        <f ca="1" t="shared" si="5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3"/>
        <v>0</v>
      </c>
      <c r="K44" s="23"/>
      <c r="L44" s="23"/>
      <c r="N44" s="6">
        <f ca="1" t="shared" si="4"/>
        <v>0</v>
      </c>
      <c r="O44" s="6">
        <f ca="1" t="shared" si="5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3"/>
        <v>0</v>
      </c>
      <c r="K45" s="23"/>
      <c r="L45" s="23"/>
      <c r="N45" s="6">
        <f ca="1" t="shared" si="4"/>
        <v>0</v>
      </c>
      <c r="O45" s="6">
        <f ca="1" t="shared" si="5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3"/>
        <v>0</v>
      </c>
      <c r="K46" s="23"/>
      <c r="L46" s="23"/>
      <c r="N46" s="6">
        <f ca="1" t="shared" si="4"/>
        <v>0</v>
      </c>
      <c r="O46" s="6">
        <f ca="1" t="shared" si="5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3"/>
        <v>0</v>
      </c>
      <c r="K47" s="23"/>
      <c r="L47" s="23"/>
      <c r="N47" s="6">
        <f ca="1" t="shared" si="4"/>
        <v>0</v>
      </c>
      <c r="O47" s="6">
        <f ca="1" t="shared" si="5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3"/>
        <v>0</v>
      </c>
      <c r="K48" s="23"/>
      <c r="L48" s="23"/>
      <c r="N48" s="6">
        <f ca="1" t="shared" si="4"/>
        <v>0</v>
      </c>
      <c r="O48" s="6">
        <f ca="1" t="shared" si="5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3"/>
        <v>0</v>
      </c>
      <c r="K49" s="23"/>
      <c r="L49" s="23"/>
      <c r="N49" s="6">
        <f ca="1" t="shared" si="4"/>
        <v>0</v>
      </c>
      <c r="O49" s="6">
        <f ca="1" t="shared" si="5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3"/>
        <v>0</v>
      </c>
      <c r="K50" s="23"/>
      <c r="L50" s="23"/>
      <c r="N50" s="6">
        <f ca="1" t="shared" si="4"/>
        <v>0</v>
      </c>
      <c r="O50" s="6">
        <f ca="1" t="shared" si="5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3"/>
        <v>0</v>
      </c>
      <c r="K51" s="23"/>
      <c r="L51" s="23"/>
      <c r="N51" s="6">
        <f ca="1" t="shared" si="4"/>
        <v>0</v>
      </c>
      <c r="O51" s="6">
        <f ca="1" t="shared" si="5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3"/>
        <v>0</v>
      </c>
      <c r="K52" s="23"/>
      <c r="L52" s="23"/>
      <c r="N52" s="6">
        <f ca="1" t="shared" si="4"/>
        <v>0</v>
      </c>
      <c r="O52" s="6">
        <f ca="1" t="shared" si="5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3"/>
        <v>0</v>
      </c>
      <c r="K53" s="23"/>
      <c r="L53" s="23"/>
      <c r="N53" s="6">
        <f ca="1" t="shared" si="4"/>
        <v>0</v>
      </c>
      <c r="O53" s="6">
        <f ca="1" t="shared" si="5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3"/>
        <v>0</v>
      </c>
      <c r="K54" s="23"/>
      <c r="L54" s="23"/>
      <c r="N54" s="6">
        <f ca="1" t="shared" si="4"/>
        <v>0</v>
      </c>
      <c r="O54" s="6">
        <f ca="1" t="shared" si="5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3"/>
        <v>0</v>
      </c>
      <c r="K55" s="23"/>
      <c r="L55" s="23"/>
      <c r="N55" s="6">
        <f ca="1" t="shared" si="4"/>
        <v>0</v>
      </c>
      <c r="O55" s="6">
        <f ca="1" t="shared" si="5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3"/>
        <v>0</v>
      </c>
      <c r="K56" s="23"/>
      <c r="L56" s="23"/>
      <c r="N56" s="6">
        <f ca="1" t="shared" si="4"/>
        <v>0</v>
      </c>
      <c r="O56" s="6">
        <f ca="1" t="shared" si="5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3"/>
        <v>0</v>
      </c>
      <c r="K57" s="23"/>
      <c r="L57" s="23"/>
      <c r="N57" s="6">
        <f ca="1" t="shared" si="4"/>
        <v>0</v>
      </c>
      <c r="O57" s="6">
        <f ca="1" t="shared" si="5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3"/>
        <v>0</v>
      </c>
      <c r="K58" s="23"/>
      <c r="L58" s="23"/>
      <c r="N58" s="6">
        <f ca="1" t="shared" si="4"/>
        <v>0</v>
      </c>
      <c r="O58" s="6">
        <f ca="1" t="shared" si="5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3"/>
        <v>0</v>
      </c>
      <c r="K59" s="23"/>
      <c r="L59" s="23"/>
      <c r="N59" s="6">
        <f ca="1" t="shared" si="4"/>
        <v>0</v>
      </c>
      <c r="O59" s="6">
        <f ca="1" t="shared" si="5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3"/>
        <v>0</v>
      </c>
      <c r="K60" s="23"/>
      <c r="L60" s="23"/>
      <c r="N60" s="6">
        <f ca="1" t="shared" si="4"/>
        <v>0</v>
      </c>
      <c r="O60" s="6">
        <f ca="1" t="shared" si="5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3"/>
        <v>0</v>
      </c>
      <c r="K61" s="23"/>
      <c r="L61" s="23"/>
      <c r="N61" s="6">
        <f ca="1" t="shared" si="4"/>
        <v>0</v>
      </c>
      <c r="O61" s="6">
        <f ca="1" t="shared" si="5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3"/>
        <v>0</v>
      </c>
      <c r="K62" s="23"/>
      <c r="L62" s="23"/>
      <c r="N62" s="6">
        <f ca="1" t="shared" si="4"/>
        <v>0</v>
      </c>
      <c r="O62" s="6">
        <f ca="1" t="shared" si="5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3"/>
        <v>0</v>
      </c>
      <c r="K63" s="23"/>
      <c r="L63" s="23"/>
      <c r="N63" s="6">
        <f ca="1" t="shared" si="4"/>
        <v>0</v>
      </c>
      <c r="O63" s="6">
        <f ca="1" t="shared" si="5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3"/>
        <v>0</v>
      </c>
      <c r="K64" s="23"/>
      <c r="L64" s="23"/>
      <c r="N64" s="6">
        <f ca="1" t="shared" si="4"/>
        <v>0</v>
      </c>
      <c r="O64" s="6">
        <f ca="1" t="shared" si="5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3"/>
        <v>0</v>
      </c>
      <c r="K65" s="23"/>
      <c r="L65" s="23"/>
      <c r="N65" s="6">
        <f ca="1" t="shared" si="4"/>
        <v>0</v>
      </c>
      <c r="O65" s="6">
        <f ca="1" t="shared" si="5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si="3"/>
        <v>0</v>
      </c>
      <c r="K66" s="23"/>
      <c r="L66" s="23"/>
      <c r="N66" s="6">
        <f ca="1" t="shared" si="4"/>
        <v>0</v>
      </c>
      <c r="O66" s="6">
        <f ca="1" t="shared" si="5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ref="J67:J102" si="8">H67*I67</f>
        <v>0</v>
      </c>
      <c r="K67" s="23"/>
      <c r="L67" s="23"/>
      <c r="N67" s="6">
        <f ca="1" t="shared" ref="N67:N102" si="9">J67-M67+L67</f>
        <v>0</v>
      </c>
      <c r="O67" s="6">
        <f ca="1" t="shared" ref="O67:O102" si="10">N67/3600</f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8"/>
        <v>0</v>
      </c>
      <c r="K68" s="23"/>
      <c r="L68" s="23"/>
      <c r="N68" s="6">
        <f ca="1" t="shared" si="9"/>
        <v>0</v>
      </c>
      <c r="O68" s="6">
        <f ca="1" t="shared" si="10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8"/>
        <v>0</v>
      </c>
      <c r="K69" s="23"/>
      <c r="L69" s="23"/>
      <c r="N69" s="6">
        <f ca="1" t="shared" si="9"/>
        <v>0</v>
      </c>
      <c r="O69" s="6">
        <f ca="1" t="shared" si="10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8"/>
        <v>0</v>
      </c>
      <c r="K70" s="23"/>
      <c r="L70" s="23"/>
      <c r="N70" s="6">
        <f ca="1" t="shared" si="9"/>
        <v>0</v>
      </c>
      <c r="O70" s="6">
        <f ca="1" t="shared" si="10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8"/>
        <v>0</v>
      </c>
      <c r="K71" s="23"/>
      <c r="L71" s="23"/>
      <c r="N71" s="6">
        <f ca="1" t="shared" si="9"/>
        <v>0</v>
      </c>
      <c r="O71" s="6">
        <f ca="1" t="shared" si="10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8"/>
        <v>0</v>
      </c>
      <c r="K72" s="23"/>
      <c r="L72" s="23"/>
      <c r="N72" s="6">
        <f ca="1" t="shared" si="9"/>
        <v>0</v>
      </c>
      <c r="O72" s="6">
        <f ca="1" t="shared" si="10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8"/>
        <v>0</v>
      </c>
      <c r="K73" s="23"/>
      <c r="L73" s="23"/>
      <c r="N73" s="6">
        <f ca="1" t="shared" si="9"/>
        <v>0</v>
      </c>
      <c r="O73" s="6">
        <f ca="1" t="shared" si="10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8"/>
        <v>0</v>
      </c>
      <c r="K74" s="23"/>
      <c r="L74" s="23"/>
      <c r="N74" s="6">
        <f ca="1" t="shared" si="9"/>
        <v>0</v>
      </c>
      <c r="O74" s="6">
        <f ca="1" t="shared" si="10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8"/>
        <v>0</v>
      </c>
      <c r="K75" s="23"/>
      <c r="L75" s="23"/>
      <c r="N75" s="6">
        <f ca="1" t="shared" si="9"/>
        <v>0</v>
      </c>
      <c r="O75" s="6">
        <f ca="1" t="shared" si="10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8"/>
        <v>0</v>
      </c>
      <c r="K76" s="23"/>
      <c r="L76" s="23"/>
      <c r="N76" s="6">
        <f ca="1" t="shared" si="9"/>
        <v>0</v>
      </c>
      <c r="O76" s="6">
        <f ca="1" t="shared" si="10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8"/>
        <v>0</v>
      </c>
      <c r="K77" s="23"/>
      <c r="L77" s="23"/>
      <c r="N77" s="6">
        <f ca="1" t="shared" si="9"/>
        <v>0</v>
      </c>
      <c r="O77" s="6">
        <f ca="1" t="shared" si="10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8"/>
        <v>0</v>
      </c>
      <c r="K78" s="23"/>
      <c r="L78" s="23"/>
      <c r="N78" s="6">
        <f ca="1" t="shared" si="9"/>
        <v>0</v>
      </c>
      <c r="O78" s="6">
        <f ca="1" t="shared" si="10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8"/>
        <v>0</v>
      </c>
      <c r="K79" s="23"/>
      <c r="L79" s="23"/>
      <c r="N79" s="6">
        <f ca="1" t="shared" si="9"/>
        <v>0</v>
      </c>
      <c r="O79" s="6">
        <f ca="1" t="shared" si="10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8"/>
        <v>0</v>
      </c>
      <c r="K80" s="23"/>
      <c r="L80" s="23"/>
      <c r="N80" s="6">
        <f ca="1" t="shared" si="9"/>
        <v>0</v>
      </c>
      <c r="O80" s="6">
        <f ca="1" t="shared" si="10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8"/>
        <v>0</v>
      </c>
      <c r="K81" s="23"/>
      <c r="L81" s="23"/>
      <c r="N81" s="6">
        <f ca="1" t="shared" si="9"/>
        <v>0</v>
      </c>
      <c r="O81" s="6">
        <f ca="1" t="shared" si="10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8"/>
        <v>0</v>
      </c>
      <c r="K82" s="23"/>
      <c r="L82" s="23"/>
      <c r="N82" s="6">
        <f ca="1" t="shared" si="9"/>
        <v>0</v>
      </c>
      <c r="O82" s="6">
        <f ca="1" t="shared" si="10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8"/>
        <v>0</v>
      </c>
      <c r="K83" s="23"/>
      <c r="L83" s="23"/>
      <c r="N83" s="6">
        <f ca="1" t="shared" si="9"/>
        <v>0</v>
      </c>
      <c r="O83" s="6">
        <f ca="1" t="shared" si="10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8"/>
        <v>0</v>
      </c>
      <c r="K84" s="23"/>
      <c r="L84" s="23"/>
      <c r="N84" s="6">
        <f ca="1" t="shared" si="9"/>
        <v>0</v>
      </c>
      <c r="O84" s="6">
        <f ca="1" t="shared" si="10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8"/>
        <v>0</v>
      </c>
      <c r="K85" s="23"/>
      <c r="L85" s="23"/>
      <c r="N85" s="6">
        <f ca="1" t="shared" si="9"/>
        <v>0</v>
      </c>
      <c r="O85" s="6">
        <f ca="1" t="shared" si="10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8"/>
        <v>0</v>
      </c>
      <c r="K86" s="23"/>
      <c r="L86" s="23"/>
      <c r="N86" s="6">
        <f ca="1" t="shared" si="9"/>
        <v>0</v>
      </c>
      <c r="O86" s="6">
        <f ca="1" t="shared" si="10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8"/>
        <v>0</v>
      </c>
      <c r="K87" s="23"/>
      <c r="L87" s="23"/>
      <c r="N87" s="6">
        <f ca="1" t="shared" si="9"/>
        <v>0</v>
      </c>
      <c r="O87" s="6">
        <f ca="1" t="shared" si="10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8"/>
        <v>0</v>
      </c>
      <c r="K88" s="23"/>
      <c r="L88" s="23"/>
      <c r="N88" s="6">
        <f ca="1" t="shared" si="9"/>
        <v>0</v>
      </c>
      <c r="O88" s="6">
        <f ca="1" t="shared" si="10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8"/>
        <v>0</v>
      </c>
      <c r="K89" s="23"/>
      <c r="L89" s="23"/>
      <c r="N89" s="6">
        <f ca="1" t="shared" si="9"/>
        <v>0</v>
      </c>
      <c r="O89" s="6">
        <f ca="1" t="shared" si="10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8"/>
        <v>0</v>
      </c>
      <c r="K90" s="23"/>
      <c r="L90" s="23"/>
      <c r="N90" s="6">
        <f ca="1" t="shared" si="9"/>
        <v>0</v>
      </c>
      <c r="O90" s="6">
        <f ca="1" t="shared" si="10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8"/>
        <v>0</v>
      </c>
      <c r="K91" s="23"/>
      <c r="L91" s="23"/>
      <c r="N91" s="6">
        <f ca="1" t="shared" si="9"/>
        <v>0</v>
      </c>
      <c r="O91" s="6">
        <f ca="1" t="shared" si="10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8"/>
        <v>0</v>
      </c>
      <c r="K92" s="23"/>
      <c r="L92" s="23"/>
      <c r="N92" s="6">
        <f ca="1" t="shared" si="9"/>
        <v>0</v>
      </c>
      <c r="O92" s="6">
        <f ca="1" t="shared" si="10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8"/>
        <v>0</v>
      </c>
      <c r="K93" s="23"/>
      <c r="L93" s="23"/>
      <c r="N93" s="6">
        <f ca="1" t="shared" si="9"/>
        <v>0</v>
      </c>
      <c r="O93" s="6">
        <f ca="1" t="shared" si="10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8"/>
        <v>0</v>
      </c>
      <c r="K94" s="23"/>
      <c r="L94" s="23"/>
      <c r="N94" s="6">
        <f ca="1" t="shared" si="9"/>
        <v>0</v>
      </c>
      <c r="O94" s="6">
        <f ca="1" t="shared" si="10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8"/>
        <v>0</v>
      </c>
      <c r="K95" s="23"/>
      <c r="L95" s="23"/>
      <c r="N95" s="6">
        <f ca="1" t="shared" si="9"/>
        <v>0</v>
      </c>
      <c r="O95" s="6">
        <f ca="1" t="shared" si="10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8"/>
        <v>0</v>
      </c>
      <c r="K96" s="23"/>
      <c r="L96" s="23"/>
      <c r="N96" s="6">
        <f ca="1" t="shared" si="9"/>
        <v>0</v>
      </c>
      <c r="O96" s="6">
        <f ca="1" t="shared" si="10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8"/>
        <v>0</v>
      </c>
      <c r="K97" s="23"/>
      <c r="L97" s="23"/>
      <c r="N97" s="6">
        <f ca="1" t="shared" si="9"/>
        <v>0</v>
      </c>
      <c r="O97" s="6">
        <f ca="1" t="shared" si="10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8"/>
        <v>0</v>
      </c>
      <c r="K98" s="23"/>
      <c r="L98" s="23"/>
      <c r="N98" s="6">
        <f ca="1" t="shared" si="9"/>
        <v>0</v>
      </c>
      <c r="O98" s="6">
        <f ca="1" t="shared" si="10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8"/>
        <v>0</v>
      </c>
      <c r="K99" s="23"/>
      <c r="L99" s="23"/>
      <c r="N99" s="6">
        <f ca="1" t="shared" si="9"/>
        <v>0</v>
      </c>
      <c r="O99" s="6">
        <f ca="1" t="shared" si="10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8"/>
        <v>0</v>
      </c>
      <c r="K100" s="23"/>
      <c r="L100" s="23"/>
      <c r="N100" s="6">
        <f ca="1" t="shared" si="9"/>
        <v>0</v>
      </c>
      <c r="O100" s="6">
        <f ca="1" t="shared" si="10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8"/>
        <v>0</v>
      </c>
      <c r="K101" s="23"/>
      <c r="L101" s="23"/>
      <c r="N101" s="6">
        <f ca="1" t="shared" si="9"/>
        <v>0</v>
      </c>
      <c r="O101" s="6">
        <f ca="1" t="shared" si="10"/>
        <v>0</v>
      </c>
    </row>
    <row r="102" s="21" customFormat="1" ht="20" customHeight="1" spans="1:15">
      <c r="A102" s="22"/>
      <c r="B102" s="23"/>
      <c r="C102" s="24"/>
      <c r="D102" s="23"/>
      <c r="E102" s="23"/>
      <c r="F102" s="23"/>
      <c r="G102" s="23"/>
      <c r="H102" s="6">
        <f ca="1" t="array" ref="H102">INDEX(成本核算表!J:J,MATCH(1,(成本核算表!D:D=E102)*(成本核算表!C:C=G102),0))</f>
        <v>0</v>
      </c>
      <c r="I102" s="6"/>
      <c r="J102" s="6">
        <f ca="1" t="shared" si="8"/>
        <v>0</v>
      </c>
      <c r="K102" s="23"/>
      <c r="L102" s="23"/>
      <c r="N102" s="6">
        <f ca="1" t="shared" si="9"/>
        <v>0</v>
      </c>
      <c r="O102" s="6">
        <f ca="1" t="shared" si="10"/>
        <v>0</v>
      </c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  <row r="180" s="21" customFormat="1" customHeight="1" spans="1:12">
      <c r="A180" s="22"/>
      <c r="B180" s="23"/>
      <c r="C180" s="24"/>
      <c r="D180" s="23"/>
      <c r="E180" s="23"/>
      <c r="F180" s="23"/>
      <c r="G180" s="23"/>
      <c r="H180" s="25"/>
      <c r="I180" s="25"/>
      <c r="J180" s="23"/>
      <c r="K180" s="23"/>
      <c r="L180" s="23"/>
    </row>
    <row r="248" s="21" customFormat="1" customHeight="1" spans="1:12">
      <c r="A248" s="22"/>
      <c r="B248" s="23"/>
      <c r="C248" s="24"/>
      <c r="D248" s="23"/>
      <c r="E248" s="23"/>
      <c r="F248" s="23"/>
      <c r="G248" s="23"/>
      <c r="H248" s="25"/>
      <c r="I248" s="25"/>
      <c r="J248" s="23"/>
      <c r="K248" s="23"/>
      <c r="L248" s="23"/>
    </row>
    <row r="249" s="21" customFormat="1" customHeight="1" spans="1:12">
      <c r="A249" s="22"/>
      <c r="B249" s="23"/>
      <c r="C249" s="24"/>
      <c r="D249" s="23"/>
      <c r="E249" s="23"/>
      <c r="F249" s="23"/>
      <c r="G249" s="23"/>
      <c r="H249" s="25"/>
      <c r="I249" s="25"/>
      <c r="J249" s="23"/>
      <c r="K249" s="23"/>
      <c r="L249" s="23"/>
    </row>
    <row r="250" s="21" customFormat="1" customHeight="1" spans="1:12">
      <c r="A250" s="22"/>
      <c r="B250" s="23"/>
      <c r="C250" s="24"/>
      <c r="D250" s="23"/>
      <c r="E250" s="23"/>
      <c r="F250" s="23"/>
      <c r="G250" s="23"/>
      <c r="H250" s="25"/>
      <c r="I250" s="25"/>
      <c r="J250" s="23"/>
      <c r="K250" s="23"/>
      <c r="L250" s="23"/>
    </row>
    <row r="251" s="21" customFormat="1" customHeight="1" spans="1:12">
      <c r="A251" s="22"/>
      <c r="B251" s="23"/>
      <c r="C251" s="24"/>
      <c r="D251" s="23"/>
      <c r="E251" s="23"/>
      <c r="F251" s="23"/>
      <c r="G251" s="23"/>
      <c r="H251" s="25"/>
      <c r="I251" s="25"/>
      <c r="J251" s="23"/>
      <c r="K251" s="23"/>
      <c r="L251" s="23"/>
    </row>
    <row r="252" s="21" customFormat="1" customHeight="1" spans="1:12">
      <c r="A252" s="22"/>
      <c r="B252" s="23"/>
      <c r="C252" s="24"/>
      <c r="D252" s="23"/>
      <c r="E252" s="23"/>
      <c r="F252" s="23"/>
      <c r="G252" s="23"/>
      <c r="H252" s="25"/>
      <c r="I252" s="25"/>
      <c r="J252" s="23"/>
      <c r="K252" s="23"/>
      <c r="L252" s="23"/>
    </row>
    <row r="253" s="21" customFormat="1" customHeight="1" spans="1:12">
      <c r="A253" s="22"/>
      <c r="B253" s="23"/>
      <c r="C253" s="24"/>
      <c r="D253" s="23"/>
      <c r="E253" s="23"/>
      <c r="F253" s="23"/>
      <c r="G253" s="23"/>
      <c r="H253" s="25"/>
      <c r="I253" s="25"/>
      <c r="J253" s="23"/>
      <c r="K253" s="23"/>
      <c r="L253" s="23"/>
    </row>
    <row r="254" s="21" customFormat="1" customHeight="1" spans="1:12">
      <c r="A254" s="22"/>
      <c r="B254" s="23"/>
      <c r="C254" s="24"/>
      <c r="D254" s="23"/>
      <c r="E254" s="23"/>
      <c r="F254" s="23"/>
      <c r="G254" s="23"/>
      <c r="H254" s="25"/>
      <c r="I254" s="25"/>
      <c r="J254" s="23"/>
      <c r="K254" s="23"/>
      <c r="L254" s="23"/>
    </row>
    <row r="255" s="21" customFormat="1" customHeight="1" spans="1:12">
      <c r="A255" s="22"/>
      <c r="B255" s="23"/>
      <c r="C255" s="24"/>
      <c r="D255" s="23"/>
      <c r="E255" s="23"/>
      <c r="F255" s="23"/>
      <c r="G255" s="23"/>
      <c r="H255" s="25"/>
      <c r="I255" s="25"/>
      <c r="J255" s="23"/>
      <c r="K255" s="23"/>
      <c r="L255" s="23"/>
    </row>
    <row r="256" s="21" customFormat="1" customHeight="1" spans="1:12">
      <c r="A256" s="22"/>
      <c r="B256" s="23"/>
      <c r="C256" s="24"/>
      <c r="D256" s="23"/>
      <c r="E256" s="23"/>
      <c r="F256" s="23"/>
      <c r="G256" s="23"/>
      <c r="H256" s="25"/>
      <c r="I256" s="25"/>
      <c r="J256" s="23"/>
      <c r="K256" s="23"/>
      <c r="L256" s="23"/>
    </row>
    <row r="257" s="21" customFormat="1" customHeight="1" spans="1:12">
      <c r="A257" s="22"/>
      <c r="B257" s="23"/>
      <c r="C257" s="24"/>
      <c r="D257" s="23"/>
      <c r="E257" s="23"/>
      <c r="F257" s="23"/>
      <c r="G257" s="23"/>
      <c r="H257" s="25"/>
      <c r="I257" s="25"/>
      <c r="J257" s="23"/>
      <c r="K257" s="23"/>
      <c r="L257" s="23"/>
    </row>
    <row r="258" s="21" customFormat="1" customHeight="1" spans="1:12">
      <c r="A258" s="22"/>
      <c r="B258" s="23"/>
      <c r="C258" s="24"/>
      <c r="D258" s="23"/>
      <c r="E258" s="23"/>
      <c r="F258" s="23"/>
      <c r="G258" s="23"/>
      <c r="H258" s="25"/>
      <c r="I258" s="25"/>
      <c r="J258" s="23"/>
      <c r="K258" s="23"/>
      <c r="L258" s="23"/>
    </row>
    <row r="259" s="21" customFormat="1" customHeight="1" spans="1:12">
      <c r="A259" s="22"/>
      <c r="B259" s="23"/>
      <c r="C259" s="24"/>
      <c r="D259" s="23"/>
      <c r="E259" s="23"/>
      <c r="F259" s="23"/>
      <c r="G259" s="23"/>
      <c r="H259" s="25"/>
      <c r="I259" s="25"/>
      <c r="J259" s="23"/>
      <c r="K259" s="23"/>
      <c r="L259" s="23"/>
    </row>
    <row r="260" s="21" customFormat="1" customHeight="1" spans="1:12">
      <c r="A260" s="22"/>
      <c r="B260" s="23"/>
      <c r="C260" s="24"/>
      <c r="D260" s="23"/>
      <c r="E260" s="23"/>
      <c r="F260" s="23"/>
      <c r="G260" s="23"/>
      <c r="H260" s="25"/>
      <c r="I260" s="25"/>
      <c r="J260" s="23"/>
      <c r="K260" s="23"/>
      <c r="L260" s="23"/>
    </row>
    <row r="261" s="21" customFormat="1" customHeight="1" spans="1:12">
      <c r="A261" s="22"/>
      <c r="B261" s="23"/>
      <c r="C261" s="24"/>
      <c r="D261" s="23"/>
      <c r="E261" s="23"/>
      <c r="F261" s="23"/>
      <c r="G261" s="23"/>
      <c r="H261" s="25"/>
      <c r="I261" s="25"/>
      <c r="J261" s="23"/>
      <c r="K261" s="23"/>
      <c r="L261" s="23"/>
    </row>
    <row r="262" s="21" customFormat="1" customHeight="1" spans="1:12">
      <c r="A262" s="22"/>
      <c r="B262" s="23"/>
      <c r="C262" s="24"/>
      <c r="D262" s="23"/>
      <c r="E262" s="23"/>
      <c r="F262" s="23"/>
      <c r="G262" s="23"/>
      <c r="H262" s="25"/>
      <c r="I262" s="25"/>
      <c r="J262" s="23"/>
      <c r="K262" s="23"/>
      <c r="L262" s="23"/>
    </row>
    <row r="263" s="21" customFormat="1" customHeight="1" spans="1:12">
      <c r="A263" s="22"/>
      <c r="B263" s="23"/>
      <c r="C263" s="24"/>
      <c r="D263" s="23"/>
      <c r="E263" s="23"/>
      <c r="F263" s="23"/>
      <c r="G263" s="23"/>
      <c r="H263" s="25"/>
      <c r="I263" s="25"/>
      <c r="J263" s="23"/>
      <c r="K263" s="23"/>
      <c r="L263" s="23"/>
    </row>
    <row r="264" s="21" customFormat="1" customHeight="1" spans="1:12">
      <c r="A264" s="22"/>
      <c r="B264" s="23"/>
      <c r="C264" s="24"/>
      <c r="D264" s="23"/>
      <c r="E264" s="23"/>
      <c r="F264" s="23"/>
      <c r="G264" s="23"/>
      <c r="H264" s="25"/>
      <c r="I264" s="25"/>
      <c r="J264" s="23"/>
      <c r="K264" s="23"/>
      <c r="L264" s="23"/>
    </row>
    <row r="265" s="21" customFormat="1" customHeight="1" spans="1:12">
      <c r="A265" s="22"/>
      <c r="B265" s="23"/>
      <c r="C265" s="24"/>
      <c r="D265" s="23"/>
      <c r="E265" s="23"/>
      <c r="F265" s="23"/>
      <c r="G265" s="23"/>
      <c r="H265" s="25"/>
      <c r="I265" s="25"/>
      <c r="J265" s="23"/>
      <c r="K265" s="23"/>
      <c r="L265" s="23"/>
    </row>
    <row r="266" s="21" customFormat="1" customHeight="1" spans="1:12">
      <c r="A266" s="22"/>
      <c r="B266" s="23"/>
      <c r="C266" s="24"/>
      <c r="D266" s="23"/>
      <c r="E266" s="23"/>
      <c r="F266" s="23"/>
      <c r="G266" s="23"/>
      <c r="H266" s="25"/>
      <c r="I266" s="25"/>
      <c r="J266" s="23"/>
      <c r="K266" s="23"/>
      <c r="L266" s="23"/>
    </row>
    <row r="267" s="21" customFormat="1" customHeight="1" spans="1:12">
      <c r="A267" s="22"/>
      <c r="B267" s="23"/>
      <c r="C267" s="24"/>
      <c r="D267" s="23"/>
      <c r="E267" s="23"/>
      <c r="F267" s="23"/>
      <c r="G267" s="23"/>
      <c r="H267" s="25"/>
      <c r="I267" s="25"/>
      <c r="J267" s="23"/>
      <c r="K267" s="23"/>
      <c r="L267" s="23"/>
    </row>
    <row r="268" s="21" customFormat="1" customHeight="1" spans="1:12">
      <c r="A268" s="22"/>
      <c r="B268" s="23"/>
      <c r="C268" s="24"/>
      <c r="D268" s="23"/>
      <c r="E268" s="23"/>
      <c r="F268" s="23"/>
      <c r="G268" s="23"/>
      <c r="H268" s="25"/>
      <c r="I268" s="25"/>
      <c r="J268" s="23"/>
      <c r="K268" s="23"/>
      <c r="L268" s="23"/>
    </row>
    <row r="269" s="21" customFormat="1" customHeight="1" spans="1:12">
      <c r="A269" s="22"/>
      <c r="B269" s="23"/>
      <c r="C269" s="24"/>
      <c r="D269" s="23"/>
      <c r="E269" s="23"/>
      <c r="F269" s="23"/>
      <c r="G269" s="23"/>
      <c r="H269" s="25"/>
      <c r="I269" s="25"/>
      <c r="J269" s="23"/>
      <c r="K269" s="23"/>
      <c r="L269" s="23"/>
    </row>
    <row r="270" s="21" customFormat="1" customHeight="1" spans="1:12">
      <c r="A270" s="22"/>
      <c r="B270" s="23"/>
      <c r="C270" s="24"/>
      <c r="D270" s="23"/>
      <c r="E270" s="23"/>
      <c r="F270" s="23"/>
      <c r="G270" s="23"/>
      <c r="H270" s="25"/>
      <c r="I270" s="25"/>
      <c r="J270" s="23"/>
      <c r="K270" s="23"/>
      <c r="L270" s="23"/>
    </row>
    <row r="271" s="21" customFormat="1" customHeight="1" spans="1:12">
      <c r="A271" s="22"/>
      <c r="B271" s="23"/>
      <c r="C271" s="24"/>
      <c r="D271" s="23"/>
      <c r="E271" s="23"/>
      <c r="F271" s="23"/>
      <c r="G271" s="23"/>
      <c r="H271" s="25"/>
      <c r="I271" s="25"/>
      <c r="J271" s="23"/>
      <c r="K271" s="23"/>
      <c r="L271" s="23"/>
    </row>
    <row r="272" s="21" customFormat="1" customHeight="1" spans="1:12">
      <c r="A272" s="22"/>
      <c r="B272" s="23"/>
      <c r="C272" s="24"/>
      <c r="D272" s="23"/>
      <c r="E272" s="23"/>
      <c r="F272" s="23"/>
      <c r="G272" s="23"/>
      <c r="H272" s="25"/>
      <c r="I272" s="25"/>
      <c r="J272" s="23"/>
      <c r="K272" s="23"/>
      <c r="L272" s="23"/>
    </row>
    <row r="273" s="21" customFormat="1" customHeight="1" spans="1:12">
      <c r="A273" s="22"/>
      <c r="B273" s="23"/>
      <c r="C273" s="24"/>
      <c r="D273" s="23"/>
      <c r="E273" s="23"/>
      <c r="F273" s="23"/>
      <c r="G273" s="23"/>
      <c r="H273" s="25"/>
      <c r="I273" s="25"/>
      <c r="J273" s="23"/>
      <c r="K273" s="23"/>
      <c r="L273" s="23"/>
    </row>
    <row r="274" s="21" customFormat="1" customHeight="1" spans="1:12">
      <c r="A274" s="22"/>
      <c r="B274" s="23"/>
      <c r="C274" s="24"/>
      <c r="D274" s="23"/>
      <c r="E274" s="23"/>
      <c r="F274" s="23"/>
      <c r="G274" s="23"/>
      <c r="H274" s="25"/>
      <c r="I274" s="25"/>
      <c r="J274" s="23"/>
      <c r="K274" s="23"/>
      <c r="L274" s="23"/>
    </row>
    <row r="275" s="21" customFormat="1" customHeight="1" spans="1:12">
      <c r="A275" s="22"/>
      <c r="B275" s="23"/>
      <c r="C275" s="24"/>
      <c r="D275" s="23"/>
      <c r="E275" s="23"/>
      <c r="F275" s="23"/>
      <c r="G275" s="23"/>
      <c r="H275" s="25"/>
      <c r="I275" s="25"/>
      <c r="J275" s="23"/>
      <c r="K275" s="23"/>
      <c r="L275" s="23"/>
    </row>
    <row r="276" s="21" customFormat="1" customHeight="1" spans="1:12">
      <c r="A276" s="22"/>
      <c r="B276" s="23"/>
      <c r="C276" s="24"/>
      <c r="D276" s="23"/>
      <c r="E276" s="23"/>
      <c r="F276" s="23"/>
      <c r="G276" s="23"/>
      <c r="H276" s="25"/>
      <c r="I276" s="25"/>
      <c r="J276" s="23"/>
      <c r="K276" s="23"/>
      <c r="L276" s="23"/>
    </row>
    <row r="277" s="21" customFormat="1" customHeight="1" spans="1:12">
      <c r="A277" s="22"/>
      <c r="B277" s="23"/>
      <c r="C277" s="24"/>
      <c r="D277" s="23"/>
      <c r="E277" s="23"/>
      <c r="F277" s="23"/>
      <c r="G277" s="23"/>
      <c r="H277" s="25"/>
      <c r="I277" s="25"/>
      <c r="J277" s="23"/>
      <c r="K277" s="23"/>
      <c r="L277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179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12</v>
      </c>
      <c r="C2" s="28">
        <f ca="1">O2/B2</f>
        <v>0.962962962962963</v>
      </c>
      <c r="D2" s="6" t="s">
        <v>114</v>
      </c>
      <c r="E2" s="6" t="s">
        <v>101</v>
      </c>
      <c r="F2" s="6">
        <v>138.8</v>
      </c>
      <c r="G2" s="6" t="s">
        <v>22</v>
      </c>
      <c r="H2" s="6">
        <f ca="1" t="array" ref="H2">INDEX(成本核算表!J:J,MATCH(1,(成本核算表!D:D=E2)*(成本核算表!C:C=G2),0))</f>
        <v>160</v>
      </c>
      <c r="I2" s="6">
        <v>260</v>
      </c>
      <c r="J2" s="6">
        <f ca="1" t="shared" ref="J2:J65" si="0">H2*I2</f>
        <v>41600</v>
      </c>
      <c r="K2" s="6"/>
      <c r="L2" s="6"/>
      <c r="M2" s="6"/>
      <c r="N2" s="6">
        <f ca="1" t="shared" ref="N2:N65" si="1">J2-M2+L2</f>
        <v>41600</v>
      </c>
      <c r="O2" s="6">
        <f ca="1" t="shared" ref="O2:O65" si="2">N2/3600</f>
        <v>11.5555555555556</v>
      </c>
      <c r="P2" s="6"/>
      <c r="Q2" s="6"/>
    </row>
    <row r="3" s="21" customFormat="1" ht="20" customHeight="1" spans="1:17">
      <c r="A3" s="27">
        <v>46083</v>
      </c>
      <c r="B3" s="6">
        <v>12</v>
      </c>
      <c r="C3" s="28">
        <f ca="1">O3/B3</f>
        <v>0.962962962962963</v>
      </c>
      <c r="D3" s="5" t="s">
        <v>114</v>
      </c>
      <c r="E3" s="6" t="s">
        <v>101</v>
      </c>
      <c r="F3" s="6">
        <v>138.8</v>
      </c>
      <c r="G3" s="6" t="s">
        <v>22</v>
      </c>
      <c r="H3" s="6">
        <f ca="1" t="array" ref="H3">INDEX(成本核算表!J:J,MATCH(1,(成本核算表!D:D=E3)*(成本核算表!C:C=G3),0))</f>
        <v>160</v>
      </c>
      <c r="I3" s="6">
        <v>260</v>
      </c>
      <c r="J3" s="6">
        <f ca="1" t="shared" si="0"/>
        <v>41600</v>
      </c>
      <c r="K3" s="6"/>
      <c r="L3" s="6"/>
      <c r="M3" s="6"/>
      <c r="N3" s="6">
        <f ca="1" t="shared" si="1"/>
        <v>41600</v>
      </c>
      <c r="O3" s="6">
        <f ca="1" t="shared" si="2"/>
        <v>11.5555555555556</v>
      </c>
      <c r="P3" s="6"/>
      <c r="Q3" s="6"/>
    </row>
    <row r="4" s="21" customFormat="1" ht="20" customHeight="1" spans="1:17">
      <c r="A4" s="27">
        <v>46084</v>
      </c>
      <c r="B4" s="6">
        <v>12</v>
      </c>
      <c r="C4" s="28">
        <f ca="1">O4/B4</f>
        <v>0.962962962962963</v>
      </c>
      <c r="D4" s="5" t="s">
        <v>114</v>
      </c>
      <c r="E4" s="6" t="s">
        <v>101</v>
      </c>
      <c r="F4" s="6">
        <v>138.8</v>
      </c>
      <c r="G4" s="6" t="s">
        <v>22</v>
      </c>
      <c r="H4" s="6">
        <f ca="1" t="array" ref="H4">INDEX(成本核算表!J:J,MATCH(1,(成本核算表!D:D=E4)*(成本核算表!C:C=G4),0))</f>
        <v>160</v>
      </c>
      <c r="I4" s="6">
        <v>260</v>
      </c>
      <c r="J4" s="6">
        <f ca="1" t="shared" si="0"/>
        <v>41600</v>
      </c>
      <c r="K4" s="6"/>
      <c r="L4" s="6"/>
      <c r="M4" s="6"/>
      <c r="N4" s="6">
        <f ca="1" t="shared" si="1"/>
        <v>41600</v>
      </c>
      <c r="O4" s="6">
        <f ca="1" t="shared" si="2"/>
        <v>11.5555555555556</v>
      </c>
      <c r="P4" s="6"/>
      <c r="Q4" s="6"/>
    </row>
    <row r="5" s="21" customFormat="1" ht="20" customHeight="1" spans="1:17">
      <c r="A5" s="27">
        <v>46085</v>
      </c>
      <c r="B5" s="6">
        <v>12</v>
      </c>
      <c r="C5" s="28">
        <f ca="1">O5/B5</f>
        <v>0.896296296296296</v>
      </c>
      <c r="D5" s="5" t="s">
        <v>114</v>
      </c>
      <c r="E5" s="5" t="s">
        <v>101</v>
      </c>
      <c r="F5" s="6">
        <v>138.8</v>
      </c>
      <c r="G5" s="6" t="s">
        <v>22</v>
      </c>
      <c r="H5" s="6">
        <f ca="1" t="array" ref="H5">INDEX(成本核算表!J:J,MATCH(1,(成本核算表!D:D=E5)*(成本核算表!C:C=G5),0))</f>
        <v>160</v>
      </c>
      <c r="I5" s="6">
        <f>726/3</f>
        <v>242</v>
      </c>
      <c r="J5" s="6">
        <f ca="1" t="shared" si="0"/>
        <v>38720</v>
      </c>
      <c r="K5" s="6"/>
      <c r="L5" s="6"/>
      <c r="M5" s="6"/>
      <c r="N5" s="6">
        <f ca="1" t="shared" si="1"/>
        <v>38720</v>
      </c>
      <c r="O5" s="6">
        <f ca="1" t="shared" si="2"/>
        <v>10.7555555555556</v>
      </c>
      <c r="P5" s="6"/>
      <c r="Q5" s="6"/>
    </row>
    <row r="6" s="21" customFormat="1" ht="20" customHeight="1" spans="1:17">
      <c r="A6" s="27">
        <v>46086</v>
      </c>
      <c r="B6" s="6">
        <v>12</v>
      </c>
      <c r="C6" s="28">
        <f ca="1" t="array" ref="C6">SUM(O6:O9/B6)</f>
        <v>0.986574074074074</v>
      </c>
      <c r="D6" s="6"/>
      <c r="E6" s="5" t="s">
        <v>101</v>
      </c>
      <c r="F6" s="6">
        <v>138.8</v>
      </c>
      <c r="G6" s="6" t="s">
        <v>22</v>
      </c>
      <c r="H6" s="6">
        <f ca="1" t="array" ref="H6">INDEX(成本核算表!J:J,MATCH(1,(成本核算表!D:D=E6)*(成本核算表!C:C=G6),0))</f>
        <v>160</v>
      </c>
      <c r="I6" s="6">
        <v>260</v>
      </c>
      <c r="J6" s="6">
        <f ca="1" t="shared" si="0"/>
        <v>41600</v>
      </c>
      <c r="K6" s="6"/>
      <c r="L6" s="6"/>
      <c r="M6" s="6"/>
      <c r="N6" s="6">
        <f ca="1" t="shared" si="1"/>
        <v>41600</v>
      </c>
      <c r="O6" s="6">
        <f ca="1" t="shared" si="2"/>
        <v>11.5555555555556</v>
      </c>
      <c r="P6" s="6"/>
      <c r="Q6" s="6"/>
    </row>
    <row r="7" s="21" customFormat="1" ht="20" customHeight="1" spans="1:17">
      <c r="A7" s="27">
        <v>46086</v>
      </c>
      <c r="B7" s="6"/>
      <c r="C7" s="28"/>
      <c r="D7" s="5" t="s">
        <v>144</v>
      </c>
      <c r="E7" s="5" t="s">
        <v>141</v>
      </c>
      <c r="F7" s="6">
        <v>162</v>
      </c>
      <c r="G7" s="5" t="s">
        <v>22</v>
      </c>
      <c r="H7" s="6">
        <f ca="1" t="array" ref="H7">INDEX(成本核算表!J:J,MATCH(1,(成本核算表!D:D=E7)*(成本核算表!C:C=G7),0))</f>
        <v>40</v>
      </c>
      <c r="I7" s="6">
        <v>11</v>
      </c>
      <c r="J7" s="6">
        <f ca="1" t="shared" si="0"/>
        <v>440</v>
      </c>
      <c r="K7" s="6">
        <v>2</v>
      </c>
      <c r="L7" s="6"/>
      <c r="M7" s="6">
        <f ca="1">K7*H7</f>
        <v>80</v>
      </c>
      <c r="N7" s="6">
        <f ca="1" t="shared" si="1"/>
        <v>360</v>
      </c>
      <c r="O7" s="6">
        <f ca="1" t="shared" si="2"/>
        <v>0.1</v>
      </c>
      <c r="P7" s="6"/>
      <c r="Q7" s="6"/>
    </row>
    <row r="8" s="21" customFormat="1" ht="20" customHeight="1" spans="1:17">
      <c r="A8" s="27">
        <v>46086</v>
      </c>
      <c r="B8" s="6"/>
      <c r="C8" s="28"/>
      <c r="D8" s="5" t="s">
        <v>144</v>
      </c>
      <c r="E8" s="5" t="s">
        <v>141</v>
      </c>
      <c r="F8" s="6">
        <v>162</v>
      </c>
      <c r="G8" s="5" t="s">
        <v>57</v>
      </c>
      <c r="H8" s="6">
        <f ca="1" t="array" ref="H8">INDEX(成本核算表!J:J,MATCH(1,(成本核算表!D:D=E8)*(成本核算表!C:C=G8),0))</f>
        <v>30</v>
      </c>
      <c r="I8" s="6">
        <v>11</v>
      </c>
      <c r="J8" s="6">
        <f ca="1" t="shared" si="0"/>
        <v>330</v>
      </c>
      <c r="K8" s="6"/>
      <c r="L8" s="6"/>
      <c r="M8" s="6"/>
      <c r="N8" s="6">
        <f ca="1" t="shared" si="1"/>
        <v>330</v>
      </c>
      <c r="O8" s="6">
        <f ca="1" t="shared" si="2"/>
        <v>0.0916666666666667</v>
      </c>
      <c r="P8" s="6"/>
      <c r="Q8" s="6"/>
    </row>
    <row r="9" s="21" customFormat="1" ht="20" customHeight="1" spans="1:17">
      <c r="A9" s="27">
        <v>46086</v>
      </c>
      <c r="B9" s="6"/>
      <c r="C9" s="28"/>
      <c r="D9" s="5" t="s">
        <v>144</v>
      </c>
      <c r="E9" s="5" t="s">
        <v>141</v>
      </c>
      <c r="F9" s="6">
        <v>162</v>
      </c>
      <c r="G9" s="5" t="s">
        <v>41</v>
      </c>
      <c r="H9" s="6">
        <f ca="1" t="array" ref="H9">INDEX(成本核算表!J:J,MATCH(1,(成本核算表!D:D=E9)*(成本核算表!C:C=G9),0))</f>
        <v>30</v>
      </c>
      <c r="I9" s="6">
        <v>11</v>
      </c>
      <c r="J9" s="6">
        <f ca="1" t="shared" si="0"/>
        <v>330</v>
      </c>
      <c r="K9" s="6"/>
      <c r="L9" s="6"/>
      <c r="M9" s="6"/>
      <c r="N9" s="6">
        <f ca="1" t="shared" si="1"/>
        <v>330</v>
      </c>
      <c r="O9" s="6">
        <f ca="1" t="shared" si="2"/>
        <v>0.0916666666666667</v>
      </c>
      <c r="P9" s="6"/>
      <c r="Q9" s="6"/>
    </row>
    <row r="10" s="21" customFormat="1" ht="20" customHeight="1" spans="1:17">
      <c r="A10" s="27">
        <v>46087</v>
      </c>
      <c r="B10" s="6">
        <v>12</v>
      </c>
      <c r="C10" s="28">
        <f ca="1">SUM(O10:O12)/B10</f>
        <v>1.07824074074074</v>
      </c>
      <c r="D10" s="6"/>
      <c r="E10" s="5" t="s">
        <v>101</v>
      </c>
      <c r="F10" s="6">
        <v>138.8</v>
      </c>
      <c r="G10" s="6" t="s">
        <v>22</v>
      </c>
      <c r="H10" s="6">
        <f ca="1" t="array" ref="H10">INDEX(成本核算表!J:J,MATCH(1,(成本核算表!D:D=E10)*(成本核算表!C:C=G10),0))</f>
        <v>160</v>
      </c>
      <c r="I10" s="6">
        <v>210</v>
      </c>
      <c r="J10" s="6">
        <f ca="1" t="shared" si="0"/>
        <v>33600</v>
      </c>
      <c r="K10" s="6"/>
      <c r="L10" s="6"/>
      <c r="M10" s="6"/>
      <c r="N10" s="6">
        <f ca="1" t="shared" si="1"/>
        <v>33600</v>
      </c>
      <c r="O10" s="6">
        <f ca="1" t="shared" si="2"/>
        <v>9.33333333333333</v>
      </c>
      <c r="P10" s="6"/>
      <c r="Q10" s="6"/>
    </row>
    <row r="11" s="21" customFormat="1" ht="20" customHeight="1" spans="1:17">
      <c r="A11" s="27">
        <v>46087</v>
      </c>
      <c r="B11" s="6"/>
      <c r="C11" s="28"/>
      <c r="D11" s="6"/>
      <c r="E11" s="51" t="s">
        <v>145</v>
      </c>
      <c r="F11" s="6">
        <v>171.5</v>
      </c>
      <c r="G11" s="5" t="s">
        <v>25</v>
      </c>
      <c r="H11" s="6">
        <f ca="1" t="array" ref="H11">INDEX(成本核算表!J:J,MATCH(1,(成本核算表!D:D=E11)*(成本核算表!C:C=G11),0))</f>
        <v>180</v>
      </c>
      <c r="I11" s="6">
        <v>41</v>
      </c>
      <c r="J11" s="6">
        <f ca="1" t="shared" si="0"/>
        <v>7380</v>
      </c>
      <c r="K11" s="6"/>
      <c r="L11" s="6"/>
      <c r="M11" s="6"/>
      <c r="N11" s="6">
        <f ca="1" t="shared" si="1"/>
        <v>7380</v>
      </c>
      <c r="O11" s="6">
        <f ca="1" t="shared" si="2"/>
        <v>2.05</v>
      </c>
      <c r="P11" s="6"/>
      <c r="Q11" s="6"/>
    </row>
    <row r="12" s="21" customFormat="1" ht="20" customHeight="1" spans="1:17">
      <c r="A12" s="27">
        <v>46087</v>
      </c>
      <c r="B12" s="6"/>
      <c r="C12" s="28"/>
      <c r="D12" s="6"/>
      <c r="E12" s="50" t="s">
        <v>146</v>
      </c>
      <c r="F12" s="6">
        <v>171.5</v>
      </c>
      <c r="G12" s="5" t="s">
        <v>25</v>
      </c>
      <c r="H12" s="6">
        <f ca="1" t="array" ref="H12">INDEX(成本核算表!J:J,MATCH(1,(成本核算表!D:D=E12)*(成本核算表!C:C=G12),0))</f>
        <v>160</v>
      </c>
      <c r="I12" s="6">
        <v>39</v>
      </c>
      <c r="J12" s="6">
        <f ca="1" t="shared" si="0"/>
        <v>6240</v>
      </c>
      <c r="K12" s="6">
        <v>4</v>
      </c>
      <c r="L12" s="6"/>
      <c r="M12" s="6">
        <f ca="1">K12*H12</f>
        <v>640</v>
      </c>
      <c r="N12" s="6">
        <f ca="1" t="shared" si="1"/>
        <v>5600</v>
      </c>
      <c r="O12" s="6">
        <f ca="1" t="shared" si="2"/>
        <v>1.55555555555556</v>
      </c>
      <c r="P12" s="6"/>
      <c r="Q12" s="6"/>
    </row>
    <row r="13" s="21" customFormat="1" ht="20" customHeight="1" spans="1:17">
      <c r="A13" s="15">
        <v>46088</v>
      </c>
      <c r="B13" s="6">
        <v>12</v>
      </c>
      <c r="C13" s="28">
        <f ca="1" t="array" ref="C13">SUM(O13:O14/B13)</f>
        <v>0.962962962962963</v>
      </c>
      <c r="D13" s="5"/>
      <c r="E13" s="5" t="s">
        <v>101</v>
      </c>
      <c r="F13" s="6">
        <v>138.8</v>
      </c>
      <c r="G13" s="6" t="s">
        <v>22</v>
      </c>
      <c r="H13" s="6">
        <f ca="1" t="array" ref="H13">INDEX(成本核算表!J:J,MATCH(1,(成本核算表!D:D=E13)*(成本核算表!C:C=G13),0))</f>
        <v>160</v>
      </c>
      <c r="I13" s="6">
        <v>260</v>
      </c>
      <c r="J13" s="6">
        <f ca="1" t="shared" si="0"/>
        <v>41600</v>
      </c>
      <c r="K13" s="6"/>
      <c r="L13" s="6"/>
      <c r="M13" s="6"/>
      <c r="N13" s="6">
        <f ca="1" t="shared" si="1"/>
        <v>41600</v>
      </c>
      <c r="O13" s="6">
        <f ca="1" t="shared" si="2"/>
        <v>11.5555555555556</v>
      </c>
      <c r="P13" s="6"/>
      <c r="Q13" s="6"/>
    </row>
    <row r="14" s="21" customFormat="1" ht="20" customHeight="1" spans="1:17">
      <c r="A14" s="6"/>
      <c r="B14" s="6"/>
      <c r="C14" s="28"/>
      <c r="D14" s="6"/>
      <c r="E14" s="6"/>
      <c r="F14" s="6"/>
      <c r="G14" s="6"/>
      <c r="H14" s="6">
        <f ca="1" t="array" ref="H14">INDEX(成本核算表!J:J,MATCH(1,(成本核算表!D:D=E14)*(成本核算表!C:C=G14),0))</f>
        <v>0</v>
      </c>
      <c r="I14" s="6"/>
      <c r="J14" s="6">
        <f ca="1" t="shared" si="0"/>
        <v>0</v>
      </c>
      <c r="K14" s="6"/>
      <c r="L14" s="6"/>
      <c r="M14" s="6"/>
      <c r="N14" s="6">
        <f ca="1" t="shared" si="1"/>
        <v>0</v>
      </c>
      <c r="O14" s="6">
        <f ca="1" t="shared" si="2"/>
        <v>0</v>
      </c>
      <c r="P14" s="6"/>
      <c r="Q14" s="6"/>
    </row>
    <row r="15" s="21" customFormat="1" ht="20" customHeight="1" spans="1:17">
      <c r="A15" s="15">
        <v>46090</v>
      </c>
      <c r="B15" s="6">
        <v>11</v>
      </c>
      <c r="C15" s="28">
        <f ca="1">SUM(O15/B15)</f>
        <v>1.05050505050505</v>
      </c>
      <c r="D15" s="5"/>
      <c r="E15" s="5" t="s">
        <v>101</v>
      </c>
      <c r="F15" s="6">
        <v>138.8</v>
      </c>
      <c r="G15" s="6" t="s">
        <v>22</v>
      </c>
      <c r="H15" s="6">
        <f ca="1" t="array" ref="H15">INDEX(成本核算表!J:J,MATCH(1,(成本核算表!D:D=E15)*(成本核算表!C:C=G15),0))</f>
        <v>160</v>
      </c>
      <c r="I15" s="6">
        <v>260</v>
      </c>
      <c r="J15" s="6">
        <f ca="1" t="shared" si="0"/>
        <v>41600</v>
      </c>
      <c r="K15" s="6"/>
      <c r="L15" s="6"/>
      <c r="M15" s="6"/>
      <c r="N15" s="6">
        <f ca="1" t="shared" si="1"/>
        <v>41600</v>
      </c>
      <c r="O15" s="6">
        <f ca="1" t="shared" si="2"/>
        <v>11.5555555555556</v>
      </c>
      <c r="P15" s="6"/>
      <c r="Q15" s="6"/>
    </row>
    <row r="16" s="21" customFormat="1" ht="20" customHeight="1" spans="1:17">
      <c r="A16" s="27">
        <v>46091</v>
      </c>
      <c r="B16" s="6">
        <v>11</v>
      </c>
      <c r="C16" s="28">
        <f ca="1" t="array" ref="C16">SUM(O16:O17/B16)</f>
        <v>1.11868686868687</v>
      </c>
      <c r="D16" s="6"/>
      <c r="E16" s="5" t="s">
        <v>101</v>
      </c>
      <c r="F16" s="6">
        <v>138.8</v>
      </c>
      <c r="G16" s="6" t="s">
        <v>22</v>
      </c>
      <c r="H16" s="6">
        <f ca="1" t="array" ref="H16">INDEX(成本核算表!J:J,MATCH(1,(成本核算表!D:D=E16)*(成本核算表!C:C=G16),0))</f>
        <v>160</v>
      </c>
      <c r="I16" s="6">
        <v>110</v>
      </c>
      <c r="J16" s="6">
        <f ca="1" t="shared" si="0"/>
        <v>17600</v>
      </c>
      <c r="K16" s="6"/>
      <c r="L16" s="6"/>
      <c r="M16" s="6"/>
      <c r="N16" s="6">
        <f ca="1" t="shared" si="1"/>
        <v>17600</v>
      </c>
      <c r="O16" s="6">
        <f ca="1" t="shared" si="2"/>
        <v>4.88888888888889</v>
      </c>
      <c r="P16" s="6"/>
      <c r="Q16" s="6"/>
    </row>
    <row r="17" s="21" customFormat="1" ht="20" customHeight="1" spans="1:17">
      <c r="A17" s="27">
        <v>46091</v>
      </c>
      <c r="B17" s="6"/>
      <c r="C17" s="28"/>
      <c r="D17" s="5" t="s">
        <v>77</v>
      </c>
      <c r="E17" s="5" t="s">
        <v>78</v>
      </c>
      <c r="F17" s="6">
        <v>1960</v>
      </c>
      <c r="G17" s="5" t="s">
        <v>22</v>
      </c>
      <c r="H17" s="6">
        <f ca="1" t="array" ref="H17">INDEX(成本核算表!J:J,MATCH(1,(成本核算表!D:D=E17)*(成本核算表!C:C=G17),0))</f>
        <v>60</v>
      </c>
      <c r="I17" s="6">
        <v>455</v>
      </c>
      <c r="J17" s="6">
        <f ca="1" t="shared" si="0"/>
        <v>27300</v>
      </c>
      <c r="K17" s="6">
        <v>10</v>
      </c>
      <c r="L17" s="6"/>
      <c r="M17" s="6">
        <f ca="1">K17*H17</f>
        <v>600</v>
      </c>
      <c r="N17" s="6">
        <f ca="1" t="shared" si="1"/>
        <v>26700</v>
      </c>
      <c r="O17" s="6">
        <f ca="1" t="shared" si="2"/>
        <v>7.41666666666667</v>
      </c>
      <c r="P17" s="6"/>
      <c r="Q17" s="6"/>
    </row>
    <row r="18" s="21" customFormat="1" ht="20" customHeight="1" spans="1:17">
      <c r="A18" s="27">
        <v>46092</v>
      </c>
      <c r="B18" s="6">
        <v>11</v>
      </c>
      <c r="C18" s="28">
        <f ca="1" t="array" ref="C18">SUM(O18:O19/B18)</f>
        <v>1.15063131313131</v>
      </c>
      <c r="D18" s="5" t="s">
        <v>17</v>
      </c>
      <c r="E18" s="6" t="s">
        <v>18</v>
      </c>
      <c r="F18" s="6">
        <v>1942</v>
      </c>
      <c r="G18" s="5" t="s">
        <v>22</v>
      </c>
      <c r="H18" s="6">
        <f ca="1" t="array" ref="H18">INDEX(成本核算表!J:J,MATCH(1,(成本核算表!D:D=E18)*(成本核算表!C:C=G18),0))</f>
        <v>65</v>
      </c>
      <c r="I18" s="6">
        <v>296</v>
      </c>
      <c r="J18" s="6">
        <f ca="1" t="shared" si="0"/>
        <v>19240</v>
      </c>
      <c r="K18" s="6"/>
      <c r="L18" s="6"/>
      <c r="M18" s="6"/>
      <c r="N18" s="6">
        <f ca="1" t="shared" si="1"/>
        <v>19240</v>
      </c>
      <c r="O18" s="6">
        <f ca="1" t="shared" si="2"/>
        <v>5.34444444444444</v>
      </c>
      <c r="P18" s="6"/>
      <c r="Q18" s="6"/>
    </row>
    <row r="19" s="21" customFormat="1" ht="20" customHeight="1" spans="1:17">
      <c r="A19" s="27">
        <v>46092</v>
      </c>
      <c r="B19" s="6"/>
      <c r="C19" s="28"/>
      <c r="D19" s="5" t="s">
        <v>20</v>
      </c>
      <c r="E19" s="6" t="s">
        <v>18</v>
      </c>
      <c r="F19" s="6">
        <v>1942</v>
      </c>
      <c r="G19" s="5" t="s">
        <v>22</v>
      </c>
      <c r="H19" s="6">
        <f ca="1" t="array" ref="H19">INDEX(成本核算表!J:J,MATCH(1,(成本核算表!D:D=E19)*(成本核算表!C:C=G19),0))</f>
        <v>65</v>
      </c>
      <c r="I19" s="6">
        <v>405</v>
      </c>
      <c r="J19" s="6">
        <f ca="1" t="shared" si="0"/>
        <v>26325</v>
      </c>
      <c r="K19" s="6"/>
      <c r="L19" s="6"/>
      <c r="M19" s="6"/>
      <c r="N19" s="6">
        <f ca="1" t="shared" si="1"/>
        <v>26325</v>
      </c>
      <c r="O19" s="6">
        <f ca="1" t="shared" si="2"/>
        <v>7.3125</v>
      </c>
      <c r="P19" s="6"/>
      <c r="Q19" s="6"/>
    </row>
    <row r="20" s="21" customFormat="1" ht="20" customHeight="1" spans="1:17">
      <c r="A20" s="27">
        <v>46093</v>
      </c>
      <c r="B20" s="6">
        <v>11</v>
      </c>
      <c r="C20" s="28">
        <f ca="1">SUM(O20/B20)</f>
        <v>1.29671717171717</v>
      </c>
      <c r="D20" s="5" t="s">
        <v>20</v>
      </c>
      <c r="E20" s="6" t="s">
        <v>18</v>
      </c>
      <c r="F20" s="6">
        <v>1942</v>
      </c>
      <c r="G20" s="5" t="s">
        <v>22</v>
      </c>
      <c r="H20" s="6">
        <f ca="1" t="array" ref="H20">INDEX(成本核算表!J:J,MATCH(1,(成本核算表!D:D=E20)*(成本核算表!C:C=G20),0))</f>
        <v>65</v>
      </c>
      <c r="I20" s="6">
        <v>790</v>
      </c>
      <c r="J20" s="6">
        <f ca="1" t="shared" si="0"/>
        <v>51350</v>
      </c>
      <c r="K20" s="6"/>
      <c r="L20" s="6"/>
      <c r="M20" s="6"/>
      <c r="N20" s="6">
        <f ca="1" t="shared" si="1"/>
        <v>51350</v>
      </c>
      <c r="O20" s="6">
        <f ca="1" t="shared" si="2"/>
        <v>14.2638888888889</v>
      </c>
      <c r="P20" s="6"/>
      <c r="Q20" s="6"/>
    </row>
    <row r="21" s="21" customFormat="1" ht="20" customHeight="1" spans="1:17">
      <c r="A21" s="27">
        <v>46094</v>
      </c>
      <c r="B21" s="6">
        <v>11</v>
      </c>
      <c r="C21" s="28">
        <f ca="1">SUM(O21/B21)</f>
        <v>1.1780303030303</v>
      </c>
      <c r="D21" s="5" t="s">
        <v>17</v>
      </c>
      <c r="E21" s="6" t="s">
        <v>18</v>
      </c>
      <c r="F21" s="6">
        <v>1942</v>
      </c>
      <c r="G21" s="5" t="s">
        <v>140</v>
      </c>
      <c r="H21" s="6">
        <f ca="1" t="array" ref="H21">INDEX(成本核算表!J:J,MATCH(1,(成本核算表!D:D=E21)*(成本核算表!C:C=G21),0))</f>
        <v>30</v>
      </c>
      <c r="I21" s="6">
        <f>1555</f>
        <v>1555</v>
      </c>
      <c r="J21" s="6">
        <f ca="1" t="shared" si="0"/>
        <v>46650</v>
      </c>
      <c r="K21" s="6"/>
      <c r="L21" s="6"/>
      <c r="M21" s="6"/>
      <c r="N21" s="6">
        <f ca="1" t="shared" si="1"/>
        <v>46650</v>
      </c>
      <c r="O21" s="6">
        <f ca="1" t="shared" si="2"/>
        <v>12.9583333333333</v>
      </c>
      <c r="P21" s="6"/>
      <c r="Q21" s="6"/>
    </row>
    <row r="22" s="21" customFormat="1" ht="20" customHeight="1" spans="1:17">
      <c r="A22" s="27">
        <v>46095</v>
      </c>
      <c r="B22" s="6">
        <v>11</v>
      </c>
      <c r="C22" s="28">
        <f ca="1" t="array" ref="C22">SUM(O22:O26/B22)</f>
        <v>1.03171717171717</v>
      </c>
      <c r="D22" s="5" t="s">
        <v>17</v>
      </c>
      <c r="E22" s="6" t="s">
        <v>18</v>
      </c>
      <c r="F22" s="6">
        <v>1942</v>
      </c>
      <c r="G22" s="5" t="s">
        <v>41</v>
      </c>
      <c r="H22" s="6">
        <f ca="1" t="array" ref="H22">INDEX(成本核算表!J:J,MATCH(1,(成本核算表!D:D=E22)*(成本核算表!C:C=G22),0))</f>
        <v>35</v>
      </c>
      <c r="I22" s="6">
        <v>36</v>
      </c>
      <c r="J22" s="6">
        <f ca="1" t="shared" si="0"/>
        <v>1260</v>
      </c>
      <c r="K22" s="6">
        <v>56</v>
      </c>
      <c r="L22" s="6">
        <v>10800</v>
      </c>
      <c r="M22" s="6">
        <f ca="1" t="shared" ref="M22:M26" si="3">K22*H22</f>
        <v>1960</v>
      </c>
      <c r="N22" s="6">
        <f ca="1" t="shared" si="1"/>
        <v>10100</v>
      </c>
      <c r="O22" s="6">
        <f ca="1" t="shared" si="2"/>
        <v>2.80555555555556</v>
      </c>
      <c r="P22" s="6"/>
      <c r="Q22" s="6"/>
    </row>
    <row r="23" s="21" customFormat="1" ht="20" customHeight="1" spans="1:17">
      <c r="A23" s="27">
        <v>46095</v>
      </c>
      <c r="B23" s="6"/>
      <c r="C23" s="28"/>
      <c r="D23" s="5" t="s">
        <v>147</v>
      </c>
      <c r="E23" s="5" t="s">
        <v>52</v>
      </c>
      <c r="F23" s="6">
        <v>950</v>
      </c>
      <c r="G23" s="5" t="s">
        <v>70</v>
      </c>
      <c r="H23" s="6">
        <f ca="1" t="array" ref="H23">INDEX(成本核算表!J:J,MATCH(1,(成本核算表!D:D=E23)*(成本核算表!C:C=G23),0))</f>
        <v>12</v>
      </c>
      <c r="I23" s="6">
        <v>811</v>
      </c>
      <c r="J23" s="6">
        <f ca="1" t="shared" si="0"/>
        <v>9732</v>
      </c>
      <c r="K23" s="6">
        <v>4</v>
      </c>
      <c r="L23" s="6"/>
      <c r="M23" s="6">
        <f ca="1" t="shared" si="3"/>
        <v>48</v>
      </c>
      <c r="N23" s="6">
        <f ca="1" t="shared" si="1"/>
        <v>9684</v>
      </c>
      <c r="O23" s="6">
        <f ca="1" t="shared" si="2"/>
        <v>2.69</v>
      </c>
      <c r="P23" s="6"/>
      <c r="Q23" s="6"/>
    </row>
    <row r="24" s="21" customFormat="1" ht="20" customHeight="1" spans="1:17">
      <c r="A24" s="27">
        <v>46095</v>
      </c>
      <c r="B24" s="6"/>
      <c r="C24" s="28"/>
      <c r="D24" s="5" t="s">
        <v>148</v>
      </c>
      <c r="E24" s="5" t="s">
        <v>52</v>
      </c>
      <c r="F24" s="6">
        <v>950</v>
      </c>
      <c r="G24" s="5" t="s">
        <v>70</v>
      </c>
      <c r="H24" s="6">
        <f ca="1" t="array" ref="H24">INDEX(成本核算表!J:J,MATCH(1,(成本核算表!D:D=E24)*(成本核算表!C:C=G24),0))</f>
        <v>12</v>
      </c>
      <c r="I24" s="6">
        <v>329</v>
      </c>
      <c r="J24" s="6">
        <f ca="1" t="shared" si="0"/>
        <v>3948</v>
      </c>
      <c r="K24" s="6"/>
      <c r="L24" s="6"/>
      <c r="M24" s="6"/>
      <c r="N24" s="6">
        <f ca="1" t="shared" si="1"/>
        <v>3948</v>
      </c>
      <c r="O24" s="6">
        <f ca="1" t="shared" si="2"/>
        <v>1.09666666666667</v>
      </c>
      <c r="P24" s="6"/>
      <c r="Q24" s="6"/>
    </row>
    <row r="25" s="21" customFormat="1" ht="20" customHeight="1" spans="1:17">
      <c r="A25" s="27">
        <v>46095</v>
      </c>
      <c r="B25" s="6"/>
      <c r="C25" s="28"/>
      <c r="D25" s="5" t="s">
        <v>149</v>
      </c>
      <c r="E25" s="5" t="s">
        <v>52</v>
      </c>
      <c r="F25" s="6">
        <v>950</v>
      </c>
      <c r="G25" s="5" t="s">
        <v>70</v>
      </c>
      <c r="H25" s="6">
        <f ca="1" t="array" ref="H25">INDEX(成本核算表!J:J,MATCH(1,(成本核算表!D:D=E25)*(成本核算表!C:C=G25),0))</f>
        <v>12</v>
      </c>
      <c r="I25" s="6">
        <v>1200</v>
      </c>
      <c r="J25" s="6">
        <f ca="1" t="shared" si="0"/>
        <v>14400</v>
      </c>
      <c r="K25" s="6"/>
      <c r="L25" s="6"/>
      <c r="M25" s="6"/>
      <c r="N25" s="6">
        <f ca="1" t="shared" si="1"/>
        <v>14400</v>
      </c>
      <c r="O25" s="6">
        <f ca="1" t="shared" si="2"/>
        <v>4</v>
      </c>
      <c r="P25" s="6"/>
      <c r="Q25" s="6"/>
    </row>
    <row r="26" s="21" customFormat="1" ht="20" customHeight="1" spans="1:17">
      <c r="A26" s="27">
        <v>46095</v>
      </c>
      <c r="B26" s="6"/>
      <c r="C26" s="28"/>
      <c r="D26" s="5" t="s">
        <v>86</v>
      </c>
      <c r="E26" s="5" t="s">
        <v>52</v>
      </c>
      <c r="F26" s="6">
        <v>950</v>
      </c>
      <c r="G26" s="5" t="s">
        <v>70</v>
      </c>
      <c r="H26" s="6">
        <f ca="1" t="array" ref="H26">INDEX(成本核算表!J:J,MATCH(1,(成本核算表!D:D=E26)*(成本核算表!C:C=G26),0))</f>
        <v>12</v>
      </c>
      <c r="I26" s="6">
        <v>233</v>
      </c>
      <c r="J26" s="6">
        <f ca="1" t="shared" si="0"/>
        <v>2796</v>
      </c>
      <c r="K26" s="6">
        <v>6</v>
      </c>
      <c r="L26" s="6"/>
      <c r="M26" s="6">
        <f ca="1" t="shared" si="3"/>
        <v>72</v>
      </c>
      <c r="N26" s="6">
        <f ca="1" t="shared" si="1"/>
        <v>2724</v>
      </c>
      <c r="O26" s="6">
        <f ca="1" t="shared" si="2"/>
        <v>0.756666666666667</v>
      </c>
      <c r="P26" s="6"/>
      <c r="Q26" s="6"/>
    </row>
    <row r="27" s="21" customFormat="1" ht="20" customHeight="1" spans="1:17">
      <c r="A27" s="27">
        <v>46096</v>
      </c>
      <c r="B27" s="6">
        <v>12</v>
      </c>
      <c r="C27" s="28">
        <f ca="1" t="array" ref="C27">SUM(O27:O30/B27)</f>
        <v>1.37939814814815</v>
      </c>
      <c r="D27" s="5" t="s">
        <v>88</v>
      </c>
      <c r="E27" s="5" t="s">
        <v>52</v>
      </c>
      <c r="F27" s="6">
        <v>950</v>
      </c>
      <c r="G27" s="5" t="s">
        <v>49</v>
      </c>
      <c r="H27" s="6">
        <f ca="1" t="array" ref="H27">INDEX(成本核算表!J:J,MATCH(1,(成本核算表!D:D=E27)*(成本核算表!C:C=G27),0))</f>
        <v>25</v>
      </c>
      <c r="I27" s="6">
        <v>1100</v>
      </c>
      <c r="J27" s="6">
        <f ca="1" t="shared" si="0"/>
        <v>27500</v>
      </c>
      <c r="K27" s="6"/>
      <c r="L27" s="6"/>
      <c r="M27" s="6"/>
      <c r="N27" s="6">
        <f ca="1" t="shared" si="1"/>
        <v>27500</v>
      </c>
      <c r="O27" s="6">
        <f ca="1" t="shared" si="2"/>
        <v>7.63888888888889</v>
      </c>
      <c r="P27" s="6"/>
      <c r="Q27" s="6"/>
    </row>
    <row r="28" s="21" customFormat="1" ht="20" customHeight="1" spans="1:17">
      <c r="A28" s="27">
        <v>46096</v>
      </c>
      <c r="B28" s="6"/>
      <c r="C28" s="28"/>
      <c r="D28" s="5" t="s">
        <v>150</v>
      </c>
      <c r="E28" s="5" t="s">
        <v>52</v>
      </c>
      <c r="F28" s="6">
        <v>950</v>
      </c>
      <c r="G28" s="5" t="s">
        <v>49</v>
      </c>
      <c r="H28" s="6">
        <f ca="1" t="array" ref="H28">INDEX(成本核算表!J:J,MATCH(1,(成本核算表!D:D=E28)*(成本核算表!C:C=G28),0))</f>
        <v>25</v>
      </c>
      <c r="I28" s="6">
        <v>640</v>
      </c>
      <c r="J28" s="6">
        <f ca="1" t="shared" si="0"/>
        <v>16000</v>
      </c>
      <c r="K28" s="6"/>
      <c r="L28" s="6"/>
      <c r="M28" s="6"/>
      <c r="N28" s="6">
        <f ca="1" t="shared" si="1"/>
        <v>16000</v>
      </c>
      <c r="O28" s="6">
        <f ca="1" t="shared" si="2"/>
        <v>4.44444444444444</v>
      </c>
      <c r="P28" s="6"/>
      <c r="Q28" s="6"/>
    </row>
    <row r="29" s="21" customFormat="1" ht="20" customHeight="1" spans="1:17">
      <c r="A29" s="27">
        <v>46096</v>
      </c>
      <c r="B29" s="6"/>
      <c r="C29" s="28"/>
      <c r="D29" s="5" t="s">
        <v>89</v>
      </c>
      <c r="E29" s="5" t="s">
        <v>52</v>
      </c>
      <c r="F29" s="6">
        <v>950</v>
      </c>
      <c r="G29" s="5" t="s">
        <v>49</v>
      </c>
      <c r="H29" s="6">
        <f ca="1" t="array" ref="H29">INDEX(成本核算表!J:J,MATCH(1,(成本核算表!D:D=E29)*(成本核算表!C:C=G29),0))</f>
        <v>25</v>
      </c>
      <c r="I29" s="6">
        <f>382+24</f>
        <v>406</v>
      </c>
      <c r="J29" s="6">
        <f ca="1" t="shared" si="0"/>
        <v>10150</v>
      </c>
      <c r="K29" s="6"/>
      <c r="L29" s="6"/>
      <c r="M29" s="6"/>
      <c r="N29" s="6">
        <f ca="1" t="shared" si="1"/>
        <v>10150</v>
      </c>
      <c r="O29" s="6">
        <f ca="1" t="shared" si="2"/>
        <v>2.81944444444444</v>
      </c>
      <c r="P29" s="6"/>
      <c r="Q29" s="6"/>
    </row>
    <row r="30" s="21" customFormat="1" ht="20" customHeight="1" spans="1:17">
      <c r="A30" s="27">
        <v>46096</v>
      </c>
      <c r="B30" s="6"/>
      <c r="C30" s="28"/>
      <c r="D30" s="5" t="s">
        <v>89</v>
      </c>
      <c r="E30" s="5" t="s">
        <v>52</v>
      </c>
      <c r="F30" s="6">
        <v>950</v>
      </c>
      <c r="G30" s="5" t="s">
        <v>70</v>
      </c>
      <c r="H30" s="6">
        <f ca="1" t="array" ref="H30">INDEX(成本核算表!J:J,MATCH(1,(成本核算表!D:D=E30)*(成本核算表!C:C=G30),0))</f>
        <v>12</v>
      </c>
      <c r="I30" s="6">
        <v>495</v>
      </c>
      <c r="J30" s="6">
        <f ca="1" t="shared" si="0"/>
        <v>5940</v>
      </c>
      <c r="K30" s="6"/>
      <c r="L30" s="6"/>
      <c r="M30" s="6"/>
      <c r="N30" s="6">
        <f ca="1" t="shared" si="1"/>
        <v>5940</v>
      </c>
      <c r="O30" s="6">
        <f ca="1" t="shared" si="2"/>
        <v>1.65</v>
      </c>
      <c r="P30" s="6"/>
      <c r="Q30" s="6"/>
    </row>
    <row r="31" s="21" customFormat="1" ht="20" customHeight="1" spans="1:17">
      <c r="A31" s="27">
        <v>46097</v>
      </c>
      <c r="B31" s="6">
        <v>12</v>
      </c>
      <c r="C31" s="28">
        <f ca="1" t="array" ref="C31">SUM(O31:O32/B31)</f>
        <v>1.01851851851852</v>
      </c>
      <c r="D31" s="6" t="s">
        <v>107</v>
      </c>
      <c r="E31" s="6" t="s">
        <v>108</v>
      </c>
      <c r="F31" s="6">
        <v>260</v>
      </c>
      <c r="G31" s="6" t="s">
        <v>24</v>
      </c>
      <c r="H31" s="6">
        <f ca="1" t="array" ref="H31">INDEX(成本核算表!J:J,MATCH(1,(成本核算表!D:D=E31)*(成本核算表!C:C=G31),0))</f>
        <v>50</v>
      </c>
      <c r="I31" s="6">
        <v>400</v>
      </c>
      <c r="J31" s="6">
        <f ca="1" t="shared" si="0"/>
        <v>20000</v>
      </c>
      <c r="K31" s="6"/>
      <c r="L31" s="6"/>
      <c r="M31" s="6"/>
      <c r="N31" s="6">
        <f ca="1" t="shared" si="1"/>
        <v>20000</v>
      </c>
      <c r="O31" s="6">
        <f ca="1" t="shared" si="2"/>
        <v>5.55555555555556</v>
      </c>
      <c r="P31" s="6"/>
      <c r="Q31" s="6"/>
    </row>
    <row r="32" s="21" customFormat="1" ht="20" customHeight="1" spans="1:17">
      <c r="A32" s="27">
        <v>46097</v>
      </c>
      <c r="B32" s="6"/>
      <c r="C32" s="28"/>
      <c r="D32" s="6" t="s">
        <v>107</v>
      </c>
      <c r="E32" s="6" t="s">
        <v>108</v>
      </c>
      <c r="F32" s="6">
        <v>260</v>
      </c>
      <c r="G32" s="6" t="s">
        <v>25</v>
      </c>
      <c r="H32" s="6">
        <f ca="1" t="array" ref="H32">INDEX(成本核算表!J:J,MATCH(1,(成本核算表!D:D=E32)*(成本核算表!C:C=G32),0))</f>
        <v>60</v>
      </c>
      <c r="I32" s="6">
        <v>400</v>
      </c>
      <c r="J32" s="6">
        <f ca="1" t="shared" si="0"/>
        <v>24000</v>
      </c>
      <c r="K32" s="6"/>
      <c r="L32" s="6"/>
      <c r="M32" s="6"/>
      <c r="N32" s="6">
        <f ca="1" t="shared" si="1"/>
        <v>24000</v>
      </c>
      <c r="O32" s="6">
        <f ca="1" t="shared" si="2"/>
        <v>6.66666666666667</v>
      </c>
      <c r="P32" s="6"/>
      <c r="Q32" s="6"/>
    </row>
    <row r="33" s="21" customFormat="1" ht="20" customHeight="1" spans="1:17">
      <c r="A33" s="27">
        <v>46098</v>
      </c>
      <c r="B33" s="6">
        <v>12</v>
      </c>
      <c r="C33" s="28">
        <f ca="1" t="array" ref="C33">SUM(O33:O34/B33)</f>
        <v>0.990277777777778</v>
      </c>
      <c r="D33" s="5" t="s">
        <v>84</v>
      </c>
      <c r="E33" s="5" t="s">
        <v>78</v>
      </c>
      <c r="F33" s="6">
        <v>780</v>
      </c>
      <c r="G33" s="5" t="s">
        <v>22</v>
      </c>
      <c r="H33" s="6">
        <f ca="1" t="array" ref="H33">INDEX(成本核算表!J:J,MATCH(1,(成本核算表!D:D=E33)*(成本核算表!C:C=G33),0))</f>
        <v>60</v>
      </c>
      <c r="I33" s="6">
        <v>473</v>
      </c>
      <c r="J33" s="6">
        <f ca="1" t="shared" si="0"/>
        <v>28380</v>
      </c>
      <c r="K33" s="6"/>
      <c r="L33" s="6"/>
      <c r="M33" s="6"/>
      <c r="N33" s="6">
        <f ca="1" t="shared" si="1"/>
        <v>28380</v>
      </c>
      <c r="O33" s="6">
        <f ca="1" t="shared" si="2"/>
        <v>7.88333333333333</v>
      </c>
      <c r="P33" s="6"/>
      <c r="Q33" s="6"/>
    </row>
    <row r="34" s="21" customFormat="1" ht="20" customHeight="1" spans="1:17">
      <c r="A34" s="27">
        <v>46098</v>
      </c>
      <c r="B34" s="6"/>
      <c r="C34" s="28"/>
      <c r="D34" s="5" t="s">
        <v>80</v>
      </c>
      <c r="E34" s="5" t="s">
        <v>78</v>
      </c>
      <c r="F34" s="6">
        <v>1960</v>
      </c>
      <c r="G34" s="5" t="s">
        <v>22</v>
      </c>
      <c r="H34" s="6">
        <f ca="1" t="array" ref="H34">INDEX(成本核算表!J:J,MATCH(1,(成本核算表!D:D=E34)*(成本核算表!C:C=G34),0))</f>
        <v>60</v>
      </c>
      <c r="I34" s="6">
        <v>240</v>
      </c>
      <c r="J34" s="6">
        <f ca="1" t="shared" si="0"/>
        <v>14400</v>
      </c>
      <c r="K34" s="6"/>
      <c r="L34" s="6"/>
      <c r="M34" s="6"/>
      <c r="N34" s="6">
        <f ca="1" t="shared" si="1"/>
        <v>14400</v>
      </c>
      <c r="O34" s="6">
        <f ca="1" t="shared" si="2"/>
        <v>4</v>
      </c>
      <c r="P34" s="6"/>
      <c r="Q34" s="6"/>
    </row>
    <row r="35" s="21" customFormat="1" ht="20" customHeight="1" spans="1:17">
      <c r="A35" s="27">
        <v>46099</v>
      </c>
      <c r="B35" s="6">
        <v>12</v>
      </c>
      <c r="C35" s="28">
        <f ca="1" t="array" ref="C35">SUM(O35:O37/B35)</f>
        <v>1.07083333333333</v>
      </c>
      <c r="D35" s="5" t="s">
        <v>84</v>
      </c>
      <c r="E35" s="5" t="s">
        <v>78</v>
      </c>
      <c r="F35" s="6">
        <v>780</v>
      </c>
      <c r="G35" s="5" t="s">
        <v>22</v>
      </c>
      <c r="H35" s="6">
        <f ca="1" t="array" ref="H35">INDEX(成本核算表!J:J,MATCH(1,(成本核算表!D:D=E35)*(成本核算表!C:C=G35),0))</f>
        <v>60</v>
      </c>
      <c r="I35" s="6">
        <v>635</v>
      </c>
      <c r="J35" s="6">
        <f ca="1" t="shared" si="0"/>
        <v>38100</v>
      </c>
      <c r="K35" s="6"/>
      <c r="L35" s="6"/>
      <c r="M35" s="6"/>
      <c r="N35" s="6">
        <f ca="1" t="shared" si="1"/>
        <v>38100</v>
      </c>
      <c r="O35" s="6">
        <f ca="1" t="shared" si="2"/>
        <v>10.5833333333333</v>
      </c>
      <c r="P35" s="6"/>
      <c r="Q35" s="6"/>
    </row>
    <row r="36" s="21" customFormat="1" ht="20" customHeight="1" spans="1:17">
      <c r="A36" s="27">
        <v>46099</v>
      </c>
      <c r="B36" s="6"/>
      <c r="C36" s="28"/>
      <c r="D36" s="5" t="s">
        <v>77</v>
      </c>
      <c r="E36" s="5" t="s">
        <v>78</v>
      </c>
      <c r="F36" s="6">
        <v>1960</v>
      </c>
      <c r="G36" s="5" t="s">
        <v>22</v>
      </c>
      <c r="H36" s="6">
        <f ca="1" t="array" ref="H36">INDEX(成本核算表!J:J,MATCH(1,(成本核算表!D:D=E36)*(成本核算表!C:C=G36),0))</f>
        <v>60</v>
      </c>
      <c r="I36" s="6">
        <v>96</v>
      </c>
      <c r="J36" s="6">
        <f ca="1" t="shared" si="0"/>
        <v>5760</v>
      </c>
      <c r="K36" s="6"/>
      <c r="L36" s="6"/>
      <c r="M36" s="6"/>
      <c r="N36" s="6">
        <f ca="1" t="shared" si="1"/>
        <v>5760</v>
      </c>
      <c r="O36" s="6">
        <f ca="1" t="shared" si="2"/>
        <v>1.6</v>
      </c>
      <c r="P36" s="6"/>
      <c r="Q36" s="6"/>
    </row>
    <row r="37" s="21" customFormat="1" ht="20" customHeight="1" spans="1:17">
      <c r="A37" s="27">
        <v>46099</v>
      </c>
      <c r="B37" s="6"/>
      <c r="C37" s="28"/>
      <c r="D37" s="5" t="s">
        <v>142</v>
      </c>
      <c r="E37" s="5" t="s">
        <v>143</v>
      </c>
      <c r="F37" s="6">
        <v>2400</v>
      </c>
      <c r="G37" s="5" t="s">
        <v>22</v>
      </c>
      <c r="H37" s="6">
        <f ca="1" t="array" ref="H37">INDEX(成本核算表!J:J,MATCH(1,(成本核算表!D:D=E37)*(成本核算表!C:C=G37),0))</f>
        <v>240</v>
      </c>
      <c r="I37" s="6">
        <v>10</v>
      </c>
      <c r="J37" s="6">
        <f ca="1" t="shared" si="0"/>
        <v>2400</v>
      </c>
      <c r="K37" s="6"/>
      <c r="L37" s="6"/>
      <c r="M37" s="6"/>
      <c r="N37" s="6">
        <f ca="1" t="shared" si="1"/>
        <v>2400</v>
      </c>
      <c r="O37" s="6">
        <f ca="1" t="shared" si="2"/>
        <v>0.666666666666667</v>
      </c>
      <c r="P37" s="6"/>
      <c r="Q37" s="6"/>
    </row>
    <row r="38" s="21" customFormat="1" ht="20" customHeight="1" spans="1:17">
      <c r="A38" s="27">
        <v>46100</v>
      </c>
      <c r="B38" s="6">
        <v>12</v>
      </c>
      <c r="C38" s="28">
        <f ca="1" t="array" ref="C38">SUM(O38:O39/B38)</f>
        <v>1.025</v>
      </c>
      <c r="D38" s="5" t="s">
        <v>114</v>
      </c>
      <c r="E38" s="5" t="s">
        <v>101</v>
      </c>
      <c r="F38" s="6">
        <v>138.8</v>
      </c>
      <c r="G38" s="6" t="s">
        <v>22</v>
      </c>
      <c r="H38" s="6">
        <f ca="1" t="array" ref="H38">INDEX(成本核算表!J:J,MATCH(1,(成本核算表!D:D=E38)*(成本核算表!C:C=G38),0))</f>
        <v>160</v>
      </c>
      <c r="I38" s="6">
        <v>190</v>
      </c>
      <c r="J38" s="6">
        <f ca="1" t="shared" si="0"/>
        <v>30400</v>
      </c>
      <c r="K38" s="6">
        <v>4</v>
      </c>
      <c r="L38" s="6"/>
      <c r="M38" s="6">
        <f ca="1">K38*H38</f>
        <v>640</v>
      </c>
      <c r="N38" s="6">
        <f ca="1" t="shared" si="1"/>
        <v>29760</v>
      </c>
      <c r="O38" s="6">
        <f ca="1" t="shared" si="2"/>
        <v>8.26666666666667</v>
      </c>
      <c r="P38" s="6"/>
      <c r="Q38" s="6"/>
    </row>
    <row r="39" s="21" customFormat="1" ht="20" customHeight="1" spans="1:17">
      <c r="A39" s="27">
        <v>46100</v>
      </c>
      <c r="B39" s="6"/>
      <c r="C39" s="28"/>
      <c r="D39" s="5" t="s">
        <v>114</v>
      </c>
      <c r="E39" s="5" t="s">
        <v>101</v>
      </c>
      <c r="F39" s="6">
        <v>138.8</v>
      </c>
      <c r="G39" s="5" t="s">
        <v>102</v>
      </c>
      <c r="H39" s="6">
        <v>60</v>
      </c>
      <c r="I39" s="6">
        <v>242</v>
      </c>
      <c r="J39" s="6">
        <f t="shared" si="0"/>
        <v>14520</v>
      </c>
      <c r="K39" s="6"/>
      <c r="L39" s="6"/>
      <c r="M39" s="6"/>
      <c r="N39" s="6">
        <f t="shared" si="1"/>
        <v>14520</v>
      </c>
      <c r="O39" s="6">
        <f t="shared" si="2"/>
        <v>4.03333333333333</v>
      </c>
      <c r="P39" s="6"/>
      <c r="Q39" s="6"/>
    </row>
    <row r="40" s="21" customFormat="1" ht="20" customHeight="1" spans="1:17">
      <c r="A40" s="27">
        <v>46101</v>
      </c>
      <c r="B40" s="6">
        <v>12</v>
      </c>
      <c r="C40" s="28">
        <f ca="1" t="array" ref="C40">SUM(O40:O41/B40)</f>
        <v>0.973611111111111</v>
      </c>
      <c r="D40" s="42" t="s">
        <v>123</v>
      </c>
      <c r="E40" s="5" t="s">
        <v>78</v>
      </c>
      <c r="F40" s="37">
        <v>1960</v>
      </c>
      <c r="G40" s="6" t="s">
        <v>22</v>
      </c>
      <c r="H40" s="6">
        <f ca="1" t="array" ref="H40">INDEX(成本核算表!J:J,MATCH(1,(成本核算表!D:D=E40)*(成本核算表!C:C=G40),0))</f>
        <v>60</v>
      </c>
      <c r="I40" s="6">
        <v>410</v>
      </c>
      <c r="J40" s="6">
        <f ca="1" t="shared" si="0"/>
        <v>24600</v>
      </c>
      <c r="K40" s="6">
        <v>6</v>
      </c>
      <c r="L40" s="6"/>
      <c r="M40" s="6">
        <f ca="1">K40*H40</f>
        <v>360</v>
      </c>
      <c r="N40" s="6">
        <f ca="1" t="shared" si="1"/>
        <v>24240</v>
      </c>
      <c r="O40" s="6">
        <f ca="1" t="shared" si="2"/>
        <v>6.73333333333333</v>
      </c>
      <c r="P40" s="6"/>
      <c r="Q40" s="6"/>
    </row>
    <row r="41" s="21" customFormat="1" ht="20" customHeight="1" spans="1:17">
      <c r="A41" s="27">
        <v>46101</v>
      </c>
      <c r="B41" s="6"/>
      <c r="C41" s="28"/>
      <c r="D41" s="42" t="s">
        <v>124</v>
      </c>
      <c r="E41" s="5" t="s">
        <v>78</v>
      </c>
      <c r="F41" s="37">
        <v>1960</v>
      </c>
      <c r="G41" s="6" t="s">
        <v>22</v>
      </c>
      <c r="H41" s="6">
        <f ca="1" t="array" ref="H41">INDEX(成本核算表!J:J,MATCH(1,(成本核算表!D:D=E41)*(成本核算表!C:C=G41),0))</f>
        <v>60</v>
      </c>
      <c r="I41" s="6">
        <v>297</v>
      </c>
      <c r="J41" s="6">
        <f ca="1" t="shared" si="0"/>
        <v>17820</v>
      </c>
      <c r="K41" s="6"/>
      <c r="L41" s="6"/>
      <c r="M41" s="6"/>
      <c r="N41" s="6">
        <f ca="1" t="shared" si="1"/>
        <v>17820</v>
      </c>
      <c r="O41" s="6">
        <f ca="1" t="shared" si="2"/>
        <v>4.95</v>
      </c>
      <c r="P41" s="6"/>
      <c r="Q41" s="6"/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0"/>
        <v>0</v>
      </c>
      <c r="K42" s="23"/>
      <c r="L42" s="23"/>
      <c r="N42" s="6">
        <f ca="1" t="shared" si="1"/>
        <v>0</v>
      </c>
      <c r="O42" s="6">
        <f ca="1" t="shared" si="2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0"/>
        <v>0</v>
      </c>
      <c r="K43" s="23"/>
      <c r="L43" s="23"/>
      <c r="N43" s="6">
        <f ca="1" t="shared" si="1"/>
        <v>0</v>
      </c>
      <c r="O43" s="6">
        <f ca="1" t="shared" si="2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0"/>
        <v>0</v>
      </c>
      <c r="K44" s="23"/>
      <c r="L44" s="23"/>
      <c r="N44" s="6">
        <f ca="1" t="shared" si="1"/>
        <v>0</v>
      </c>
      <c r="O44" s="6">
        <f ca="1" t="shared" si="2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0"/>
        <v>0</v>
      </c>
      <c r="K45" s="23"/>
      <c r="L45" s="23"/>
      <c r="N45" s="6">
        <f ca="1" t="shared" si="1"/>
        <v>0</v>
      </c>
      <c r="O45" s="6">
        <f ca="1" t="shared" si="2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0"/>
        <v>0</v>
      </c>
      <c r="K46" s="23"/>
      <c r="L46" s="23"/>
      <c r="N46" s="6">
        <f ca="1" t="shared" si="1"/>
        <v>0</v>
      </c>
      <c r="O46" s="6">
        <f ca="1" t="shared" si="2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0"/>
        <v>0</v>
      </c>
      <c r="K47" s="23"/>
      <c r="L47" s="23"/>
      <c r="N47" s="6">
        <f ca="1" t="shared" si="1"/>
        <v>0</v>
      </c>
      <c r="O47" s="6">
        <f ca="1" t="shared" si="2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0"/>
        <v>0</v>
      </c>
      <c r="K48" s="23"/>
      <c r="L48" s="23"/>
      <c r="N48" s="6">
        <f ca="1" t="shared" si="1"/>
        <v>0</v>
      </c>
      <c r="O48" s="6">
        <f ca="1" t="shared" si="2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0"/>
        <v>0</v>
      </c>
      <c r="K49" s="23"/>
      <c r="L49" s="23"/>
      <c r="N49" s="6">
        <f ca="1" t="shared" si="1"/>
        <v>0</v>
      </c>
      <c r="O49" s="6">
        <f ca="1" t="shared" si="2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0"/>
        <v>0</v>
      </c>
      <c r="K50" s="23"/>
      <c r="L50" s="23"/>
      <c r="N50" s="6">
        <f ca="1" t="shared" si="1"/>
        <v>0</v>
      </c>
      <c r="O50" s="6">
        <f ca="1" t="shared" si="2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0"/>
        <v>0</v>
      </c>
      <c r="K51" s="23"/>
      <c r="L51" s="23"/>
      <c r="N51" s="6">
        <f ca="1" t="shared" si="1"/>
        <v>0</v>
      </c>
      <c r="O51" s="6">
        <f ca="1" t="shared" si="2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0"/>
        <v>0</v>
      </c>
      <c r="K52" s="23"/>
      <c r="L52" s="23"/>
      <c r="N52" s="6">
        <f ca="1" t="shared" si="1"/>
        <v>0</v>
      </c>
      <c r="O52" s="6">
        <f ca="1" t="shared" si="2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0"/>
        <v>0</v>
      </c>
      <c r="K53" s="23"/>
      <c r="L53" s="23"/>
      <c r="N53" s="6">
        <f ca="1" t="shared" si="1"/>
        <v>0</v>
      </c>
      <c r="O53" s="6">
        <f ca="1" t="shared" si="2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0"/>
        <v>0</v>
      </c>
      <c r="K54" s="23"/>
      <c r="L54" s="23"/>
      <c r="N54" s="6">
        <f ca="1" t="shared" si="1"/>
        <v>0</v>
      </c>
      <c r="O54" s="6">
        <f ca="1" t="shared" si="2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0"/>
        <v>0</v>
      </c>
      <c r="K55" s="23"/>
      <c r="L55" s="23"/>
      <c r="N55" s="6">
        <f ca="1" t="shared" si="1"/>
        <v>0</v>
      </c>
      <c r="O55" s="6">
        <f ca="1" t="shared" si="2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0"/>
        <v>0</v>
      </c>
      <c r="K56" s="23"/>
      <c r="L56" s="23"/>
      <c r="N56" s="6">
        <f ca="1" t="shared" si="1"/>
        <v>0</v>
      </c>
      <c r="O56" s="6">
        <f ca="1" t="shared" si="2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0"/>
        <v>0</v>
      </c>
      <c r="K57" s="23"/>
      <c r="L57" s="23"/>
      <c r="N57" s="6">
        <f ca="1" t="shared" si="1"/>
        <v>0</v>
      </c>
      <c r="O57" s="6">
        <f ca="1" t="shared" si="2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0"/>
        <v>0</v>
      </c>
      <c r="K58" s="23"/>
      <c r="L58" s="23"/>
      <c r="N58" s="6">
        <f ca="1" t="shared" si="1"/>
        <v>0</v>
      </c>
      <c r="O58" s="6">
        <f ca="1" t="shared" si="2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0"/>
        <v>0</v>
      </c>
      <c r="K59" s="23"/>
      <c r="L59" s="23"/>
      <c r="N59" s="6">
        <f ca="1" t="shared" si="1"/>
        <v>0</v>
      </c>
      <c r="O59" s="6">
        <f ca="1" t="shared" si="2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0"/>
        <v>0</v>
      </c>
      <c r="K60" s="23"/>
      <c r="L60" s="23"/>
      <c r="N60" s="6">
        <f ca="1" t="shared" si="1"/>
        <v>0</v>
      </c>
      <c r="O60" s="6">
        <f ca="1" t="shared" si="2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0"/>
        <v>0</v>
      </c>
      <c r="K61" s="23"/>
      <c r="L61" s="23"/>
      <c r="N61" s="6">
        <f ca="1" t="shared" si="1"/>
        <v>0</v>
      </c>
      <c r="O61" s="6">
        <f ca="1" t="shared" si="2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0"/>
        <v>0</v>
      </c>
      <c r="K62" s="23"/>
      <c r="L62" s="23"/>
      <c r="N62" s="6">
        <f ca="1" t="shared" si="1"/>
        <v>0</v>
      </c>
      <c r="O62" s="6">
        <f ca="1" t="shared" si="2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0"/>
        <v>0</v>
      </c>
      <c r="K63" s="23"/>
      <c r="L63" s="23"/>
      <c r="N63" s="6">
        <f ca="1" t="shared" si="1"/>
        <v>0</v>
      </c>
      <c r="O63" s="6">
        <f ca="1" t="shared" si="2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0"/>
        <v>0</v>
      </c>
      <c r="K64" s="23"/>
      <c r="L64" s="23"/>
      <c r="N64" s="6">
        <f ca="1" t="shared" si="1"/>
        <v>0</v>
      </c>
      <c r="O64" s="6">
        <f ca="1" t="shared" si="2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0"/>
        <v>0</v>
      </c>
      <c r="K65" s="23"/>
      <c r="L65" s="23"/>
      <c r="N65" s="6">
        <f ca="1" t="shared" si="1"/>
        <v>0</v>
      </c>
      <c r="O65" s="6">
        <f ca="1" t="shared" si="2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101" si="4">H66*I66</f>
        <v>0</v>
      </c>
      <c r="K66" s="23"/>
      <c r="L66" s="23"/>
      <c r="N66" s="6">
        <f ca="1" t="shared" ref="N66:N101" si="5">J66-M66+L66</f>
        <v>0</v>
      </c>
      <c r="O66" s="6">
        <f ca="1" t="shared" ref="O66:O101" si="6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4"/>
        <v>0</v>
      </c>
      <c r="K67" s="23"/>
      <c r="L67" s="23"/>
      <c r="N67" s="6">
        <f ca="1" t="shared" si="5"/>
        <v>0</v>
      </c>
      <c r="O67" s="6">
        <f ca="1" t="shared" si="6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4"/>
        <v>0</v>
      </c>
      <c r="K68" s="23"/>
      <c r="L68" s="23"/>
      <c r="N68" s="6">
        <f ca="1" t="shared" si="5"/>
        <v>0</v>
      </c>
      <c r="O68" s="6">
        <f ca="1" t="shared" si="6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4"/>
        <v>0</v>
      </c>
      <c r="K69" s="23"/>
      <c r="L69" s="23"/>
      <c r="N69" s="6">
        <f ca="1" t="shared" si="5"/>
        <v>0</v>
      </c>
      <c r="O69" s="6">
        <f ca="1" t="shared" si="6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4"/>
        <v>0</v>
      </c>
      <c r="K70" s="23"/>
      <c r="L70" s="23"/>
      <c r="N70" s="6">
        <f ca="1" t="shared" si="5"/>
        <v>0</v>
      </c>
      <c r="O70" s="6">
        <f ca="1" t="shared" si="6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4"/>
        <v>0</v>
      </c>
      <c r="K71" s="23"/>
      <c r="L71" s="23"/>
      <c r="N71" s="6">
        <f ca="1" t="shared" si="5"/>
        <v>0</v>
      </c>
      <c r="O71" s="6">
        <f ca="1" t="shared" si="6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4"/>
        <v>0</v>
      </c>
      <c r="K72" s="23"/>
      <c r="L72" s="23"/>
      <c r="N72" s="6">
        <f ca="1" t="shared" si="5"/>
        <v>0</v>
      </c>
      <c r="O72" s="6">
        <f ca="1" t="shared" si="6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4"/>
        <v>0</v>
      </c>
      <c r="K73" s="23"/>
      <c r="L73" s="23"/>
      <c r="N73" s="6">
        <f ca="1" t="shared" si="5"/>
        <v>0</v>
      </c>
      <c r="O73" s="6">
        <f ca="1" t="shared" si="6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4"/>
        <v>0</v>
      </c>
      <c r="K74" s="23"/>
      <c r="L74" s="23"/>
      <c r="N74" s="6">
        <f ca="1" t="shared" si="5"/>
        <v>0</v>
      </c>
      <c r="O74" s="6">
        <f ca="1" t="shared" si="6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4"/>
        <v>0</v>
      </c>
      <c r="K75" s="23"/>
      <c r="L75" s="23"/>
      <c r="N75" s="6">
        <f ca="1" t="shared" si="5"/>
        <v>0</v>
      </c>
      <c r="O75" s="6">
        <f ca="1" t="shared" si="6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4"/>
        <v>0</v>
      </c>
      <c r="K76" s="23"/>
      <c r="L76" s="23"/>
      <c r="N76" s="6">
        <f ca="1" t="shared" si="5"/>
        <v>0</v>
      </c>
      <c r="O76" s="6">
        <f ca="1" t="shared" si="6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4"/>
        <v>0</v>
      </c>
      <c r="K77" s="23"/>
      <c r="L77" s="23"/>
      <c r="N77" s="6">
        <f ca="1" t="shared" si="5"/>
        <v>0</v>
      </c>
      <c r="O77" s="6">
        <f ca="1" t="shared" si="6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4"/>
        <v>0</v>
      </c>
      <c r="K78" s="23"/>
      <c r="L78" s="23"/>
      <c r="N78" s="6">
        <f ca="1" t="shared" si="5"/>
        <v>0</v>
      </c>
      <c r="O78" s="6">
        <f ca="1" t="shared" si="6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4"/>
        <v>0</v>
      </c>
      <c r="K79" s="23"/>
      <c r="L79" s="23"/>
      <c r="N79" s="6">
        <f ca="1" t="shared" si="5"/>
        <v>0</v>
      </c>
      <c r="O79" s="6">
        <f ca="1" t="shared" si="6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4"/>
        <v>0</v>
      </c>
      <c r="K80" s="23"/>
      <c r="L80" s="23"/>
      <c r="N80" s="6">
        <f ca="1" t="shared" si="5"/>
        <v>0</v>
      </c>
      <c r="O80" s="6">
        <f ca="1" t="shared" si="6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4"/>
        <v>0</v>
      </c>
      <c r="K81" s="23"/>
      <c r="L81" s="23"/>
      <c r="N81" s="6">
        <f ca="1" t="shared" si="5"/>
        <v>0</v>
      </c>
      <c r="O81" s="6">
        <f ca="1" t="shared" si="6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4"/>
        <v>0</v>
      </c>
      <c r="K82" s="23"/>
      <c r="L82" s="23"/>
      <c r="N82" s="6">
        <f ca="1" t="shared" si="5"/>
        <v>0</v>
      </c>
      <c r="O82" s="6">
        <f ca="1" t="shared" si="6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4"/>
        <v>0</v>
      </c>
      <c r="K83" s="23"/>
      <c r="L83" s="23"/>
      <c r="N83" s="6">
        <f ca="1" t="shared" si="5"/>
        <v>0</v>
      </c>
      <c r="O83" s="6">
        <f ca="1" t="shared" si="6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4"/>
        <v>0</v>
      </c>
      <c r="K84" s="23"/>
      <c r="L84" s="23"/>
      <c r="N84" s="6">
        <f ca="1" t="shared" si="5"/>
        <v>0</v>
      </c>
      <c r="O84" s="6">
        <f ca="1" t="shared" si="6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4"/>
        <v>0</v>
      </c>
      <c r="K85" s="23"/>
      <c r="L85" s="23"/>
      <c r="N85" s="6">
        <f ca="1" t="shared" si="5"/>
        <v>0</v>
      </c>
      <c r="O85" s="6">
        <f ca="1" t="shared" si="6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4"/>
        <v>0</v>
      </c>
      <c r="K86" s="23"/>
      <c r="L86" s="23"/>
      <c r="N86" s="6">
        <f ca="1" t="shared" si="5"/>
        <v>0</v>
      </c>
      <c r="O86" s="6">
        <f ca="1" t="shared" si="6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4"/>
        <v>0</v>
      </c>
      <c r="K87" s="23"/>
      <c r="L87" s="23"/>
      <c r="N87" s="6">
        <f ca="1" t="shared" si="5"/>
        <v>0</v>
      </c>
      <c r="O87" s="6">
        <f ca="1" t="shared" si="6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4"/>
        <v>0</v>
      </c>
      <c r="K88" s="23"/>
      <c r="L88" s="23"/>
      <c r="N88" s="6">
        <f ca="1" t="shared" si="5"/>
        <v>0</v>
      </c>
      <c r="O88" s="6">
        <f ca="1" t="shared" si="6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4"/>
        <v>0</v>
      </c>
      <c r="K89" s="23"/>
      <c r="L89" s="23"/>
      <c r="N89" s="6">
        <f ca="1" t="shared" si="5"/>
        <v>0</v>
      </c>
      <c r="O89" s="6">
        <f ca="1" t="shared" si="6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4"/>
        <v>0</v>
      </c>
      <c r="K90" s="23"/>
      <c r="L90" s="23"/>
      <c r="N90" s="6">
        <f ca="1" t="shared" si="5"/>
        <v>0</v>
      </c>
      <c r="O90" s="6">
        <f ca="1" t="shared" si="6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4"/>
        <v>0</v>
      </c>
      <c r="K91" s="23"/>
      <c r="L91" s="23"/>
      <c r="N91" s="6">
        <f ca="1" t="shared" si="5"/>
        <v>0</v>
      </c>
      <c r="O91" s="6">
        <f ca="1" t="shared" si="6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4"/>
        <v>0</v>
      </c>
      <c r="K92" s="23"/>
      <c r="L92" s="23"/>
      <c r="N92" s="6">
        <f ca="1" t="shared" si="5"/>
        <v>0</v>
      </c>
      <c r="O92" s="6">
        <f ca="1" t="shared" si="6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4"/>
        <v>0</v>
      </c>
      <c r="K93" s="23"/>
      <c r="L93" s="23"/>
      <c r="N93" s="6">
        <f ca="1" t="shared" si="5"/>
        <v>0</v>
      </c>
      <c r="O93" s="6">
        <f ca="1" t="shared" si="6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4"/>
        <v>0</v>
      </c>
      <c r="K94" s="23"/>
      <c r="L94" s="23"/>
      <c r="N94" s="6">
        <f ca="1" t="shared" si="5"/>
        <v>0</v>
      </c>
      <c r="O94" s="6">
        <f ca="1" t="shared" si="6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4"/>
        <v>0</v>
      </c>
      <c r="K95" s="23"/>
      <c r="L95" s="23"/>
      <c r="N95" s="6">
        <f ca="1" t="shared" si="5"/>
        <v>0</v>
      </c>
      <c r="O95" s="6">
        <f ca="1" t="shared" si="6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4"/>
        <v>0</v>
      </c>
      <c r="K96" s="23"/>
      <c r="L96" s="23"/>
      <c r="N96" s="6">
        <f ca="1" t="shared" si="5"/>
        <v>0</v>
      </c>
      <c r="O96" s="6">
        <f ca="1" t="shared" si="6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4"/>
        <v>0</v>
      </c>
      <c r="K97" s="23"/>
      <c r="L97" s="23"/>
      <c r="N97" s="6">
        <f ca="1" t="shared" si="5"/>
        <v>0</v>
      </c>
      <c r="O97" s="6">
        <f ca="1" t="shared" si="6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4"/>
        <v>0</v>
      </c>
      <c r="K98" s="23"/>
      <c r="L98" s="23"/>
      <c r="N98" s="6">
        <f ca="1" t="shared" si="5"/>
        <v>0</v>
      </c>
      <c r="O98" s="6">
        <f ca="1" t="shared" si="6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4"/>
        <v>0</v>
      </c>
      <c r="K99" s="23"/>
      <c r="L99" s="23"/>
      <c r="N99" s="6">
        <f ca="1" t="shared" si="5"/>
        <v>0</v>
      </c>
      <c r="O99" s="6">
        <f ca="1" t="shared" si="6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4"/>
        <v>0</v>
      </c>
      <c r="K100" s="23"/>
      <c r="L100" s="23"/>
      <c r="N100" s="6">
        <f ca="1" t="shared" si="5"/>
        <v>0</v>
      </c>
      <c r="O100" s="6">
        <f ca="1" t="shared" si="6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4"/>
        <v>0</v>
      </c>
      <c r="K101" s="23"/>
      <c r="L101" s="23"/>
      <c r="N101" s="6">
        <f ca="1" t="shared" si="5"/>
        <v>0</v>
      </c>
      <c r="O101" s="6">
        <f ca="1" t="shared" si="6"/>
        <v>0</v>
      </c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6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Q199"/>
  <sheetViews>
    <sheetView workbookViewId="0">
      <pane ySplit="1" topLeftCell="A50" activePane="bottomLeft" state="frozen"/>
      <selection/>
      <selection pane="bottomLeft" activeCell="C9" sqref="C9"/>
    </sheetView>
  </sheetViews>
  <sheetFormatPr defaultColWidth="9" defaultRowHeight="14.25" customHeight="1"/>
  <cols>
    <col min="1" max="1" width="9" style="31"/>
    <col min="2" max="2" width="15.625" style="32" customWidth="1"/>
    <col min="3" max="3" width="12.625" style="32" customWidth="1"/>
    <col min="4" max="5" width="14.125" style="32"/>
    <col min="6" max="6" width="9" style="32"/>
    <col min="7" max="7" width="14.125" style="34"/>
    <col min="8" max="8" width="11" style="34" customWidth="1"/>
    <col min="9" max="9" width="9.875" style="32" customWidth="1"/>
    <col min="10" max="11" width="9" style="32"/>
    <col min="12" max="14" width="9" style="30"/>
    <col min="15" max="15" width="14.125" style="30"/>
    <col min="16" max="16384" width="9" style="30"/>
  </cols>
  <sheetData>
    <row r="1" s="30" customFormat="1" ht="40.5" spans="1:17">
      <c r="A1" s="35" t="s">
        <v>0</v>
      </c>
      <c r="B1" s="35" t="s">
        <v>1</v>
      </c>
      <c r="C1" s="2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</row>
    <row r="2" s="30" customFormat="1" ht="13.5" spans="1:17">
      <c r="A2" s="45"/>
      <c r="B2" s="45"/>
      <c r="C2" s="26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="30" customFormat="1" ht="13.5" spans="1:17">
      <c r="A3" s="45"/>
      <c r="B3" s="45"/>
      <c r="C3" s="26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="30" customFormat="1" ht="13.5" spans="1:17">
      <c r="A4" s="45"/>
      <c r="B4" s="45"/>
      <c r="C4" s="26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="30" customFormat="1" ht="13.5" spans="1:17">
      <c r="A5" s="45"/>
      <c r="B5" s="45"/>
      <c r="C5" s="26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="30" customFormat="1" ht="13.5" spans="1:17">
      <c r="A6" s="45"/>
      <c r="B6" s="45"/>
      <c r="C6" s="26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</row>
    <row r="7" s="30" customFormat="1" ht="13.5" spans="1:17">
      <c r="A7" s="45"/>
      <c r="B7" s="45"/>
      <c r="C7" s="26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</row>
    <row r="8" s="30" customFormat="1" ht="13.5" spans="1:17">
      <c r="A8" s="45"/>
      <c r="B8" s="45"/>
      <c r="C8" s="26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</row>
    <row r="9" s="30" customFormat="1" ht="20" customHeight="1" spans="1:17">
      <c r="A9" s="36">
        <v>46089</v>
      </c>
      <c r="B9" s="37">
        <v>9</v>
      </c>
      <c r="C9" s="38">
        <f ca="1">SUM(O9:O10)/B9</f>
        <v>1.06172839506173</v>
      </c>
      <c r="D9" s="5" t="s">
        <v>151</v>
      </c>
      <c r="E9" s="5" t="s">
        <v>152</v>
      </c>
      <c r="F9" s="37">
        <v>658.6</v>
      </c>
      <c r="G9" s="5" t="s">
        <v>153</v>
      </c>
      <c r="H9" s="37">
        <f ca="1" t="array" ref="H9">INDEX(成本核算表!J:J,MATCH(1,(成本核算表!D:D=E9)*(成本核算表!C:C=G9),0))</f>
        <v>25</v>
      </c>
      <c r="I9" s="37">
        <v>856</v>
      </c>
      <c r="J9" s="37">
        <f ca="1">H9*I9</f>
        <v>21400</v>
      </c>
      <c r="K9" s="37"/>
      <c r="L9" s="37"/>
      <c r="M9" s="37"/>
      <c r="N9" s="37">
        <f ca="1" t="shared" ref="N9:N72" si="0">J9-M9+L9</f>
        <v>21400</v>
      </c>
      <c r="O9" s="37">
        <f ca="1">N9/3600</f>
        <v>5.94444444444444</v>
      </c>
      <c r="P9" s="37"/>
      <c r="Q9" s="37"/>
    </row>
    <row r="10" s="30" customFormat="1" ht="20" customHeight="1" spans="1:17">
      <c r="A10" s="36">
        <v>46089</v>
      </c>
      <c r="B10" s="37"/>
      <c r="C10" s="37"/>
      <c r="D10" s="5" t="s">
        <v>154</v>
      </c>
      <c r="E10" s="5" t="s">
        <v>152</v>
      </c>
      <c r="F10" s="37">
        <v>658.6</v>
      </c>
      <c r="G10" s="5" t="s">
        <v>153</v>
      </c>
      <c r="H10" s="37">
        <f ca="1" t="array" ref="H10">INDEX(成本核算表!J:J,MATCH(1,(成本核算表!D:D=E10)*(成本核算表!C:C=G10),0))</f>
        <v>25</v>
      </c>
      <c r="I10" s="37">
        <v>520</v>
      </c>
      <c r="J10" s="37">
        <f ca="1">H10*I10</f>
        <v>13000</v>
      </c>
      <c r="K10" s="37"/>
      <c r="L10" s="37"/>
      <c r="M10" s="37"/>
      <c r="N10" s="37">
        <f ca="1" t="shared" si="0"/>
        <v>13000</v>
      </c>
      <c r="O10" s="37">
        <f ca="1">N10/3600</f>
        <v>3.61111111111111</v>
      </c>
      <c r="P10" s="37"/>
    </row>
    <row r="11" s="30" customFormat="1" ht="20" customHeight="1" spans="1:17">
      <c r="A11" s="36">
        <v>46090</v>
      </c>
      <c r="B11" s="37">
        <v>11</v>
      </c>
      <c r="C11" s="38">
        <f ca="1">SUM(O11:O14)/B11</f>
        <v>1.20328282828283</v>
      </c>
      <c r="D11" s="5" t="s">
        <v>151</v>
      </c>
      <c r="E11" s="5" t="s">
        <v>152</v>
      </c>
      <c r="F11" s="37">
        <v>658.6</v>
      </c>
      <c r="G11" s="5" t="s">
        <v>153</v>
      </c>
      <c r="H11" s="37">
        <f ca="1" t="array" ref="H11">INDEX(成本核算表!J:J,MATCH(1,(成本核算表!D:D=E11)*(成本核算表!C:C=G11),0))</f>
        <v>25</v>
      </c>
      <c r="I11" s="37">
        <v>819</v>
      </c>
      <c r="J11" s="37">
        <f ca="1" t="shared" ref="J11:J42" si="1">H11*I11</f>
        <v>20475</v>
      </c>
      <c r="K11" s="37"/>
      <c r="L11" s="37"/>
      <c r="M11" s="37"/>
      <c r="N11" s="37">
        <f ca="1" t="shared" si="0"/>
        <v>20475</v>
      </c>
      <c r="O11" s="37">
        <f ca="1" t="shared" ref="O11:O42" si="2">N11/3600</f>
        <v>5.6875</v>
      </c>
      <c r="P11" s="37"/>
    </row>
    <row r="12" s="30" customFormat="1" ht="20" customHeight="1" spans="1:17">
      <c r="A12" s="36">
        <v>46090</v>
      </c>
      <c r="B12" s="37"/>
      <c r="C12" s="37"/>
      <c r="D12" s="5" t="s">
        <v>155</v>
      </c>
      <c r="E12" s="5" t="s">
        <v>152</v>
      </c>
      <c r="F12" s="37">
        <v>658.6</v>
      </c>
      <c r="G12" s="5" t="s">
        <v>153</v>
      </c>
      <c r="H12" s="37">
        <f ca="1" t="array" ref="H12">INDEX(成本核算表!J:J,MATCH(1,(成本核算表!D:D=E12)*(成本核算表!C:C=G12),0))</f>
        <v>25</v>
      </c>
      <c r="I12" s="37">
        <v>95</v>
      </c>
      <c r="J12" s="37">
        <f ca="1" t="shared" si="1"/>
        <v>2375</v>
      </c>
      <c r="K12" s="37"/>
      <c r="L12" s="37"/>
      <c r="M12" s="37"/>
      <c r="N12" s="37">
        <f ca="1" t="shared" si="0"/>
        <v>2375</v>
      </c>
      <c r="O12" s="37">
        <f ca="1" t="shared" si="2"/>
        <v>0.659722222222222</v>
      </c>
      <c r="P12" s="37"/>
    </row>
    <row r="13" s="30" customFormat="1" ht="20" customHeight="1" spans="1:17">
      <c r="A13" s="36">
        <v>46090</v>
      </c>
      <c r="B13" s="37"/>
      <c r="C13" s="37"/>
      <c r="D13" s="5" t="s">
        <v>151</v>
      </c>
      <c r="E13" s="5" t="s">
        <v>152</v>
      </c>
      <c r="F13" s="37">
        <v>658.6</v>
      </c>
      <c r="G13" s="5" t="s">
        <v>61</v>
      </c>
      <c r="H13" s="37">
        <f ca="1" t="array" ref="H13">INDEX(成本核算表!J:J,MATCH(1,(成本核算表!D:D=E13)*(成本核算表!C:C=G13),0))</f>
        <v>25</v>
      </c>
      <c r="I13" s="37">
        <v>724</v>
      </c>
      <c r="J13" s="37">
        <f ca="1" t="shared" si="1"/>
        <v>18100</v>
      </c>
      <c r="K13" s="37"/>
      <c r="L13" s="37"/>
      <c r="M13" s="37"/>
      <c r="N13" s="37">
        <f ca="1" t="shared" si="0"/>
        <v>18100</v>
      </c>
      <c r="O13" s="37">
        <f ca="1" t="shared" si="2"/>
        <v>5.02777777777778</v>
      </c>
      <c r="P13" s="37"/>
    </row>
    <row r="14" s="30" customFormat="1" ht="20" customHeight="1" spans="1:17">
      <c r="A14" s="36">
        <v>46090</v>
      </c>
      <c r="B14" s="37"/>
      <c r="C14" s="37"/>
      <c r="D14" s="5" t="s">
        <v>155</v>
      </c>
      <c r="E14" s="5" t="s">
        <v>152</v>
      </c>
      <c r="F14" s="37">
        <v>658.6</v>
      </c>
      <c r="G14" s="5" t="s">
        <v>61</v>
      </c>
      <c r="H14" s="37">
        <f ca="1" t="array" ref="H14">INDEX(成本核算表!J:J,MATCH(1,(成本核算表!D:D=E14)*(成本核算表!C:C=G14),0))</f>
        <v>25</v>
      </c>
      <c r="I14" s="37">
        <v>268</v>
      </c>
      <c r="J14" s="37">
        <f ca="1" t="shared" si="1"/>
        <v>6700</v>
      </c>
      <c r="K14" s="37"/>
      <c r="L14" s="37"/>
      <c r="M14" s="37"/>
      <c r="N14" s="37">
        <f ca="1" t="shared" si="0"/>
        <v>6700</v>
      </c>
      <c r="O14" s="37">
        <f ca="1" t="shared" si="2"/>
        <v>1.86111111111111</v>
      </c>
      <c r="P14" s="37"/>
    </row>
    <row r="15" s="30" customFormat="1" ht="20" customHeight="1" spans="1:17">
      <c r="A15" s="36">
        <v>46091</v>
      </c>
      <c r="B15" s="37">
        <v>11</v>
      </c>
      <c r="C15" s="38">
        <f ca="1">SUM(O15)/B15</f>
        <v>1.37058080808081</v>
      </c>
      <c r="D15" s="5" t="s">
        <v>151</v>
      </c>
      <c r="E15" s="5" t="s">
        <v>152</v>
      </c>
      <c r="F15" s="37">
        <v>658.6</v>
      </c>
      <c r="G15" s="5" t="s">
        <v>61</v>
      </c>
      <c r="H15" s="37">
        <f ca="1" t="array" ref="H15">INDEX(成本核算表!J:J,MATCH(1,(成本核算表!D:D=E15)*(成本核算表!C:C=G15),0))</f>
        <v>25</v>
      </c>
      <c r="I15" s="37">
        <f>927+1244</f>
        <v>2171</v>
      </c>
      <c r="J15" s="37">
        <f ca="1" t="shared" si="1"/>
        <v>54275</v>
      </c>
      <c r="K15" s="37"/>
      <c r="L15" s="37"/>
      <c r="M15" s="37"/>
      <c r="N15" s="37">
        <f ca="1" t="shared" si="0"/>
        <v>54275</v>
      </c>
      <c r="O15" s="37">
        <f ca="1" t="shared" si="2"/>
        <v>15.0763888888889</v>
      </c>
      <c r="P15" s="37"/>
    </row>
    <row r="16" s="30" customFormat="1" ht="20" customHeight="1" spans="1:17">
      <c r="A16" s="36">
        <v>46092</v>
      </c>
      <c r="B16" s="37">
        <v>11</v>
      </c>
      <c r="C16" s="38">
        <f ca="1">SUM(O16:O20)/B16</f>
        <v>1.16098484848485</v>
      </c>
      <c r="D16" s="5" t="s">
        <v>156</v>
      </c>
      <c r="E16" s="5" t="s">
        <v>152</v>
      </c>
      <c r="F16" s="37">
        <v>658.6</v>
      </c>
      <c r="G16" s="5" t="s">
        <v>61</v>
      </c>
      <c r="H16" s="37">
        <f ca="1" t="array" ref="H16">INDEX(成本核算表!J:J,MATCH(1,(成本核算表!D:D=E16)*(成本核算表!C:C=G16),0))</f>
        <v>25</v>
      </c>
      <c r="I16" s="37">
        <v>768</v>
      </c>
      <c r="J16" s="37">
        <f ca="1" t="shared" si="1"/>
        <v>19200</v>
      </c>
      <c r="K16" s="37">
        <v>30</v>
      </c>
      <c r="L16" s="37"/>
      <c r="M16" s="37">
        <f ca="1">K16*H16</f>
        <v>750</v>
      </c>
      <c r="N16" s="37">
        <f ca="1" t="shared" si="0"/>
        <v>18450</v>
      </c>
      <c r="O16" s="37">
        <f ca="1" t="shared" si="2"/>
        <v>5.125</v>
      </c>
      <c r="P16" s="37"/>
    </row>
    <row r="17" s="30" customFormat="1" ht="20" customHeight="1" spans="1:16">
      <c r="A17" s="36">
        <v>46092</v>
      </c>
      <c r="B17" s="37"/>
      <c r="C17" s="37"/>
      <c r="D17" s="5" t="s">
        <v>157</v>
      </c>
      <c r="E17" s="5" t="s">
        <v>152</v>
      </c>
      <c r="F17" s="37">
        <v>658.6</v>
      </c>
      <c r="G17" s="5" t="s">
        <v>61</v>
      </c>
      <c r="H17" s="37">
        <f ca="1" t="array" ref="H17">INDEX(成本核算表!J:J,MATCH(1,(成本核算表!D:D=E17)*(成本核算表!C:C=G17),0))</f>
        <v>25</v>
      </c>
      <c r="I17" s="37">
        <v>97</v>
      </c>
      <c r="J17" s="37">
        <f ca="1" t="shared" si="1"/>
        <v>2425</v>
      </c>
      <c r="K17" s="37"/>
      <c r="L17" s="37"/>
      <c r="M17" s="37"/>
      <c r="N17" s="37">
        <f ca="1" t="shared" si="0"/>
        <v>2425</v>
      </c>
      <c r="O17" s="37">
        <f ca="1" t="shared" si="2"/>
        <v>0.673611111111111</v>
      </c>
      <c r="P17" s="37"/>
    </row>
    <row r="18" s="30" customFormat="1" ht="20" customHeight="1" spans="1:16">
      <c r="A18" s="36">
        <v>46092</v>
      </c>
      <c r="B18" s="37"/>
      <c r="C18" s="37"/>
      <c r="D18" s="5" t="s">
        <v>77</v>
      </c>
      <c r="E18" s="5" t="s">
        <v>78</v>
      </c>
      <c r="F18" s="37">
        <v>1960</v>
      </c>
      <c r="G18" s="5" t="s">
        <v>81</v>
      </c>
      <c r="H18" s="37">
        <f ca="1" t="array" ref="H18">INDEX(成本核算表!J:J,MATCH(1,(成本核算表!D:D=E18)*(成本核算表!C:C=G18),0))</f>
        <v>25</v>
      </c>
      <c r="I18" s="37">
        <v>65</v>
      </c>
      <c r="J18" s="37">
        <f ca="1" t="shared" si="1"/>
        <v>1625</v>
      </c>
      <c r="K18" s="37">
        <v>2</v>
      </c>
      <c r="L18" s="37"/>
      <c r="M18" s="37">
        <f ca="1">K18*H18</f>
        <v>50</v>
      </c>
      <c r="N18" s="37">
        <f ca="1" t="shared" si="0"/>
        <v>1575</v>
      </c>
      <c r="O18" s="37">
        <f ca="1" t="shared" si="2"/>
        <v>0.4375</v>
      </c>
      <c r="P18" s="37"/>
    </row>
    <row r="19" s="30" customFormat="1" ht="20" customHeight="1" spans="1:16">
      <c r="A19" s="36">
        <v>46092</v>
      </c>
      <c r="B19" s="37"/>
      <c r="C19" s="37"/>
      <c r="D19" s="5" t="s">
        <v>80</v>
      </c>
      <c r="E19" s="5" t="s">
        <v>78</v>
      </c>
      <c r="F19" s="37">
        <v>1960</v>
      </c>
      <c r="G19" s="5" t="s">
        <v>81</v>
      </c>
      <c r="H19" s="37">
        <f ca="1" t="array" ref="H19">INDEX(成本核算表!J:J,MATCH(1,(成本核算表!D:D=E19)*(成本核算表!C:C=G19),0))</f>
        <v>25</v>
      </c>
      <c r="I19" s="37">
        <v>277</v>
      </c>
      <c r="J19" s="37">
        <f ca="1" t="shared" si="1"/>
        <v>6925</v>
      </c>
      <c r="K19" s="37"/>
      <c r="L19" s="37"/>
      <c r="M19" s="37"/>
      <c r="N19" s="37">
        <f ca="1" t="shared" si="0"/>
        <v>6925</v>
      </c>
      <c r="O19" s="37">
        <f ca="1" t="shared" si="2"/>
        <v>1.92361111111111</v>
      </c>
      <c r="P19" s="37"/>
    </row>
    <row r="20" s="30" customFormat="1" ht="20" customHeight="1" spans="1:16">
      <c r="A20" s="36">
        <v>46092</v>
      </c>
      <c r="B20" s="37"/>
      <c r="C20" s="37"/>
      <c r="D20" s="5" t="s">
        <v>83</v>
      </c>
      <c r="E20" s="5" t="s">
        <v>78</v>
      </c>
      <c r="F20" s="37">
        <v>780</v>
      </c>
      <c r="G20" s="5" t="s">
        <v>81</v>
      </c>
      <c r="H20" s="37">
        <f ca="1" t="array" ref="H20">INDEX(成本核算表!J:J,MATCH(1,(成本核算表!D:D=E20)*(成本核算表!C:C=G20),0))</f>
        <v>25</v>
      </c>
      <c r="I20" s="37">
        <v>664</v>
      </c>
      <c r="J20" s="37">
        <f ca="1" t="shared" si="1"/>
        <v>16600</v>
      </c>
      <c r="K20" s="37"/>
      <c r="L20" s="37"/>
      <c r="M20" s="37"/>
      <c r="N20" s="37">
        <f ca="1" t="shared" si="0"/>
        <v>16600</v>
      </c>
      <c r="O20" s="37">
        <f ca="1" t="shared" si="2"/>
        <v>4.61111111111111</v>
      </c>
      <c r="P20" s="37"/>
    </row>
    <row r="21" s="30" customFormat="1" ht="20" customHeight="1" spans="1:16">
      <c r="A21" s="36">
        <v>46093</v>
      </c>
      <c r="B21" s="37">
        <v>11</v>
      </c>
      <c r="C21" s="38">
        <f ca="1">SUM(O21:O26)/B21</f>
        <v>1.07954545454545</v>
      </c>
      <c r="D21" s="5" t="s">
        <v>84</v>
      </c>
      <c r="E21" s="5" t="s">
        <v>78</v>
      </c>
      <c r="F21" s="37">
        <v>780</v>
      </c>
      <c r="G21" s="5" t="s">
        <v>81</v>
      </c>
      <c r="H21" s="37">
        <f ca="1" t="array" ref="H21">INDEX(成本核算表!J:J,MATCH(1,(成本核算表!D:D=E21)*(成本核算表!C:C=G21),0))</f>
        <v>25</v>
      </c>
      <c r="I21" s="37">
        <v>652</v>
      </c>
      <c r="J21" s="37">
        <f ca="1" t="shared" si="1"/>
        <v>16300</v>
      </c>
      <c r="K21" s="37"/>
      <c r="L21" s="37"/>
      <c r="M21" s="37"/>
      <c r="N21" s="37">
        <f ca="1" t="shared" si="0"/>
        <v>16300</v>
      </c>
      <c r="O21" s="37">
        <f ca="1" t="shared" si="2"/>
        <v>4.52777777777778</v>
      </c>
      <c r="P21" s="37"/>
    </row>
    <row r="22" s="30" customFormat="1" ht="20" customHeight="1" spans="1:16">
      <c r="A22" s="36">
        <v>46093</v>
      </c>
      <c r="B22" s="37"/>
      <c r="C22" s="37"/>
      <c r="D22" s="5" t="s">
        <v>83</v>
      </c>
      <c r="E22" s="5" t="s">
        <v>78</v>
      </c>
      <c r="F22" s="37">
        <v>780</v>
      </c>
      <c r="G22" s="5" t="s">
        <v>81</v>
      </c>
      <c r="H22" s="37">
        <f ca="1" t="array" ref="H22">INDEX(成本核算表!J:J,MATCH(1,(成本核算表!D:D=E22)*(成本核算表!C:C=G22),0))</f>
        <v>25</v>
      </c>
      <c r="I22" s="37">
        <v>196</v>
      </c>
      <c r="J22" s="37">
        <f ca="1" t="shared" si="1"/>
        <v>4900</v>
      </c>
      <c r="K22" s="37"/>
      <c r="L22" s="37"/>
      <c r="M22" s="37"/>
      <c r="N22" s="37">
        <f ca="1" t="shared" si="0"/>
        <v>4900</v>
      </c>
      <c r="O22" s="37">
        <f ca="1" t="shared" si="2"/>
        <v>1.36111111111111</v>
      </c>
      <c r="P22" s="37"/>
    </row>
    <row r="23" s="30" customFormat="1" ht="20" customHeight="1" spans="1:16">
      <c r="A23" s="36">
        <v>46093</v>
      </c>
      <c r="B23" s="37"/>
      <c r="C23" s="37"/>
      <c r="D23" s="5" t="s">
        <v>77</v>
      </c>
      <c r="E23" s="5" t="s">
        <v>78</v>
      </c>
      <c r="F23" s="37">
        <v>1960</v>
      </c>
      <c r="G23" s="5" t="s">
        <v>81</v>
      </c>
      <c r="H23" s="37">
        <f ca="1" t="array" ref="H23">INDEX(成本核算表!J:J,MATCH(1,(成本核算表!D:D=E23)*(成本核算表!C:C=G23),0))</f>
        <v>25</v>
      </c>
      <c r="I23" s="37">
        <v>222</v>
      </c>
      <c r="J23" s="37">
        <f ca="1" t="shared" si="1"/>
        <v>5550</v>
      </c>
      <c r="K23" s="37"/>
      <c r="L23" s="37"/>
      <c r="M23" s="37"/>
      <c r="N23" s="37">
        <f ca="1" t="shared" si="0"/>
        <v>5550</v>
      </c>
      <c r="O23" s="37">
        <f ca="1" t="shared" si="2"/>
        <v>1.54166666666667</v>
      </c>
      <c r="P23" s="37"/>
    </row>
    <row r="24" s="30" customFormat="1" ht="20" customHeight="1" spans="1:16">
      <c r="A24" s="36">
        <v>46093</v>
      </c>
      <c r="B24" s="37"/>
      <c r="C24" s="37"/>
      <c r="D24" s="5" t="s">
        <v>80</v>
      </c>
      <c r="E24" s="5" t="s">
        <v>78</v>
      </c>
      <c r="F24" s="37">
        <v>1960</v>
      </c>
      <c r="G24" s="5" t="s">
        <v>81</v>
      </c>
      <c r="H24" s="37">
        <f ca="1" t="array" ref="H24">INDEX(成本核算表!J:J,MATCH(1,(成本核算表!D:D=E24)*(成本核算表!C:C=G24),0))</f>
        <v>25</v>
      </c>
      <c r="I24" s="37">
        <v>343</v>
      </c>
      <c r="J24" s="37">
        <f ca="1" t="shared" si="1"/>
        <v>8575</v>
      </c>
      <c r="K24" s="37"/>
      <c r="L24" s="37"/>
      <c r="M24" s="37"/>
      <c r="N24" s="37">
        <f ca="1" t="shared" si="0"/>
        <v>8575</v>
      </c>
      <c r="O24" s="37">
        <f ca="1" t="shared" si="2"/>
        <v>2.38194444444444</v>
      </c>
      <c r="P24" s="37"/>
    </row>
    <row r="25" s="30" customFormat="1" ht="20" customHeight="1" spans="1:16">
      <c r="A25" s="36">
        <v>46093</v>
      </c>
      <c r="B25" s="37"/>
      <c r="C25" s="37"/>
      <c r="D25" s="5" t="s">
        <v>77</v>
      </c>
      <c r="E25" s="5" t="s">
        <v>78</v>
      </c>
      <c r="F25" s="37">
        <v>1960</v>
      </c>
      <c r="G25" s="39" t="s">
        <v>82</v>
      </c>
      <c r="H25" s="37">
        <f ca="1" t="array" ref="H25">INDEX(成本核算表!J:J,MATCH(1,(成本核算表!D:D=E25)*(成本核算表!C:C=G25),0))</f>
        <v>15</v>
      </c>
      <c r="I25" s="37">
        <v>169</v>
      </c>
      <c r="J25" s="37">
        <f ca="1" t="shared" si="1"/>
        <v>2535</v>
      </c>
      <c r="K25" s="37"/>
      <c r="L25" s="37"/>
      <c r="M25" s="37"/>
      <c r="N25" s="37">
        <f ca="1" t="shared" si="0"/>
        <v>2535</v>
      </c>
      <c r="O25" s="37">
        <f ca="1" t="shared" si="2"/>
        <v>0.704166666666667</v>
      </c>
      <c r="P25" s="37"/>
    </row>
    <row r="26" s="30" customFormat="1" ht="20" customHeight="1" spans="1:16">
      <c r="A26" s="36">
        <v>46093</v>
      </c>
      <c r="B26" s="37"/>
      <c r="C26" s="37"/>
      <c r="D26" s="5" t="s">
        <v>80</v>
      </c>
      <c r="E26" s="5" t="s">
        <v>78</v>
      </c>
      <c r="F26" s="37">
        <v>1960</v>
      </c>
      <c r="G26" s="39" t="s">
        <v>82</v>
      </c>
      <c r="H26" s="37">
        <f ca="1" t="array" ref="H26">INDEX(成本核算表!J:J,MATCH(1,(成本核算表!D:D=E26)*(成本核算表!C:C=G26),0))</f>
        <v>15</v>
      </c>
      <c r="I26" s="37">
        <v>326</v>
      </c>
      <c r="J26" s="37">
        <f ca="1" t="shared" si="1"/>
        <v>4890</v>
      </c>
      <c r="K26" s="37"/>
      <c r="L26" s="37"/>
      <c r="M26" s="37"/>
      <c r="N26" s="37">
        <f ca="1" t="shared" si="0"/>
        <v>4890</v>
      </c>
      <c r="O26" s="37">
        <f ca="1" t="shared" si="2"/>
        <v>1.35833333333333</v>
      </c>
      <c r="P26" s="37"/>
    </row>
    <row r="27" s="30" customFormat="1" ht="20" customHeight="1" spans="1:16">
      <c r="A27" s="36">
        <v>46094</v>
      </c>
      <c r="B27" s="37">
        <v>11</v>
      </c>
      <c r="C27" s="38">
        <f ca="1">SUM(O27:O29)/B27</f>
        <v>1.0385101010101</v>
      </c>
      <c r="D27" s="5" t="s">
        <v>20</v>
      </c>
      <c r="E27" s="39" t="s">
        <v>18</v>
      </c>
      <c r="F27" s="37">
        <v>1942</v>
      </c>
      <c r="G27" s="5" t="s">
        <v>97</v>
      </c>
      <c r="H27" s="37">
        <f ca="1" t="array" ref="H27">INDEX(成本核算表!J:J,MATCH(1,(成本核算表!D:D=E27)*(成本核算表!C:C=G27),0))</f>
        <v>25</v>
      </c>
      <c r="I27" s="37">
        <v>434</v>
      </c>
      <c r="J27" s="37">
        <f ca="1" t="shared" si="1"/>
        <v>10850</v>
      </c>
      <c r="K27" s="37"/>
      <c r="L27" s="37"/>
      <c r="M27" s="37"/>
      <c r="N27" s="37">
        <f ca="1" t="shared" si="0"/>
        <v>10850</v>
      </c>
      <c r="O27" s="37">
        <f ca="1" t="shared" si="2"/>
        <v>3.01388888888889</v>
      </c>
      <c r="P27" s="37"/>
    </row>
    <row r="28" s="30" customFormat="1" ht="20" customHeight="1" spans="1:16">
      <c r="A28" s="36">
        <v>46094</v>
      </c>
      <c r="B28" s="37"/>
      <c r="C28" s="37"/>
      <c r="D28" s="5" t="s">
        <v>77</v>
      </c>
      <c r="E28" s="5" t="s">
        <v>78</v>
      </c>
      <c r="F28" s="37">
        <v>1960</v>
      </c>
      <c r="G28" s="5" t="s">
        <v>81</v>
      </c>
      <c r="H28" s="37">
        <f ca="1" t="array" ref="H28">INDEX(成本核算表!J:J,MATCH(1,(成本核算表!D:D=E28)*(成本核算表!C:C=G28),0))</f>
        <v>25</v>
      </c>
      <c r="I28" s="37">
        <v>718</v>
      </c>
      <c r="J28" s="37">
        <f ca="1" t="shared" si="1"/>
        <v>17950</v>
      </c>
      <c r="K28" s="37"/>
      <c r="L28" s="37"/>
      <c r="M28" s="37"/>
      <c r="N28" s="37">
        <f ca="1" t="shared" si="0"/>
        <v>17950</v>
      </c>
      <c r="O28" s="37">
        <f ca="1" t="shared" si="2"/>
        <v>4.98611111111111</v>
      </c>
      <c r="P28" s="37"/>
    </row>
    <row r="29" s="30" customFormat="1" ht="20" customHeight="1" spans="1:16">
      <c r="A29" s="36">
        <v>46094</v>
      </c>
      <c r="B29" s="37"/>
      <c r="C29" s="37"/>
      <c r="D29" s="5" t="s">
        <v>80</v>
      </c>
      <c r="E29" s="5" t="s">
        <v>78</v>
      </c>
      <c r="F29" s="37">
        <v>1960</v>
      </c>
      <c r="G29" s="5" t="s">
        <v>81</v>
      </c>
      <c r="H29" s="37">
        <f ca="1" t="array" ref="H29">INDEX(成本核算表!J:J,MATCH(1,(成本核算表!D:D=E29)*(成本核算表!C:C=G29),0))</f>
        <v>25</v>
      </c>
      <c r="I29" s="37">
        <v>493</v>
      </c>
      <c r="J29" s="37">
        <f ca="1" t="shared" si="1"/>
        <v>12325</v>
      </c>
      <c r="K29" s="37"/>
      <c r="L29" s="37"/>
      <c r="M29" s="37"/>
      <c r="N29" s="37">
        <f ca="1" t="shared" si="0"/>
        <v>12325</v>
      </c>
      <c r="O29" s="37">
        <f ca="1" t="shared" si="2"/>
        <v>3.42361111111111</v>
      </c>
      <c r="P29" s="37"/>
    </row>
    <row r="30" s="30" customFormat="1" ht="20" customHeight="1" spans="1:16">
      <c r="A30" s="36">
        <v>46095</v>
      </c>
      <c r="B30" s="37">
        <v>11</v>
      </c>
      <c r="C30" s="38">
        <f ca="1">SUM(O30:O36)/B30</f>
        <v>1.01338383838384</v>
      </c>
      <c r="D30" s="5" t="s">
        <v>17</v>
      </c>
      <c r="E30" s="39" t="s">
        <v>18</v>
      </c>
      <c r="F30" s="37">
        <v>1942</v>
      </c>
      <c r="G30" s="5" t="s">
        <v>97</v>
      </c>
      <c r="H30" s="37">
        <f ca="1" t="array" ref="H30">INDEX(成本核算表!J:J,MATCH(1,(成本核算表!D:D=E30)*(成本核算表!C:C=G30),0))</f>
        <v>25</v>
      </c>
      <c r="I30" s="37">
        <v>346</v>
      </c>
      <c r="J30" s="37">
        <f ca="1" t="shared" si="1"/>
        <v>8650</v>
      </c>
      <c r="K30" s="37"/>
      <c r="L30" s="37"/>
      <c r="M30" s="37"/>
      <c r="N30" s="37">
        <f ca="1" t="shared" si="0"/>
        <v>8650</v>
      </c>
      <c r="O30" s="37">
        <f ca="1" t="shared" si="2"/>
        <v>2.40277777777778</v>
      </c>
      <c r="P30" s="37"/>
    </row>
    <row r="31" s="30" customFormat="1" ht="20" customHeight="1" spans="1:16">
      <c r="A31" s="36">
        <v>46095</v>
      </c>
      <c r="B31" s="37"/>
      <c r="C31" s="37"/>
      <c r="D31" s="5" t="s">
        <v>84</v>
      </c>
      <c r="E31" s="5" t="s">
        <v>78</v>
      </c>
      <c r="F31" s="37">
        <v>780</v>
      </c>
      <c r="G31" s="5" t="s">
        <v>81</v>
      </c>
      <c r="H31" s="37">
        <f ca="1" t="array" ref="H31">INDEX(成本核算表!J:J,MATCH(1,(成本核算表!D:D=E31)*(成本核算表!C:C=G31),0))</f>
        <v>25</v>
      </c>
      <c r="I31" s="37">
        <v>274</v>
      </c>
      <c r="J31" s="37">
        <f ca="1" t="shared" si="1"/>
        <v>6850</v>
      </c>
      <c r="K31" s="37"/>
      <c r="L31" s="37"/>
      <c r="M31" s="37"/>
      <c r="N31" s="37">
        <f ca="1" t="shared" si="0"/>
        <v>6850</v>
      </c>
      <c r="O31" s="37">
        <f ca="1" t="shared" si="2"/>
        <v>1.90277777777778</v>
      </c>
      <c r="P31" s="37"/>
    </row>
    <row r="32" s="30" customFormat="1" ht="20" customHeight="1" spans="1:16">
      <c r="A32" s="36">
        <v>46095</v>
      </c>
      <c r="B32" s="37"/>
      <c r="C32" s="37"/>
      <c r="D32" s="5" t="s">
        <v>83</v>
      </c>
      <c r="E32" s="5" t="s">
        <v>78</v>
      </c>
      <c r="F32" s="37">
        <v>780</v>
      </c>
      <c r="G32" s="5" t="s">
        <v>81</v>
      </c>
      <c r="H32" s="37">
        <f ca="1" t="array" ref="H32">INDEX(成本核算表!J:J,MATCH(1,(成本核算表!D:D=E32)*(成本核算表!C:C=G32),0))</f>
        <v>25</v>
      </c>
      <c r="I32" s="37">
        <v>274</v>
      </c>
      <c r="J32" s="37">
        <f ca="1" t="shared" si="1"/>
        <v>6850</v>
      </c>
      <c r="K32" s="37"/>
      <c r="L32" s="37"/>
      <c r="M32" s="37"/>
      <c r="N32" s="37">
        <f ca="1" t="shared" si="0"/>
        <v>6850</v>
      </c>
      <c r="O32" s="37">
        <f ca="1" t="shared" si="2"/>
        <v>1.90277777777778</v>
      </c>
      <c r="P32" s="37"/>
    </row>
    <row r="33" s="30" customFormat="1" ht="20" customHeight="1" spans="1:16">
      <c r="A33" s="36">
        <v>46095</v>
      </c>
      <c r="B33" s="37"/>
      <c r="C33" s="37"/>
      <c r="D33" s="5" t="s">
        <v>77</v>
      </c>
      <c r="E33" s="5" t="s">
        <v>78</v>
      </c>
      <c r="F33" s="37">
        <v>1960</v>
      </c>
      <c r="G33" s="5" t="s">
        <v>81</v>
      </c>
      <c r="H33" s="37">
        <f ca="1" t="array" ref="H33">INDEX(成本核算表!J:J,MATCH(1,(成本核算表!D:D=E33)*(成本核算表!C:C=G33),0))</f>
        <v>25</v>
      </c>
      <c r="I33" s="37">
        <v>221</v>
      </c>
      <c r="J33" s="37">
        <f ca="1" t="shared" si="1"/>
        <v>5525</v>
      </c>
      <c r="K33" s="37"/>
      <c r="L33" s="37"/>
      <c r="M33" s="37"/>
      <c r="N33" s="37">
        <f ca="1" t="shared" si="0"/>
        <v>5525</v>
      </c>
      <c r="O33" s="37">
        <f ca="1" t="shared" si="2"/>
        <v>1.53472222222222</v>
      </c>
      <c r="P33" s="37"/>
    </row>
    <row r="34" s="30" customFormat="1" ht="20" customHeight="1" spans="1:16">
      <c r="A34" s="36">
        <v>46095</v>
      </c>
      <c r="B34" s="37"/>
      <c r="C34" s="37"/>
      <c r="D34" s="5" t="s">
        <v>80</v>
      </c>
      <c r="E34" s="5" t="s">
        <v>78</v>
      </c>
      <c r="F34" s="37">
        <v>1960</v>
      </c>
      <c r="G34" s="5" t="s">
        <v>81</v>
      </c>
      <c r="H34" s="37">
        <f ca="1" t="array" ref="H34">INDEX(成本核算表!J:J,MATCH(1,(成本核算表!D:D=E34)*(成本核算表!C:C=G34),0))</f>
        <v>25</v>
      </c>
      <c r="I34" s="37">
        <v>312</v>
      </c>
      <c r="J34" s="37">
        <f ca="1" t="shared" si="1"/>
        <v>7800</v>
      </c>
      <c r="K34" s="37"/>
      <c r="L34" s="37"/>
      <c r="M34" s="37"/>
      <c r="N34" s="37">
        <f ca="1" t="shared" si="0"/>
        <v>7800</v>
      </c>
      <c r="O34" s="37">
        <f ca="1" t="shared" si="2"/>
        <v>2.16666666666667</v>
      </c>
      <c r="P34" s="37"/>
    </row>
    <row r="35" s="30" customFormat="1" ht="20" customHeight="1" spans="1:16">
      <c r="A35" s="36">
        <v>46095</v>
      </c>
      <c r="B35" s="37"/>
      <c r="C35" s="37"/>
      <c r="D35" s="5" t="s">
        <v>77</v>
      </c>
      <c r="E35" s="5" t="s">
        <v>78</v>
      </c>
      <c r="F35" s="37">
        <v>1960</v>
      </c>
      <c r="G35" s="5" t="s">
        <v>79</v>
      </c>
      <c r="H35" s="37">
        <f ca="1" t="array" ref="H35">INDEX(成本核算表!J:J,MATCH(1,(成本核算表!D:D=E35)*(成本核算表!C:C=G35),0))</f>
        <v>15</v>
      </c>
      <c r="I35" s="37">
        <v>100</v>
      </c>
      <c r="J35" s="37">
        <f ca="1" t="shared" si="1"/>
        <v>1500</v>
      </c>
      <c r="K35" s="37"/>
      <c r="L35" s="37"/>
      <c r="M35" s="37"/>
      <c r="N35" s="37">
        <f ca="1" t="shared" si="0"/>
        <v>1500</v>
      </c>
      <c r="O35" s="37">
        <f ca="1" t="shared" si="2"/>
        <v>0.416666666666667</v>
      </c>
      <c r="P35" s="37"/>
    </row>
    <row r="36" s="30" customFormat="1" ht="20" customHeight="1" spans="1:16">
      <c r="A36" s="36">
        <v>46095</v>
      </c>
      <c r="B36" s="37"/>
      <c r="C36" s="37"/>
      <c r="D36" s="5" t="s">
        <v>80</v>
      </c>
      <c r="E36" s="5" t="s">
        <v>78</v>
      </c>
      <c r="F36" s="37">
        <v>1960</v>
      </c>
      <c r="G36" s="5" t="s">
        <v>79</v>
      </c>
      <c r="H36" s="37">
        <f ca="1" t="array" ref="H36">INDEX(成本核算表!J:J,MATCH(1,(成本核算表!D:D=E36)*(成本核算表!C:C=G36),0))</f>
        <v>15</v>
      </c>
      <c r="I36" s="37">
        <v>199</v>
      </c>
      <c r="J36" s="37">
        <f ca="1" t="shared" si="1"/>
        <v>2985</v>
      </c>
      <c r="K36" s="37">
        <v>2</v>
      </c>
      <c r="L36" s="37"/>
      <c r="M36" s="37">
        <f ca="1">K36*H36</f>
        <v>30</v>
      </c>
      <c r="N36" s="37">
        <f ca="1" t="shared" si="0"/>
        <v>2955</v>
      </c>
      <c r="O36" s="37">
        <f ca="1" t="shared" si="2"/>
        <v>0.820833333333333</v>
      </c>
      <c r="P36" s="37"/>
    </row>
    <row r="37" s="30" customFormat="1" ht="20" customHeight="1" spans="1:16">
      <c r="A37" s="36">
        <v>46096</v>
      </c>
      <c r="B37" s="37">
        <v>9.5</v>
      </c>
      <c r="C37" s="38">
        <f ca="1" t="shared" ref="C37:C41" si="3">SUM(O37:O38)/B37</f>
        <v>1.09576023391813</v>
      </c>
      <c r="D37" s="5" t="s">
        <v>158</v>
      </c>
      <c r="E37" s="5" t="s">
        <v>159</v>
      </c>
      <c r="F37" s="37">
        <v>1784.3</v>
      </c>
      <c r="G37" s="5" t="s">
        <v>70</v>
      </c>
      <c r="H37" s="37">
        <f ca="1" t="array" ref="H37">INDEX(成本核算表!J:J,MATCH(1,(成本核算表!D:D=E37)*(成本核算表!C:C=G37),0))</f>
        <v>25</v>
      </c>
      <c r="I37" s="37">
        <v>454</v>
      </c>
      <c r="J37" s="37">
        <f ca="1" t="shared" si="1"/>
        <v>11350</v>
      </c>
      <c r="K37" s="37"/>
      <c r="L37" s="37"/>
      <c r="M37" s="37">
        <f ca="1">K37*H37</f>
        <v>0</v>
      </c>
      <c r="N37" s="37">
        <f ca="1" t="shared" si="0"/>
        <v>11350</v>
      </c>
      <c r="O37" s="37">
        <f ca="1" t="shared" si="2"/>
        <v>3.15277777777778</v>
      </c>
      <c r="P37" s="37"/>
    </row>
    <row r="38" s="30" customFormat="1" ht="20" customHeight="1" spans="1:16">
      <c r="A38" s="36">
        <v>46096</v>
      </c>
      <c r="B38" s="37"/>
      <c r="C38" s="37"/>
      <c r="D38" s="5" t="s">
        <v>158</v>
      </c>
      <c r="E38" s="5" t="s">
        <v>159</v>
      </c>
      <c r="F38" s="37">
        <v>1784.3</v>
      </c>
      <c r="G38" s="5" t="s">
        <v>160</v>
      </c>
      <c r="H38" s="37">
        <f ca="1" t="array" ref="H38">INDEX(成本核算表!J:J,MATCH(1,(成本核算表!D:D=E38)*(成本核算表!C:C=G38),0))</f>
        <v>25</v>
      </c>
      <c r="I38" s="37">
        <v>1045</v>
      </c>
      <c r="J38" s="37">
        <f ca="1" t="shared" si="1"/>
        <v>26125</v>
      </c>
      <c r="K38" s="37"/>
      <c r="L38" s="37"/>
      <c r="M38" s="37"/>
      <c r="N38" s="37">
        <f ca="1" t="shared" si="0"/>
        <v>26125</v>
      </c>
      <c r="O38" s="37">
        <f ca="1" t="shared" si="2"/>
        <v>7.25694444444444</v>
      </c>
      <c r="P38" s="37"/>
    </row>
    <row r="39" s="30" customFormat="1" ht="20" customHeight="1" spans="1:16">
      <c r="A39" s="36">
        <v>46097</v>
      </c>
      <c r="B39" s="37">
        <v>11</v>
      </c>
      <c r="C39" s="38">
        <f ca="1" t="shared" si="3"/>
        <v>1.17909090909091</v>
      </c>
      <c r="D39" s="5" t="s">
        <v>120</v>
      </c>
      <c r="E39" s="5" t="s">
        <v>96</v>
      </c>
      <c r="F39" s="37">
        <v>2200</v>
      </c>
      <c r="G39" s="5" t="s">
        <v>161</v>
      </c>
      <c r="H39" s="37">
        <f ca="1" t="array" ref="H39">INDEX(成本核算表!J:J,MATCH(1,(成本核算表!D:D=E39)*(成本核算表!C:C=G39),0))</f>
        <v>18</v>
      </c>
      <c r="I39" s="37">
        <v>1230</v>
      </c>
      <c r="J39" s="37">
        <f ca="1" t="shared" si="1"/>
        <v>22140</v>
      </c>
      <c r="K39" s="37"/>
      <c r="L39" s="37"/>
      <c r="M39" s="37"/>
      <c r="N39" s="37">
        <f ca="1" t="shared" si="0"/>
        <v>22140</v>
      </c>
      <c r="O39" s="37">
        <f ca="1" t="shared" si="2"/>
        <v>6.15</v>
      </c>
      <c r="P39" s="37"/>
    </row>
    <row r="40" s="30" customFormat="1" ht="20" customHeight="1" spans="1:16">
      <c r="A40" s="36">
        <v>46097</v>
      </c>
      <c r="B40" s="37"/>
      <c r="C40" s="37"/>
      <c r="D40" s="5" t="s">
        <v>122</v>
      </c>
      <c r="E40" s="5" t="s">
        <v>96</v>
      </c>
      <c r="F40" s="37">
        <v>2200</v>
      </c>
      <c r="G40" s="5" t="s">
        <v>161</v>
      </c>
      <c r="H40" s="37">
        <f ca="1" t="array" ref="H40">INDEX(成本核算表!J:J,MATCH(1,(成本核算表!D:D=E40)*(成本核算表!C:C=G40),0))</f>
        <v>18</v>
      </c>
      <c r="I40" s="37">
        <v>1364</v>
      </c>
      <c r="J40" s="37">
        <f ca="1" t="shared" si="1"/>
        <v>24552</v>
      </c>
      <c r="K40" s="37"/>
      <c r="L40" s="37"/>
      <c r="M40" s="37"/>
      <c r="N40" s="37">
        <f ca="1" t="shared" si="0"/>
        <v>24552</v>
      </c>
      <c r="O40" s="37">
        <f ca="1" t="shared" si="2"/>
        <v>6.82</v>
      </c>
      <c r="P40" s="37"/>
    </row>
    <row r="41" s="30" customFormat="1" ht="20" customHeight="1" spans="1:16">
      <c r="A41" s="36">
        <v>46098</v>
      </c>
      <c r="B41" s="37">
        <v>11</v>
      </c>
      <c r="C41" s="38">
        <f ca="1">SUM(O41:O45)/B41</f>
        <v>1.25363636363636</v>
      </c>
      <c r="D41" s="5" t="s">
        <v>162</v>
      </c>
      <c r="E41" s="5" t="s">
        <v>163</v>
      </c>
      <c r="F41" s="37">
        <v>2400</v>
      </c>
      <c r="G41" s="5" t="s">
        <v>161</v>
      </c>
      <c r="H41" s="37">
        <f ca="1" t="array" ref="H41">INDEX(成本核算表!J:J,MATCH(1,(成本核算表!D:D=E41)*(成本核算表!C:C=G41),0))</f>
        <v>18</v>
      </c>
      <c r="I41" s="37">
        <v>124</v>
      </c>
      <c r="J41" s="37">
        <f ca="1" t="shared" si="1"/>
        <v>2232</v>
      </c>
      <c r="K41" s="37"/>
      <c r="L41" s="37"/>
      <c r="M41" s="37"/>
      <c r="N41" s="37">
        <f ca="1" t="shared" si="0"/>
        <v>2232</v>
      </c>
      <c r="O41" s="37">
        <f ca="1" t="shared" si="2"/>
        <v>0.62</v>
      </c>
      <c r="P41" s="37"/>
    </row>
    <row r="42" s="30" customFormat="1" ht="20" customHeight="1" spans="1:16">
      <c r="A42" s="36">
        <v>46098</v>
      </c>
      <c r="B42" s="37"/>
      <c r="C42" s="37"/>
      <c r="D42" s="5" t="s">
        <v>164</v>
      </c>
      <c r="E42" s="5" t="s">
        <v>163</v>
      </c>
      <c r="F42" s="37">
        <v>2400</v>
      </c>
      <c r="G42" s="5" t="s">
        <v>161</v>
      </c>
      <c r="H42" s="37">
        <f ca="1" t="array" ref="H42">INDEX(成本核算表!J:J,MATCH(1,(成本核算表!D:D=E42)*(成本核算表!C:C=G42),0))</f>
        <v>18</v>
      </c>
      <c r="I42" s="37">
        <v>129</v>
      </c>
      <c r="J42" s="37">
        <f ca="1" t="shared" si="1"/>
        <v>2322</v>
      </c>
      <c r="K42" s="37"/>
      <c r="L42" s="37"/>
      <c r="M42" s="37"/>
      <c r="N42" s="37">
        <f ca="1" t="shared" si="0"/>
        <v>2322</v>
      </c>
      <c r="O42" s="37">
        <f ca="1" t="shared" si="2"/>
        <v>0.645</v>
      </c>
      <c r="P42" s="37"/>
    </row>
    <row r="43" s="30" customFormat="1" ht="20" customHeight="1" spans="1:16">
      <c r="A43" s="36">
        <v>46098</v>
      </c>
      <c r="B43" s="37"/>
      <c r="C43" s="37"/>
      <c r="D43" s="5" t="s">
        <v>120</v>
      </c>
      <c r="E43" s="5" t="s">
        <v>96</v>
      </c>
      <c r="F43" s="37">
        <v>2200</v>
      </c>
      <c r="G43" s="5" t="s">
        <v>161</v>
      </c>
      <c r="H43" s="37">
        <f ca="1" t="array" ref="H43">INDEX(成本核算表!J:J,MATCH(1,(成本核算表!D:D=E43)*(成本核算表!C:C=G43),0))</f>
        <v>18</v>
      </c>
      <c r="I43" s="37">
        <v>800</v>
      </c>
      <c r="J43" s="37">
        <f ca="1" t="shared" ref="J43:J74" si="4">H43*I43</f>
        <v>14400</v>
      </c>
      <c r="K43" s="37"/>
      <c r="L43" s="37"/>
      <c r="M43" s="37"/>
      <c r="N43" s="37">
        <f ca="1" t="shared" si="0"/>
        <v>14400</v>
      </c>
      <c r="O43" s="37">
        <f ca="1" t="shared" ref="O43:O74" si="5">N43/3600</f>
        <v>4</v>
      </c>
      <c r="P43" s="37"/>
    </row>
    <row r="44" s="30" customFormat="1" ht="20" customHeight="1" spans="1:16">
      <c r="A44" s="36">
        <v>46098</v>
      </c>
      <c r="B44" s="37"/>
      <c r="C44" s="37"/>
      <c r="D44" s="5" t="s">
        <v>122</v>
      </c>
      <c r="E44" s="5" t="s">
        <v>96</v>
      </c>
      <c r="F44" s="37">
        <v>2200</v>
      </c>
      <c r="G44" s="5" t="s">
        <v>161</v>
      </c>
      <c r="H44" s="37">
        <f ca="1" t="array" ref="H44">INDEX(成本核算表!J:J,MATCH(1,(成本核算表!D:D=E44)*(成本核算表!C:C=G44),0))</f>
        <v>18</v>
      </c>
      <c r="I44" s="37">
        <v>610</v>
      </c>
      <c r="J44" s="37">
        <f ca="1" t="shared" si="4"/>
        <v>10980</v>
      </c>
      <c r="K44" s="37"/>
      <c r="L44" s="37"/>
      <c r="M44" s="37"/>
      <c r="N44" s="37">
        <f ca="1" t="shared" si="0"/>
        <v>10980</v>
      </c>
      <c r="O44" s="37">
        <f ca="1" t="shared" si="5"/>
        <v>3.05</v>
      </c>
      <c r="P44" s="37"/>
    </row>
    <row r="45" s="30" customFormat="1" ht="20" customHeight="1" spans="1:16">
      <c r="A45" s="36">
        <v>46098</v>
      </c>
      <c r="B45" s="37"/>
      <c r="C45" s="37"/>
      <c r="D45" s="5" t="s">
        <v>98</v>
      </c>
      <c r="E45" s="5" t="s">
        <v>96</v>
      </c>
      <c r="F45" s="37">
        <v>2200</v>
      </c>
      <c r="G45" s="5" t="s">
        <v>161</v>
      </c>
      <c r="H45" s="37">
        <f ca="1" t="array" ref="H45">INDEX(成本核算表!J:J,MATCH(1,(成本核算表!D:D=E45)*(成本核算表!C:C=G45),0))</f>
        <v>18</v>
      </c>
      <c r="I45" s="37">
        <v>1095</v>
      </c>
      <c r="J45" s="37">
        <f ca="1" t="shared" si="4"/>
        <v>19710</v>
      </c>
      <c r="K45" s="37"/>
      <c r="L45" s="37"/>
      <c r="M45" s="37"/>
      <c r="N45" s="37">
        <f ca="1" t="shared" si="0"/>
        <v>19710</v>
      </c>
      <c r="O45" s="37">
        <f ca="1" t="shared" si="5"/>
        <v>5.475</v>
      </c>
      <c r="P45" s="37"/>
    </row>
    <row r="46" s="30" customFormat="1" ht="20" customHeight="1" spans="1:16">
      <c r="A46" s="36">
        <v>46099</v>
      </c>
      <c r="B46" s="37">
        <v>11</v>
      </c>
      <c r="C46" s="38">
        <f ca="1" t="shared" ref="C46:C50" si="6">SUM(O46:O47)/B46</f>
        <v>1.17121212121212</v>
      </c>
      <c r="D46" s="5" t="s">
        <v>95</v>
      </c>
      <c r="E46" s="5" t="s">
        <v>96</v>
      </c>
      <c r="F46" s="37">
        <v>2200</v>
      </c>
      <c r="G46" s="5" t="s">
        <v>161</v>
      </c>
      <c r="H46" s="37">
        <f ca="1" t="array" ref="H46">INDEX(成本核算表!J:J,MATCH(1,(成本核算表!D:D=E46)*(成本核算表!C:C=G46),0))</f>
        <v>18</v>
      </c>
      <c r="I46" s="37">
        <v>1900</v>
      </c>
      <c r="J46" s="37">
        <f ca="1" t="shared" si="4"/>
        <v>34200</v>
      </c>
      <c r="K46" s="37"/>
      <c r="L46" s="37"/>
      <c r="M46" s="37"/>
      <c r="N46" s="37">
        <f ca="1" t="shared" si="0"/>
        <v>34200</v>
      </c>
      <c r="O46" s="37">
        <f ca="1" t="shared" si="5"/>
        <v>9.5</v>
      </c>
      <c r="P46" s="37"/>
    </row>
    <row r="47" s="30" customFormat="1" ht="20" customHeight="1" spans="1:16">
      <c r="A47" s="36">
        <v>46099</v>
      </c>
      <c r="B47" s="37"/>
      <c r="C47" s="37"/>
      <c r="D47" s="5" t="s">
        <v>95</v>
      </c>
      <c r="E47" s="5" t="s">
        <v>96</v>
      </c>
      <c r="F47" s="37">
        <v>2200</v>
      </c>
      <c r="G47" s="5" t="s">
        <v>97</v>
      </c>
      <c r="H47" s="37">
        <f ca="1" t="array" ref="H47">INDEX(成本核算表!J:J,MATCH(1,(成本核算表!D:D=E47)*(成本核算表!C:C=G47),0))</f>
        <v>10</v>
      </c>
      <c r="I47" s="37">
        <v>1218</v>
      </c>
      <c r="J47" s="37">
        <f ca="1" t="shared" si="4"/>
        <v>12180</v>
      </c>
      <c r="K47" s="37"/>
      <c r="L47" s="37"/>
      <c r="M47" s="37"/>
      <c r="N47" s="37">
        <f ca="1" t="shared" si="0"/>
        <v>12180</v>
      </c>
      <c r="O47" s="37">
        <f ca="1" t="shared" si="5"/>
        <v>3.38333333333333</v>
      </c>
      <c r="P47" s="37"/>
    </row>
    <row r="48" s="30" customFormat="1" ht="20" customHeight="1" spans="1:16">
      <c r="A48" s="36">
        <v>46100</v>
      </c>
      <c r="B48" s="37">
        <v>11</v>
      </c>
      <c r="C48" s="38">
        <f ca="1" t="shared" si="6"/>
        <v>1.11954545454545</v>
      </c>
      <c r="D48" s="5" t="s">
        <v>98</v>
      </c>
      <c r="E48" s="5" t="s">
        <v>96</v>
      </c>
      <c r="F48" s="37">
        <v>2200</v>
      </c>
      <c r="G48" s="5" t="s">
        <v>161</v>
      </c>
      <c r="H48" s="37">
        <f ca="1" t="array" ref="H48">INDEX(成本核算表!J:J,MATCH(1,(成本核算表!D:D=E48)*(成本核算表!C:C=G48),0))</f>
        <v>18</v>
      </c>
      <c r="I48" s="37">
        <v>1163</v>
      </c>
      <c r="J48" s="37">
        <f ca="1" t="shared" si="4"/>
        <v>20934</v>
      </c>
      <c r="K48" s="37"/>
      <c r="L48" s="37"/>
      <c r="M48" s="37"/>
      <c r="N48" s="37">
        <f ca="1" t="shared" si="0"/>
        <v>20934</v>
      </c>
      <c r="O48" s="37">
        <f ca="1" t="shared" si="5"/>
        <v>5.815</v>
      </c>
      <c r="P48" s="37"/>
    </row>
    <row r="49" s="30" customFormat="1" ht="20" customHeight="1" spans="1:15">
      <c r="A49" s="36">
        <v>46100</v>
      </c>
      <c r="B49" s="32"/>
      <c r="C49" s="32"/>
      <c r="D49" s="5" t="s">
        <v>95</v>
      </c>
      <c r="E49" s="5" t="s">
        <v>96</v>
      </c>
      <c r="F49" s="37">
        <v>2200</v>
      </c>
      <c r="G49" s="5" t="s">
        <v>161</v>
      </c>
      <c r="H49" s="37">
        <f ca="1" t="array" ref="H49">INDEX(成本核算表!J:J,MATCH(1,(成本核算表!D:D=E49)*(成本核算表!C:C=G49),0))</f>
        <v>18</v>
      </c>
      <c r="I49" s="37">
        <v>1300</v>
      </c>
      <c r="J49" s="37">
        <f ca="1" t="shared" si="4"/>
        <v>23400</v>
      </c>
      <c r="K49" s="32"/>
      <c r="M49" s="37"/>
      <c r="N49" s="37">
        <f ca="1" t="shared" si="0"/>
        <v>23400</v>
      </c>
      <c r="O49" s="37">
        <f ca="1" t="shared" si="5"/>
        <v>6.5</v>
      </c>
    </row>
    <row r="50" s="30" customFormat="1" ht="20" customHeight="1" spans="1:15">
      <c r="A50" s="36">
        <v>46101</v>
      </c>
      <c r="B50" s="32">
        <v>11</v>
      </c>
      <c r="C50" s="38">
        <f ca="1">SUM(O50:O53)/B50</f>
        <v>1.23808080808081</v>
      </c>
      <c r="D50" s="5" t="s">
        <v>98</v>
      </c>
      <c r="E50" s="5" t="s">
        <v>96</v>
      </c>
      <c r="F50" s="37">
        <v>2200</v>
      </c>
      <c r="G50" s="5" t="s">
        <v>161</v>
      </c>
      <c r="H50" s="37">
        <f ca="1" t="array" ref="H50">INDEX(成本核算表!J:J,MATCH(1,(成本核算表!D:D=E50)*(成本核算表!C:C=G50),0))</f>
        <v>18</v>
      </c>
      <c r="I50" s="37">
        <v>643</v>
      </c>
      <c r="J50" s="37">
        <f ca="1" t="shared" si="4"/>
        <v>11574</v>
      </c>
      <c r="K50" s="32"/>
      <c r="M50" s="37"/>
      <c r="N50" s="37">
        <f ca="1" t="shared" si="0"/>
        <v>11574</v>
      </c>
      <c r="O50" s="37">
        <f ca="1" t="shared" si="5"/>
        <v>3.215</v>
      </c>
    </row>
    <row r="51" s="30" customFormat="1" ht="20" customHeight="1" spans="1:15">
      <c r="A51" s="36">
        <v>46101</v>
      </c>
      <c r="B51" s="32"/>
      <c r="C51" s="32"/>
      <c r="D51" s="42" t="s">
        <v>100</v>
      </c>
      <c r="E51" s="5" t="s">
        <v>96</v>
      </c>
      <c r="F51" s="37">
        <v>2400</v>
      </c>
      <c r="G51" s="5" t="s">
        <v>161</v>
      </c>
      <c r="H51" s="37">
        <f ca="1" t="array" ref="H51">INDEX(成本核算表!J:J,MATCH(1,(成本核算表!D:D=E51)*(成本核算表!C:C=G51),0))</f>
        <v>18</v>
      </c>
      <c r="I51" s="37">
        <v>900</v>
      </c>
      <c r="J51" s="37">
        <f ca="1" t="shared" si="4"/>
        <v>16200</v>
      </c>
      <c r="K51" s="32"/>
      <c r="M51" s="37"/>
      <c r="N51" s="37">
        <f ca="1" t="shared" si="0"/>
        <v>16200</v>
      </c>
      <c r="O51" s="37">
        <f ca="1" t="shared" si="5"/>
        <v>4.5</v>
      </c>
    </row>
    <row r="52" s="30" customFormat="1" ht="20" customHeight="1" spans="1:15">
      <c r="A52" s="36">
        <v>46101</v>
      </c>
      <c r="B52" s="32"/>
      <c r="C52" s="32"/>
      <c r="D52" s="42" t="s">
        <v>99</v>
      </c>
      <c r="E52" s="5" t="s">
        <v>96</v>
      </c>
      <c r="F52" s="37">
        <v>2400</v>
      </c>
      <c r="G52" s="5" t="s">
        <v>161</v>
      </c>
      <c r="H52" s="37">
        <f ca="1" t="array" ref="H52">INDEX(成本核算表!J:J,MATCH(1,(成本核算表!D:D=E52)*(成本核算表!C:C=G52),0))</f>
        <v>18</v>
      </c>
      <c r="I52" s="37">
        <v>903</v>
      </c>
      <c r="J52" s="37">
        <f ca="1" t="shared" si="4"/>
        <v>16254</v>
      </c>
      <c r="K52" s="32"/>
      <c r="M52" s="37"/>
      <c r="N52" s="37">
        <f ca="1" t="shared" si="0"/>
        <v>16254</v>
      </c>
      <c r="O52" s="37">
        <f ca="1" t="shared" si="5"/>
        <v>4.515</v>
      </c>
    </row>
    <row r="53" s="30" customFormat="1" ht="20" customHeight="1" spans="1:15">
      <c r="A53" s="36">
        <v>46101</v>
      </c>
      <c r="B53" s="32"/>
      <c r="C53" s="32"/>
      <c r="D53" s="42" t="s">
        <v>165</v>
      </c>
      <c r="E53" s="42" t="s">
        <v>159</v>
      </c>
      <c r="F53" s="32">
        <v>1784.3</v>
      </c>
      <c r="G53" s="5" t="s">
        <v>160</v>
      </c>
      <c r="H53" s="37">
        <f ca="1" t="array" ref="H53">INDEX(成本核算表!J:J,MATCH(1,(成本核算表!D:D=E53)*(成本核算表!C:C=G53),0))</f>
        <v>25</v>
      </c>
      <c r="I53" s="37">
        <v>200</v>
      </c>
      <c r="J53" s="37">
        <f ca="1" t="shared" si="4"/>
        <v>5000</v>
      </c>
      <c r="K53" s="32"/>
      <c r="M53" s="37"/>
      <c r="N53" s="37">
        <f ca="1" t="shared" si="0"/>
        <v>5000</v>
      </c>
      <c r="O53" s="37">
        <f ca="1" t="shared" si="5"/>
        <v>1.38888888888889</v>
      </c>
    </row>
    <row r="54" s="30" customFormat="1" ht="20" customHeight="1" spans="1:15">
      <c r="A54" s="36"/>
      <c r="B54" s="32"/>
      <c r="C54" s="32"/>
      <c r="D54" s="32"/>
      <c r="E54" s="32"/>
      <c r="F54" s="32"/>
      <c r="G54" s="37"/>
      <c r="H54" s="37">
        <f ca="1" t="array" ref="H54">INDEX(成本核算表!J:J,MATCH(1,(成本核算表!D:D=E54)*(成本核算表!C:C=G54),0))</f>
        <v>0</v>
      </c>
      <c r="I54" s="37"/>
      <c r="J54" s="37">
        <f ca="1" t="shared" si="4"/>
        <v>0</v>
      </c>
      <c r="K54" s="32"/>
      <c r="M54" s="37"/>
      <c r="N54" s="37">
        <f ca="1" t="shared" si="0"/>
        <v>0</v>
      </c>
      <c r="O54" s="37">
        <f ca="1" t="shared" si="5"/>
        <v>0</v>
      </c>
    </row>
    <row r="55" s="30" customFormat="1" ht="20" customHeight="1" spans="1:15">
      <c r="A55" s="36"/>
      <c r="B55" s="32"/>
      <c r="C55" s="32"/>
      <c r="D55" s="32"/>
      <c r="E55" s="32"/>
      <c r="F55" s="32"/>
      <c r="G55" s="37"/>
      <c r="H55" s="37">
        <f ca="1" t="array" ref="H55">INDEX(成本核算表!J:J,MATCH(1,(成本核算表!D:D=E55)*(成本核算表!C:C=G55),0))</f>
        <v>0</v>
      </c>
      <c r="I55" s="37"/>
      <c r="J55" s="37">
        <f ca="1" t="shared" si="4"/>
        <v>0</v>
      </c>
      <c r="K55" s="32"/>
      <c r="M55" s="37"/>
      <c r="N55" s="37">
        <f ca="1" t="shared" si="0"/>
        <v>0</v>
      </c>
      <c r="O55" s="37">
        <f ca="1" t="shared" si="5"/>
        <v>0</v>
      </c>
    </row>
    <row r="56" s="30" customFormat="1" ht="20" customHeight="1" spans="1:15">
      <c r="A56" s="36"/>
      <c r="B56" s="32"/>
      <c r="C56" s="32"/>
      <c r="D56" s="32"/>
      <c r="E56" s="32"/>
      <c r="F56" s="32"/>
      <c r="G56" s="37"/>
      <c r="H56" s="37">
        <f ca="1" t="array" ref="H56">INDEX(成本核算表!J:J,MATCH(1,(成本核算表!D:D=E56)*(成本核算表!C:C=G56),0))</f>
        <v>0</v>
      </c>
      <c r="I56" s="37"/>
      <c r="J56" s="37">
        <f ca="1" t="shared" si="4"/>
        <v>0</v>
      </c>
      <c r="K56" s="32"/>
      <c r="M56" s="37"/>
      <c r="N56" s="37">
        <f ca="1" t="shared" si="0"/>
        <v>0</v>
      </c>
      <c r="O56" s="37">
        <f ca="1" t="shared" si="5"/>
        <v>0</v>
      </c>
    </row>
    <row r="57" s="30" customFormat="1" ht="20" customHeight="1" spans="1:15">
      <c r="A57" s="36"/>
      <c r="B57" s="32"/>
      <c r="C57" s="32"/>
      <c r="D57" s="32"/>
      <c r="E57" s="32"/>
      <c r="F57" s="32"/>
      <c r="G57" s="37"/>
      <c r="H57" s="37">
        <f ca="1" t="array" ref="H57">INDEX(成本核算表!J:J,MATCH(1,(成本核算表!D:D=E57)*(成本核算表!C:C=G57),0))</f>
        <v>0</v>
      </c>
      <c r="I57" s="37"/>
      <c r="J57" s="37">
        <f ca="1" t="shared" si="4"/>
        <v>0</v>
      </c>
      <c r="K57" s="32"/>
      <c r="M57" s="37"/>
      <c r="N57" s="37">
        <f ca="1" t="shared" si="0"/>
        <v>0</v>
      </c>
      <c r="O57" s="37">
        <f ca="1" t="shared" si="5"/>
        <v>0</v>
      </c>
    </row>
    <row r="58" s="30" customFormat="1" ht="20" customHeight="1" spans="1:15">
      <c r="A58" s="36"/>
      <c r="B58" s="32"/>
      <c r="C58" s="32"/>
      <c r="D58" s="32"/>
      <c r="E58" s="32"/>
      <c r="F58" s="32"/>
      <c r="G58" s="37"/>
      <c r="H58" s="37">
        <f ca="1" t="array" ref="H58">INDEX(成本核算表!J:J,MATCH(1,(成本核算表!D:D=E58)*(成本核算表!C:C=G58),0))</f>
        <v>0</v>
      </c>
      <c r="I58" s="37"/>
      <c r="J58" s="37">
        <f ca="1" t="shared" si="4"/>
        <v>0</v>
      </c>
      <c r="K58" s="32"/>
      <c r="M58" s="37"/>
      <c r="N58" s="37">
        <f ca="1" t="shared" si="0"/>
        <v>0</v>
      </c>
      <c r="O58" s="37">
        <f ca="1" t="shared" si="5"/>
        <v>0</v>
      </c>
    </row>
    <row r="59" s="30" customFormat="1" ht="20" customHeight="1" spans="1:15">
      <c r="A59" s="36"/>
      <c r="B59" s="32"/>
      <c r="C59" s="32"/>
      <c r="D59" s="32"/>
      <c r="E59" s="32"/>
      <c r="F59" s="32"/>
      <c r="G59" s="37"/>
      <c r="H59" s="37">
        <f ca="1" t="array" ref="H59">INDEX(成本核算表!J:J,MATCH(1,(成本核算表!D:D=E59)*(成本核算表!C:C=G59),0))</f>
        <v>0</v>
      </c>
      <c r="I59" s="37"/>
      <c r="J59" s="37">
        <f ca="1" t="shared" si="4"/>
        <v>0</v>
      </c>
      <c r="K59" s="32"/>
      <c r="M59" s="37"/>
      <c r="N59" s="37">
        <f ca="1" t="shared" si="0"/>
        <v>0</v>
      </c>
      <c r="O59" s="37">
        <f ca="1" t="shared" si="5"/>
        <v>0</v>
      </c>
    </row>
    <row r="60" s="30" customFormat="1" ht="20" customHeight="1" spans="1:15">
      <c r="A60" s="36"/>
      <c r="B60" s="32"/>
      <c r="C60" s="32"/>
      <c r="D60" s="32"/>
      <c r="E60" s="32"/>
      <c r="F60" s="32"/>
      <c r="G60" s="37"/>
      <c r="H60" s="37">
        <f ca="1" t="array" ref="H60">INDEX(成本核算表!J:J,MATCH(1,(成本核算表!D:D=E60)*(成本核算表!C:C=G60),0))</f>
        <v>0</v>
      </c>
      <c r="I60" s="37"/>
      <c r="J60" s="37">
        <f ca="1" t="shared" si="4"/>
        <v>0</v>
      </c>
      <c r="K60" s="32"/>
      <c r="M60" s="37"/>
      <c r="N60" s="37">
        <f ca="1" t="shared" si="0"/>
        <v>0</v>
      </c>
      <c r="O60" s="37">
        <f ca="1" t="shared" si="5"/>
        <v>0</v>
      </c>
    </row>
    <row r="61" s="30" customFormat="1" ht="20" customHeight="1" spans="1:15">
      <c r="A61" s="36"/>
      <c r="B61" s="32"/>
      <c r="C61" s="32"/>
      <c r="D61" s="32"/>
      <c r="E61" s="32"/>
      <c r="F61" s="32"/>
      <c r="G61" s="37"/>
      <c r="H61" s="37">
        <f ca="1" t="array" ref="H61">INDEX(成本核算表!J:J,MATCH(1,(成本核算表!D:D=E61)*(成本核算表!C:C=G61),0))</f>
        <v>0</v>
      </c>
      <c r="I61" s="37"/>
      <c r="J61" s="37">
        <f ca="1" t="shared" si="4"/>
        <v>0</v>
      </c>
      <c r="K61" s="32"/>
      <c r="M61" s="37"/>
      <c r="N61" s="37">
        <f ca="1" t="shared" si="0"/>
        <v>0</v>
      </c>
      <c r="O61" s="37">
        <f ca="1" t="shared" si="5"/>
        <v>0</v>
      </c>
    </row>
    <row r="62" s="30" customFormat="1" ht="20" customHeight="1" spans="1:15">
      <c r="A62" s="36"/>
      <c r="B62" s="32"/>
      <c r="C62" s="32"/>
      <c r="D62" s="32"/>
      <c r="E62" s="32"/>
      <c r="F62" s="32"/>
      <c r="G62" s="37"/>
      <c r="H62" s="37">
        <f ca="1" t="array" ref="H62">INDEX(成本核算表!J:J,MATCH(1,(成本核算表!D:D=E62)*(成本核算表!C:C=G62),0))</f>
        <v>0</v>
      </c>
      <c r="I62" s="37"/>
      <c r="J62" s="37">
        <f ca="1" t="shared" si="4"/>
        <v>0</v>
      </c>
      <c r="K62" s="32"/>
      <c r="M62" s="37"/>
      <c r="N62" s="37">
        <f ca="1" t="shared" si="0"/>
        <v>0</v>
      </c>
      <c r="O62" s="37">
        <f ca="1" t="shared" si="5"/>
        <v>0</v>
      </c>
    </row>
    <row r="63" s="30" customFormat="1" ht="20" customHeight="1" spans="1:15">
      <c r="A63" s="36"/>
      <c r="B63" s="32"/>
      <c r="C63" s="32"/>
      <c r="D63" s="32"/>
      <c r="E63" s="32"/>
      <c r="F63" s="32"/>
      <c r="G63" s="37"/>
      <c r="H63" s="37">
        <f ca="1" t="array" ref="H63">INDEX(成本核算表!J:J,MATCH(1,(成本核算表!D:D=E63)*(成本核算表!C:C=G63),0))</f>
        <v>0</v>
      </c>
      <c r="I63" s="37"/>
      <c r="J63" s="37">
        <f ca="1" t="shared" si="4"/>
        <v>0</v>
      </c>
      <c r="K63" s="32"/>
      <c r="M63" s="37"/>
      <c r="N63" s="37">
        <f ca="1" t="shared" si="0"/>
        <v>0</v>
      </c>
      <c r="O63" s="37">
        <f ca="1" t="shared" si="5"/>
        <v>0</v>
      </c>
    </row>
    <row r="64" s="30" customFormat="1" ht="20" customHeight="1" spans="1:15">
      <c r="A64" s="36"/>
      <c r="B64" s="32"/>
      <c r="C64" s="32"/>
      <c r="D64" s="32"/>
      <c r="E64" s="32"/>
      <c r="F64" s="32"/>
      <c r="G64" s="37"/>
      <c r="H64" s="37">
        <f ca="1" t="array" ref="H64">INDEX(成本核算表!J:J,MATCH(1,(成本核算表!D:D=E64)*(成本核算表!C:C=G64),0))</f>
        <v>0</v>
      </c>
      <c r="I64" s="37"/>
      <c r="J64" s="37">
        <f ca="1" t="shared" si="4"/>
        <v>0</v>
      </c>
      <c r="K64" s="32"/>
      <c r="M64" s="37"/>
      <c r="N64" s="37">
        <f ca="1" t="shared" si="0"/>
        <v>0</v>
      </c>
      <c r="O64" s="37">
        <f ca="1" t="shared" si="5"/>
        <v>0</v>
      </c>
    </row>
    <row r="65" s="30" customFormat="1" ht="20" customHeight="1" spans="1:15">
      <c r="A65" s="36"/>
      <c r="B65" s="32"/>
      <c r="C65" s="32"/>
      <c r="D65" s="32"/>
      <c r="E65" s="32"/>
      <c r="F65" s="32"/>
      <c r="G65" s="37"/>
      <c r="H65" s="37">
        <f ca="1" t="array" ref="H65">INDEX(成本核算表!J:J,MATCH(1,(成本核算表!D:D=E65)*(成本核算表!C:C=G65),0))</f>
        <v>0</v>
      </c>
      <c r="I65" s="37"/>
      <c r="J65" s="37">
        <f ca="1" t="shared" si="4"/>
        <v>0</v>
      </c>
      <c r="K65" s="32"/>
      <c r="M65" s="37"/>
      <c r="N65" s="37">
        <f ca="1" t="shared" si="0"/>
        <v>0</v>
      </c>
      <c r="O65" s="37">
        <f ca="1" t="shared" si="5"/>
        <v>0</v>
      </c>
    </row>
    <row r="66" s="30" customFormat="1" ht="20" customHeight="1" spans="1:15">
      <c r="A66" s="36"/>
      <c r="B66" s="32"/>
      <c r="C66" s="32"/>
      <c r="D66" s="32"/>
      <c r="E66" s="32"/>
      <c r="F66" s="32"/>
      <c r="G66" s="37"/>
      <c r="H66" s="37">
        <f ca="1" t="array" ref="H66">INDEX(成本核算表!J:J,MATCH(1,(成本核算表!D:D=E66)*(成本核算表!C:C=G66),0))</f>
        <v>0</v>
      </c>
      <c r="I66" s="37"/>
      <c r="J66" s="37">
        <f ca="1" t="shared" si="4"/>
        <v>0</v>
      </c>
      <c r="K66" s="32"/>
      <c r="M66" s="37"/>
      <c r="N66" s="37">
        <f ca="1" t="shared" si="0"/>
        <v>0</v>
      </c>
      <c r="O66" s="37">
        <f ca="1" t="shared" si="5"/>
        <v>0</v>
      </c>
    </row>
    <row r="67" s="30" customFormat="1" ht="20" customHeight="1" spans="1:15">
      <c r="A67" s="36"/>
      <c r="B67" s="32"/>
      <c r="C67" s="32"/>
      <c r="D67" s="32"/>
      <c r="E67" s="32"/>
      <c r="F67" s="32"/>
      <c r="G67" s="37"/>
      <c r="H67" s="37">
        <f ca="1" t="array" ref="H67">INDEX(成本核算表!J:J,MATCH(1,(成本核算表!D:D=E67)*(成本核算表!C:C=G67),0))</f>
        <v>0</v>
      </c>
      <c r="I67" s="37"/>
      <c r="J67" s="37">
        <f ca="1" t="shared" si="4"/>
        <v>0</v>
      </c>
      <c r="K67" s="32"/>
      <c r="M67" s="37"/>
      <c r="N67" s="37">
        <f ca="1" t="shared" si="0"/>
        <v>0</v>
      </c>
      <c r="O67" s="37">
        <f ca="1" t="shared" si="5"/>
        <v>0</v>
      </c>
    </row>
    <row r="68" s="30" customFormat="1" ht="20" customHeight="1" spans="1:15">
      <c r="A68" s="36"/>
      <c r="B68" s="32"/>
      <c r="C68" s="32"/>
      <c r="D68" s="32"/>
      <c r="E68" s="32"/>
      <c r="F68" s="32"/>
      <c r="G68" s="37"/>
      <c r="H68" s="37">
        <f ca="1" t="array" ref="H68">INDEX(成本核算表!J:J,MATCH(1,(成本核算表!D:D=E68)*(成本核算表!C:C=G68),0))</f>
        <v>0</v>
      </c>
      <c r="I68" s="37"/>
      <c r="J68" s="37">
        <f ca="1" t="shared" si="4"/>
        <v>0</v>
      </c>
      <c r="K68" s="32"/>
      <c r="M68" s="37"/>
      <c r="N68" s="37">
        <f ca="1" t="shared" si="0"/>
        <v>0</v>
      </c>
      <c r="O68" s="37">
        <f ca="1" t="shared" si="5"/>
        <v>0</v>
      </c>
    </row>
    <row r="69" s="30" customFormat="1" ht="20" customHeight="1" spans="1:15">
      <c r="A69" s="36"/>
      <c r="B69" s="32"/>
      <c r="C69" s="32"/>
      <c r="D69" s="32"/>
      <c r="E69" s="32"/>
      <c r="F69" s="32"/>
      <c r="G69" s="37"/>
      <c r="H69" s="37">
        <f ca="1" t="array" ref="H69">INDEX(成本核算表!J:J,MATCH(1,(成本核算表!D:D=E69)*(成本核算表!C:C=G69),0))</f>
        <v>0</v>
      </c>
      <c r="I69" s="37"/>
      <c r="J69" s="37">
        <f ca="1" t="shared" si="4"/>
        <v>0</v>
      </c>
      <c r="K69" s="32"/>
      <c r="M69" s="37"/>
      <c r="N69" s="37">
        <f ca="1" t="shared" si="0"/>
        <v>0</v>
      </c>
      <c r="O69" s="37">
        <f ca="1" t="shared" si="5"/>
        <v>0</v>
      </c>
    </row>
    <row r="70" s="30" customFormat="1" ht="20" customHeight="1" spans="1:15">
      <c r="A70" s="36"/>
      <c r="B70" s="32"/>
      <c r="C70" s="32"/>
      <c r="D70" s="32"/>
      <c r="E70" s="32"/>
      <c r="F70" s="32"/>
      <c r="G70" s="37"/>
      <c r="H70" s="37">
        <f ca="1" t="array" ref="H70">INDEX(成本核算表!J:J,MATCH(1,(成本核算表!D:D=E70)*(成本核算表!C:C=G70),0))</f>
        <v>0</v>
      </c>
      <c r="I70" s="37"/>
      <c r="J70" s="37">
        <f ca="1" t="shared" si="4"/>
        <v>0</v>
      </c>
      <c r="K70" s="32"/>
      <c r="M70" s="37"/>
      <c r="N70" s="37">
        <f ca="1" t="shared" si="0"/>
        <v>0</v>
      </c>
      <c r="O70" s="37">
        <f ca="1" t="shared" si="5"/>
        <v>0</v>
      </c>
    </row>
    <row r="71" s="30" customFormat="1" ht="20" customHeight="1" spans="1:15">
      <c r="A71" s="36"/>
      <c r="B71" s="32"/>
      <c r="C71" s="32"/>
      <c r="D71" s="32"/>
      <c r="E71" s="32"/>
      <c r="F71" s="32"/>
      <c r="G71" s="37"/>
      <c r="H71" s="37">
        <f ca="1" t="array" ref="H71">INDEX(成本核算表!J:J,MATCH(1,(成本核算表!D:D=E71)*(成本核算表!C:C=G71),0))</f>
        <v>0</v>
      </c>
      <c r="I71" s="37"/>
      <c r="J71" s="37">
        <f ca="1" t="shared" si="4"/>
        <v>0</v>
      </c>
      <c r="K71" s="32"/>
      <c r="M71" s="37"/>
      <c r="N71" s="37">
        <f ca="1" t="shared" si="0"/>
        <v>0</v>
      </c>
      <c r="O71" s="37">
        <f ca="1" t="shared" si="5"/>
        <v>0</v>
      </c>
    </row>
    <row r="72" s="30" customFormat="1" ht="20" customHeight="1" spans="1:15">
      <c r="A72" s="36"/>
      <c r="B72" s="32"/>
      <c r="C72" s="32"/>
      <c r="D72" s="32"/>
      <c r="E72" s="32"/>
      <c r="F72" s="32"/>
      <c r="G72" s="37"/>
      <c r="H72" s="37">
        <f ca="1" t="array" ref="H72">INDEX(成本核算表!J:J,MATCH(1,(成本核算表!D:D=E72)*(成本核算表!C:C=G72),0))</f>
        <v>0</v>
      </c>
      <c r="I72" s="37"/>
      <c r="J72" s="37">
        <f ca="1" t="shared" si="4"/>
        <v>0</v>
      </c>
      <c r="K72" s="32"/>
      <c r="M72" s="37"/>
      <c r="N72" s="37">
        <f ca="1" t="shared" si="0"/>
        <v>0</v>
      </c>
      <c r="O72" s="37">
        <f ca="1" t="shared" si="5"/>
        <v>0</v>
      </c>
    </row>
    <row r="73" s="30" customFormat="1" ht="20" customHeight="1" spans="1:15">
      <c r="A73" s="36"/>
      <c r="B73" s="32"/>
      <c r="C73" s="32"/>
      <c r="D73" s="32"/>
      <c r="E73" s="32"/>
      <c r="F73" s="32"/>
      <c r="G73" s="37"/>
      <c r="H73" s="37">
        <f ca="1" t="array" ref="H73">INDEX(成本核算表!J:J,MATCH(1,(成本核算表!D:D=E73)*(成本核算表!C:C=G73),0))</f>
        <v>0</v>
      </c>
      <c r="I73" s="37"/>
      <c r="J73" s="37">
        <f ca="1" t="shared" si="4"/>
        <v>0</v>
      </c>
      <c r="K73" s="32"/>
      <c r="M73" s="37"/>
      <c r="N73" s="37">
        <f ca="1" t="shared" ref="N73:N108" si="7">J73-M73+L73</f>
        <v>0</v>
      </c>
      <c r="O73" s="37">
        <f ca="1" t="shared" si="5"/>
        <v>0</v>
      </c>
    </row>
    <row r="74" s="30" customFormat="1" ht="20" customHeight="1" spans="1:15">
      <c r="A74" s="36"/>
      <c r="B74" s="32"/>
      <c r="C74" s="32"/>
      <c r="D74" s="32"/>
      <c r="E74" s="32"/>
      <c r="F74" s="32"/>
      <c r="G74" s="37"/>
      <c r="H74" s="37">
        <f ca="1" t="array" ref="H74">INDEX(成本核算表!J:J,MATCH(1,(成本核算表!D:D=E74)*(成本核算表!C:C=G74),0))</f>
        <v>0</v>
      </c>
      <c r="I74" s="37"/>
      <c r="J74" s="37">
        <f ca="1" t="shared" si="4"/>
        <v>0</v>
      </c>
      <c r="K74" s="32"/>
      <c r="M74" s="37"/>
      <c r="N74" s="37">
        <f ca="1" t="shared" si="7"/>
        <v>0</v>
      </c>
      <c r="O74" s="37">
        <f ca="1" t="shared" si="5"/>
        <v>0</v>
      </c>
    </row>
    <row r="75" s="30" customFormat="1" ht="20" customHeight="1" spans="1:15">
      <c r="A75" s="36"/>
      <c r="B75" s="32"/>
      <c r="C75" s="32"/>
      <c r="D75" s="32"/>
      <c r="E75" s="32"/>
      <c r="F75" s="32"/>
      <c r="G75" s="37"/>
      <c r="H75" s="37">
        <f ca="1" t="array" ref="H75">INDEX(成本核算表!J:J,MATCH(1,(成本核算表!D:D=E75)*(成本核算表!C:C=G75),0))</f>
        <v>0</v>
      </c>
      <c r="I75" s="37"/>
      <c r="J75" s="37">
        <f ca="1" t="shared" ref="J75:J108" si="8">H75*I75</f>
        <v>0</v>
      </c>
      <c r="K75" s="32"/>
      <c r="M75" s="37"/>
      <c r="N75" s="37">
        <f ca="1" t="shared" si="7"/>
        <v>0</v>
      </c>
      <c r="O75" s="37">
        <f ca="1" t="shared" ref="O75:O108" si="9">N75/3600</f>
        <v>0</v>
      </c>
    </row>
    <row r="76" s="30" customFormat="1" ht="20" customHeight="1" spans="1:15">
      <c r="A76" s="36"/>
      <c r="B76" s="32"/>
      <c r="C76" s="32"/>
      <c r="D76" s="32"/>
      <c r="E76" s="32"/>
      <c r="F76" s="32"/>
      <c r="G76" s="37"/>
      <c r="H76" s="37">
        <f ca="1" t="array" ref="H76">INDEX(成本核算表!J:J,MATCH(1,(成本核算表!D:D=E76)*(成本核算表!C:C=G76),0))</f>
        <v>0</v>
      </c>
      <c r="I76" s="37"/>
      <c r="J76" s="37">
        <f ca="1" t="shared" si="8"/>
        <v>0</v>
      </c>
      <c r="K76" s="32"/>
      <c r="M76" s="37"/>
      <c r="N76" s="37">
        <f ca="1" t="shared" si="7"/>
        <v>0</v>
      </c>
      <c r="O76" s="37">
        <f ca="1" t="shared" si="9"/>
        <v>0</v>
      </c>
    </row>
    <row r="77" s="30" customFormat="1" ht="20" customHeight="1" spans="1:15">
      <c r="A77" s="36"/>
      <c r="B77" s="32"/>
      <c r="C77" s="32"/>
      <c r="D77" s="32"/>
      <c r="E77" s="32"/>
      <c r="F77" s="32"/>
      <c r="G77" s="37"/>
      <c r="H77" s="37">
        <f ca="1" t="array" ref="H77">INDEX(成本核算表!J:J,MATCH(1,(成本核算表!D:D=E77)*(成本核算表!C:C=G77),0))</f>
        <v>0</v>
      </c>
      <c r="I77" s="37"/>
      <c r="J77" s="37">
        <f ca="1" t="shared" si="8"/>
        <v>0</v>
      </c>
      <c r="K77" s="32"/>
      <c r="M77" s="37"/>
      <c r="N77" s="37">
        <f ca="1" t="shared" si="7"/>
        <v>0</v>
      </c>
      <c r="O77" s="37">
        <f ca="1" t="shared" si="9"/>
        <v>0</v>
      </c>
    </row>
    <row r="78" s="30" customFormat="1" ht="20" customHeight="1" spans="1:15">
      <c r="A78" s="36"/>
      <c r="B78" s="32"/>
      <c r="C78" s="32"/>
      <c r="D78" s="32"/>
      <c r="E78" s="32"/>
      <c r="F78" s="32"/>
      <c r="G78" s="37"/>
      <c r="H78" s="37">
        <f ca="1" t="array" ref="H78">INDEX(成本核算表!J:J,MATCH(1,(成本核算表!D:D=E78)*(成本核算表!C:C=G78),0))</f>
        <v>0</v>
      </c>
      <c r="I78" s="37"/>
      <c r="J78" s="37">
        <f ca="1" t="shared" si="8"/>
        <v>0</v>
      </c>
      <c r="K78" s="32"/>
      <c r="M78" s="37"/>
      <c r="N78" s="37">
        <f ca="1" t="shared" si="7"/>
        <v>0</v>
      </c>
      <c r="O78" s="37">
        <f ca="1" t="shared" si="9"/>
        <v>0</v>
      </c>
    </row>
    <row r="79" s="30" customFormat="1" ht="20" customHeight="1" spans="1:15">
      <c r="A79" s="36"/>
      <c r="B79" s="32"/>
      <c r="C79" s="32"/>
      <c r="D79" s="32"/>
      <c r="E79" s="32"/>
      <c r="F79" s="32"/>
      <c r="G79" s="37"/>
      <c r="H79" s="37">
        <f ca="1" t="array" ref="H79">INDEX(成本核算表!J:J,MATCH(1,(成本核算表!D:D=E79)*(成本核算表!C:C=G79),0))</f>
        <v>0</v>
      </c>
      <c r="I79" s="37"/>
      <c r="J79" s="37">
        <f ca="1" t="shared" si="8"/>
        <v>0</v>
      </c>
      <c r="K79" s="32"/>
      <c r="M79" s="37"/>
      <c r="N79" s="37">
        <f ca="1" t="shared" si="7"/>
        <v>0</v>
      </c>
      <c r="O79" s="37">
        <f ca="1" t="shared" si="9"/>
        <v>0</v>
      </c>
    </row>
    <row r="80" s="30" customFormat="1" ht="20" customHeight="1" spans="1:15">
      <c r="A80" s="36"/>
      <c r="B80" s="32"/>
      <c r="C80" s="32"/>
      <c r="D80" s="32"/>
      <c r="E80" s="32"/>
      <c r="F80" s="32"/>
      <c r="G80" s="37"/>
      <c r="H80" s="37">
        <f ca="1" t="array" ref="H80">INDEX(成本核算表!J:J,MATCH(1,(成本核算表!D:D=E80)*(成本核算表!C:C=G80),0))</f>
        <v>0</v>
      </c>
      <c r="I80" s="37"/>
      <c r="J80" s="37">
        <f ca="1" t="shared" si="8"/>
        <v>0</v>
      </c>
      <c r="K80" s="32"/>
      <c r="M80" s="37"/>
      <c r="N80" s="37">
        <f ca="1" t="shared" si="7"/>
        <v>0</v>
      </c>
      <c r="O80" s="37">
        <f ca="1" t="shared" si="9"/>
        <v>0</v>
      </c>
    </row>
    <row r="81" s="30" customFormat="1" ht="20" customHeight="1" spans="1:15">
      <c r="A81" s="36"/>
      <c r="B81" s="32"/>
      <c r="C81" s="32"/>
      <c r="D81" s="32"/>
      <c r="E81" s="32"/>
      <c r="F81" s="32"/>
      <c r="G81" s="37"/>
      <c r="H81" s="37">
        <f ca="1" t="array" ref="H81">INDEX(成本核算表!J:J,MATCH(1,(成本核算表!D:D=E81)*(成本核算表!C:C=G81),0))</f>
        <v>0</v>
      </c>
      <c r="I81" s="37"/>
      <c r="J81" s="37">
        <f ca="1" t="shared" si="8"/>
        <v>0</v>
      </c>
      <c r="K81" s="32"/>
      <c r="M81" s="37"/>
      <c r="N81" s="37">
        <f ca="1" t="shared" si="7"/>
        <v>0</v>
      </c>
      <c r="O81" s="37">
        <f ca="1" t="shared" si="9"/>
        <v>0</v>
      </c>
    </row>
    <row r="82" s="30" customFormat="1" ht="20" customHeight="1" spans="1:15">
      <c r="A82" s="36"/>
      <c r="B82" s="32"/>
      <c r="C82" s="32"/>
      <c r="D82" s="32"/>
      <c r="E82" s="32"/>
      <c r="F82" s="32"/>
      <c r="G82" s="37"/>
      <c r="H82" s="37">
        <f ca="1" t="array" ref="H82">INDEX(成本核算表!J:J,MATCH(1,(成本核算表!D:D=E82)*(成本核算表!C:C=G82),0))</f>
        <v>0</v>
      </c>
      <c r="I82" s="37"/>
      <c r="J82" s="37">
        <f ca="1" t="shared" si="8"/>
        <v>0</v>
      </c>
      <c r="K82" s="32"/>
      <c r="M82" s="37"/>
      <c r="N82" s="37">
        <f ca="1" t="shared" si="7"/>
        <v>0</v>
      </c>
      <c r="O82" s="37">
        <f ca="1" t="shared" si="9"/>
        <v>0</v>
      </c>
    </row>
    <row r="83" s="30" customFormat="1" ht="20" customHeight="1" spans="1:15">
      <c r="A83" s="36"/>
      <c r="B83" s="32"/>
      <c r="C83" s="32"/>
      <c r="D83" s="32"/>
      <c r="E83" s="32"/>
      <c r="F83" s="32"/>
      <c r="G83" s="37"/>
      <c r="H83" s="37">
        <f ca="1" t="array" ref="H83">INDEX(成本核算表!J:J,MATCH(1,(成本核算表!D:D=E83)*(成本核算表!C:C=G83),0))</f>
        <v>0</v>
      </c>
      <c r="I83" s="37"/>
      <c r="J83" s="37">
        <f ca="1" t="shared" si="8"/>
        <v>0</v>
      </c>
      <c r="K83" s="32"/>
      <c r="M83" s="37"/>
      <c r="N83" s="37">
        <f ca="1" t="shared" si="7"/>
        <v>0</v>
      </c>
      <c r="O83" s="37">
        <f ca="1" t="shared" si="9"/>
        <v>0</v>
      </c>
    </row>
    <row r="84" s="30" customFormat="1" ht="20" customHeight="1" spans="1:15">
      <c r="A84" s="36"/>
      <c r="B84" s="32"/>
      <c r="C84" s="32"/>
      <c r="D84" s="32"/>
      <c r="E84" s="32"/>
      <c r="F84" s="32"/>
      <c r="G84" s="37"/>
      <c r="H84" s="37">
        <f ca="1" t="array" ref="H84">INDEX(成本核算表!J:J,MATCH(1,(成本核算表!D:D=E84)*(成本核算表!C:C=G84),0))</f>
        <v>0</v>
      </c>
      <c r="I84" s="37"/>
      <c r="J84" s="37">
        <f ca="1" t="shared" si="8"/>
        <v>0</v>
      </c>
      <c r="K84" s="32"/>
      <c r="M84" s="37"/>
      <c r="N84" s="37">
        <f ca="1" t="shared" si="7"/>
        <v>0</v>
      </c>
      <c r="O84" s="37">
        <f ca="1" t="shared" si="9"/>
        <v>0</v>
      </c>
    </row>
    <row r="85" s="30" customFormat="1" ht="20" customHeight="1" spans="1:15">
      <c r="A85" s="36"/>
      <c r="B85" s="32"/>
      <c r="C85" s="32"/>
      <c r="D85" s="32"/>
      <c r="E85" s="32"/>
      <c r="F85" s="32"/>
      <c r="G85" s="37"/>
      <c r="H85" s="37">
        <f ca="1" t="array" ref="H85">INDEX(成本核算表!J:J,MATCH(1,(成本核算表!D:D=E85)*(成本核算表!C:C=G85),0))</f>
        <v>0</v>
      </c>
      <c r="I85" s="37"/>
      <c r="J85" s="37">
        <f ca="1" t="shared" si="8"/>
        <v>0</v>
      </c>
      <c r="K85" s="32"/>
      <c r="M85" s="37"/>
      <c r="N85" s="37">
        <f ca="1" t="shared" si="7"/>
        <v>0</v>
      </c>
      <c r="O85" s="37">
        <f ca="1" t="shared" si="9"/>
        <v>0</v>
      </c>
    </row>
    <row r="86" s="30" customFormat="1" ht="20" customHeight="1" spans="1:15">
      <c r="A86" s="36"/>
      <c r="B86" s="32"/>
      <c r="C86" s="32"/>
      <c r="D86" s="32"/>
      <c r="E86" s="32"/>
      <c r="F86" s="32"/>
      <c r="G86" s="37"/>
      <c r="H86" s="37">
        <f ca="1" t="array" ref="H86">INDEX(成本核算表!J:J,MATCH(1,(成本核算表!D:D=E86)*(成本核算表!C:C=G86),0))</f>
        <v>0</v>
      </c>
      <c r="I86" s="37"/>
      <c r="J86" s="37">
        <f ca="1" t="shared" si="8"/>
        <v>0</v>
      </c>
      <c r="K86" s="32"/>
      <c r="M86" s="37"/>
      <c r="N86" s="37">
        <f ca="1" t="shared" si="7"/>
        <v>0</v>
      </c>
      <c r="O86" s="37">
        <f ca="1" t="shared" si="9"/>
        <v>0</v>
      </c>
    </row>
    <row r="87" s="30" customFormat="1" ht="20" customHeight="1" spans="1:15">
      <c r="A87" s="36"/>
      <c r="B87" s="32"/>
      <c r="C87" s="32"/>
      <c r="D87" s="32"/>
      <c r="E87" s="32"/>
      <c r="F87" s="32"/>
      <c r="G87" s="37"/>
      <c r="H87" s="37">
        <f ca="1" t="array" ref="H87">INDEX(成本核算表!J:J,MATCH(1,(成本核算表!D:D=E87)*(成本核算表!C:C=G87),0))</f>
        <v>0</v>
      </c>
      <c r="I87" s="37"/>
      <c r="J87" s="37">
        <f ca="1" t="shared" si="8"/>
        <v>0</v>
      </c>
      <c r="K87" s="32"/>
      <c r="M87" s="37"/>
      <c r="N87" s="37">
        <f ca="1" t="shared" si="7"/>
        <v>0</v>
      </c>
      <c r="O87" s="37">
        <f ca="1" t="shared" si="9"/>
        <v>0</v>
      </c>
    </row>
    <row r="88" s="30" customFormat="1" ht="20" customHeight="1" spans="1:15">
      <c r="A88" s="36"/>
      <c r="B88" s="32"/>
      <c r="C88" s="32"/>
      <c r="D88" s="32"/>
      <c r="E88" s="32"/>
      <c r="F88" s="32"/>
      <c r="G88" s="37"/>
      <c r="H88" s="37">
        <f ca="1" t="array" ref="H88">INDEX(成本核算表!J:J,MATCH(1,(成本核算表!D:D=E88)*(成本核算表!C:C=G88),0))</f>
        <v>0</v>
      </c>
      <c r="I88" s="37"/>
      <c r="J88" s="37">
        <f ca="1" t="shared" si="8"/>
        <v>0</v>
      </c>
      <c r="K88" s="32"/>
      <c r="M88" s="37"/>
      <c r="N88" s="37">
        <f ca="1" t="shared" si="7"/>
        <v>0</v>
      </c>
      <c r="O88" s="37">
        <f ca="1" t="shared" si="9"/>
        <v>0</v>
      </c>
    </row>
    <row r="89" s="30" customFormat="1" ht="20" customHeight="1" spans="1:15">
      <c r="A89" s="36"/>
      <c r="B89" s="32"/>
      <c r="C89" s="32"/>
      <c r="D89" s="32"/>
      <c r="E89" s="32"/>
      <c r="F89" s="32"/>
      <c r="G89" s="37"/>
      <c r="H89" s="37">
        <f ca="1" t="array" ref="H89">INDEX(成本核算表!J:J,MATCH(1,(成本核算表!D:D=E89)*(成本核算表!C:C=G89),0))</f>
        <v>0</v>
      </c>
      <c r="I89" s="37"/>
      <c r="J89" s="37">
        <f ca="1" t="shared" si="8"/>
        <v>0</v>
      </c>
      <c r="K89" s="32"/>
      <c r="M89" s="37"/>
      <c r="N89" s="37">
        <f ca="1" t="shared" si="7"/>
        <v>0</v>
      </c>
      <c r="O89" s="37">
        <f ca="1" t="shared" si="9"/>
        <v>0</v>
      </c>
    </row>
    <row r="90" s="30" customFormat="1" ht="20" customHeight="1" spans="1:15">
      <c r="A90" s="36"/>
      <c r="B90" s="32"/>
      <c r="C90" s="32"/>
      <c r="D90" s="32"/>
      <c r="E90" s="32"/>
      <c r="F90" s="32"/>
      <c r="G90" s="37"/>
      <c r="H90" s="37">
        <f ca="1" t="array" ref="H90">INDEX(成本核算表!J:J,MATCH(1,(成本核算表!D:D=E90)*(成本核算表!C:C=G90),0))</f>
        <v>0</v>
      </c>
      <c r="I90" s="37"/>
      <c r="J90" s="37">
        <f ca="1" t="shared" si="8"/>
        <v>0</v>
      </c>
      <c r="K90" s="32"/>
      <c r="M90" s="37"/>
      <c r="N90" s="37">
        <f ca="1" t="shared" si="7"/>
        <v>0</v>
      </c>
      <c r="O90" s="37">
        <f ca="1" t="shared" si="9"/>
        <v>0</v>
      </c>
    </row>
    <row r="91" s="30" customFormat="1" ht="20" customHeight="1" spans="1:15">
      <c r="A91" s="36"/>
      <c r="B91" s="32"/>
      <c r="C91" s="32"/>
      <c r="D91" s="32"/>
      <c r="E91" s="32"/>
      <c r="F91" s="32"/>
      <c r="G91" s="37"/>
      <c r="H91" s="37">
        <f ca="1" t="array" ref="H91">INDEX(成本核算表!J:J,MATCH(1,(成本核算表!D:D=E91)*(成本核算表!C:C=G91),0))</f>
        <v>0</v>
      </c>
      <c r="I91" s="37"/>
      <c r="J91" s="37">
        <f ca="1" t="shared" si="8"/>
        <v>0</v>
      </c>
      <c r="K91" s="32"/>
      <c r="M91" s="37"/>
      <c r="N91" s="37">
        <f ca="1" t="shared" si="7"/>
        <v>0</v>
      </c>
      <c r="O91" s="37">
        <f ca="1" t="shared" si="9"/>
        <v>0</v>
      </c>
    </row>
    <row r="92" s="30" customFormat="1" ht="20" customHeight="1" spans="1:15">
      <c r="A92" s="36"/>
      <c r="B92" s="32"/>
      <c r="C92" s="32"/>
      <c r="D92" s="32"/>
      <c r="E92" s="32"/>
      <c r="F92" s="32"/>
      <c r="G92" s="37"/>
      <c r="H92" s="37">
        <f ca="1" t="array" ref="H92">INDEX(成本核算表!J:J,MATCH(1,(成本核算表!D:D=E92)*(成本核算表!C:C=G92),0))</f>
        <v>0</v>
      </c>
      <c r="I92" s="37"/>
      <c r="J92" s="37">
        <f ca="1" t="shared" si="8"/>
        <v>0</v>
      </c>
      <c r="K92" s="32"/>
      <c r="M92" s="37"/>
      <c r="N92" s="37">
        <f ca="1" t="shared" si="7"/>
        <v>0</v>
      </c>
      <c r="O92" s="37">
        <f ca="1" t="shared" si="9"/>
        <v>0</v>
      </c>
    </row>
    <row r="93" s="30" customFormat="1" ht="20" customHeight="1" spans="1:15">
      <c r="A93" s="36"/>
      <c r="B93" s="32"/>
      <c r="C93" s="32"/>
      <c r="D93" s="32"/>
      <c r="E93" s="32"/>
      <c r="F93" s="32"/>
      <c r="G93" s="37"/>
      <c r="H93" s="37">
        <f ca="1" t="array" ref="H93">INDEX(成本核算表!J:J,MATCH(1,(成本核算表!D:D=E93)*(成本核算表!C:C=G93),0))</f>
        <v>0</v>
      </c>
      <c r="I93" s="37"/>
      <c r="J93" s="37">
        <f ca="1" t="shared" si="8"/>
        <v>0</v>
      </c>
      <c r="K93" s="32"/>
      <c r="M93" s="37"/>
      <c r="N93" s="37">
        <f ca="1" t="shared" si="7"/>
        <v>0</v>
      </c>
      <c r="O93" s="37">
        <f ca="1" t="shared" si="9"/>
        <v>0</v>
      </c>
    </row>
    <row r="94" s="30" customFormat="1" ht="20" customHeight="1" spans="1:15">
      <c r="A94" s="31"/>
      <c r="B94" s="32"/>
      <c r="C94" s="32"/>
      <c r="D94" s="32"/>
      <c r="E94" s="32"/>
      <c r="F94" s="32"/>
      <c r="G94" s="37"/>
      <c r="H94" s="37">
        <f ca="1" t="array" ref="H94">INDEX(成本核算表!J:J,MATCH(1,(成本核算表!D:D=E94)*(成本核算表!C:C=G94),0))</f>
        <v>0</v>
      </c>
      <c r="I94" s="37"/>
      <c r="J94" s="37">
        <f ca="1" t="shared" si="8"/>
        <v>0</v>
      </c>
      <c r="K94" s="32"/>
      <c r="M94" s="37"/>
      <c r="N94" s="37">
        <f ca="1" t="shared" si="7"/>
        <v>0</v>
      </c>
      <c r="O94" s="37">
        <f ca="1" t="shared" si="9"/>
        <v>0</v>
      </c>
    </row>
    <row r="95" s="30" customFormat="1" ht="20" customHeight="1" spans="1:15">
      <c r="A95" s="31"/>
      <c r="B95" s="32"/>
      <c r="C95" s="32"/>
      <c r="D95" s="32"/>
      <c r="E95" s="32"/>
      <c r="F95" s="32"/>
      <c r="G95" s="37"/>
      <c r="H95" s="37">
        <f ca="1" t="array" ref="H95">INDEX(成本核算表!J:J,MATCH(1,(成本核算表!D:D=E95)*(成本核算表!C:C=G95),0))</f>
        <v>0</v>
      </c>
      <c r="I95" s="37"/>
      <c r="J95" s="37">
        <f ca="1" t="shared" si="8"/>
        <v>0</v>
      </c>
      <c r="K95" s="32"/>
      <c r="M95" s="37"/>
      <c r="N95" s="37">
        <f ca="1" t="shared" si="7"/>
        <v>0</v>
      </c>
      <c r="O95" s="37">
        <f ca="1" t="shared" si="9"/>
        <v>0</v>
      </c>
    </row>
    <row r="96" s="30" customFormat="1" ht="20" customHeight="1" spans="1:15">
      <c r="A96" s="31"/>
      <c r="B96" s="32"/>
      <c r="C96" s="32"/>
      <c r="D96" s="32"/>
      <c r="E96" s="32"/>
      <c r="F96" s="32"/>
      <c r="G96" s="37"/>
      <c r="H96" s="37">
        <f ca="1" t="array" ref="H96">INDEX(成本核算表!J:J,MATCH(1,(成本核算表!D:D=E96)*(成本核算表!C:C=G96),0))</f>
        <v>0</v>
      </c>
      <c r="I96" s="37"/>
      <c r="J96" s="37">
        <f ca="1" t="shared" si="8"/>
        <v>0</v>
      </c>
      <c r="K96" s="32"/>
      <c r="M96" s="37"/>
      <c r="N96" s="37">
        <f ca="1" t="shared" si="7"/>
        <v>0</v>
      </c>
      <c r="O96" s="37">
        <f ca="1" t="shared" si="9"/>
        <v>0</v>
      </c>
    </row>
    <row r="97" s="30" customFormat="1" ht="20" customHeight="1" spans="1:15">
      <c r="A97" s="31"/>
      <c r="B97" s="32"/>
      <c r="C97" s="32"/>
      <c r="D97" s="32"/>
      <c r="E97" s="32"/>
      <c r="F97" s="32"/>
      <c r="G97" s="37"/>
      <c r="H97" s="37">
        <f ca="1" t="array" ref="H97">INDEX(成本核算表!J:J,MATCH(1,(成本核算表!D:D=E97)*(成本核算表!C:C=G97),0))</f>
        <v>0</v>
      </c>
      <c r="I97" s="37"/>
      <c r="J97" s="37">
        <f ca="1" t="shared" si="8"/>
        <v>0</v>
      </c>
      <c r="K97" s="32"/>
      <c r="M97" s="37"/>
      <c r="N97" s="37">
        <f ca="1" t="shared" si="7"/>
        <v>0</v>
      </c>
      <c r="O97" s="37">
        <f ca="1" t="shared" si="9"/>
        <v>0</v>
      </c>
    </row>
    <row r="98" s="30" customFormat="1" ht="20" customHeight="1" spans="1:15">
      <c r="A98" s="31"/>
      <c r="B98" s="32"/>
      <c r="C98" s="32"/>
      <c r="D98" s="32"/>
      <c r="E98" s="32"/>
      <c r="F98" s="32"/>
      <c r="G98" s="37"/>
      <c r="H98" s="37">
        <f ca="1" t="array" ref="H98">INDEX(成本核算表!J:J,MATCH(1,(成本核算表!D:D=E98)*(成本核算表!C:C=G98),0))</f>
        <v>0</v>
      </c>
      <c r="I98" s="37"/>
      <c r="J98" s="37">
        <f ca="1" t="shared" si="8"/>
        <v>0</v>
      </c>
      <c r="K98" s="32"/>
      <c r="M98" s="37"/>
      <c r="N98" s="37">
        <f ca="1" t="shared" si="7"/>
        <v>0</v>
      </c>
      <c r="O98" s="37">
        <f ca="1" t="shared" si="9"/>
        <v>0</v>
      </c>
    </row>
    <row r="99" s="30" customFormat="1" ht="20" customHeight="1" spans="1:15">
      <c r="A99" s="31"/>
      <c r="B99" s="32"/>
      <c r="C99" s="32"/>
      <c r="D99" s="32"/>
      <c r="E99" s="32"/>
      <c r="F99" s="32"/>
      <c r="G99" s="37"/>
      <c r="H99" s="37">
        <f ca="1" t="array" ref="H99">INDEX(成本核算表!J:J,MATCH(1,(成本核算表!D:D=E99)*(成本核算表!C:C=G99),0))</f>
        <v>0</v>
      </c>
      <c r="I99" s="37"/>
      <c r="J99" s="37">
        <f ca="1" t="shared" si="8"/>
        <v>0</v>
      </c>
      <c r="K99" s="32"/>
      <c r="M99" s="37"/>
      <c r="N99" s="37">
        <f ca="1" t="shared" si="7"/>
        <v>0</v>
      </c>
      <c r="O99" s="37">
        <f ca="1" t="shared" si="9"/>
        <v>0</v>
      </c>
    </row>
    <row r="100" s="30" customFormat="1" ht="20" customHeight="1" spans="1:15">
      <c r="A100" s="31"/>
      <c r="B100" s="32"/>
      <c r="C100" s="32"/>
      <c r="D100" s="32"/>
      <c r="E100" s="32"/>
      <c r="F100" s="32"/>
      <c r="G100" s="37"/>
      <c r="H100" s="37">
        <f ca="1" t="array" ref="H100">INDEX(成本核算表!J:J,MATCH(1,(成本核算表!D:D=E100)*(成本核算表!C:C=G100),0))</f>
        <v>0</v>
      </c>
      <c r="I100" s="37"/>
      <c r="J100" s="37">
        <f ca="1" t="shared" si="8"/>
        <v>0</v>
      </c>
      <c r="K100" s="32"/>
      <c r="M100" s="37"/>
      <c r="N100" s="37">
        <f ca="1" t="shared" si="7"/>
        <v>0</v>
      </c>
      <c r="O100" s="37">
        <f ca="1" t="shared" si="9"/>
        <v>0</v>
      </c>
    </row>
    <row r="101" s="30" customFormat="1" ht="20" customHeight="1" spans="1:15">
      <c r="A101" s="31"/>
      <c r="B101" s="32"/>
      <c r="C101" s="32"/>
      <c r="D101" s="32"/>
      <c r="E101" s="32"/>
      <c r="F101" s="32"/>
      <c r="G101" s="37"/>
      <c r="H101" s="37">
        <f ca="1" t="array" ref="H101">INDEX(成本核算表!J:J,MATCH(1,(成本核算表!D:D=E101)*(成本核算表!C:C=G101),0))</f>
        <v>0</v>
      </c>
      <c r="I101" s="37"/>
      <c r="J101" s="37">
        <f ca="1" t="shared" si="8"/>
        <v>0</v>
      </c>
      <c r="K101" s="32"/>
      <c r="M101" s="37"/>
      <c r="N101" s="37">
        <f ca="1" t="shared" si="7"/>
        <v>0</v>
      </c>
      <c r="O101" s="37">
        <f ca="1" t="shared" si="9"/>
        <v>0</v>
      </c>
    </row>
    <row r="102" s="30" customFormat="1" ht="20" customHeight="1" spans="1:15">
      <c r="A102" s="31"/>
      <c r="B102" s="32"/>
      <c r="C102" s="32"/>
      <c r="D102" s="32"/>
      <c r="E102" s="32"/>
      <c r="F102" s="32"/>
      <c r="G102" s="37"/>
      <c r="H102" s="37">
        <f ca="1" t="array" ref="H102">INDEX(成本核算表!J:J,MATCH(1,(成本核算表!D:D=E102)*(成本核算表!C:C=G102),0))</f>
        <v>0</v>
      </c>
      <c r="I102" s="37"/>
      <c r="J102" s="37">
        <f ca="1" t="shared" si="8"/>
        <v>0</v>
      </c>
      <c r="K102" s="32"/>
      <c r="M102" s="37"/>
      <c r="N102" s="37">
        <f ca="1" t="shared" si="7"/>
        <v>0</v>
      </c>
      <c r="O102" s="37">
        <f ca="1" t="shared" si="9"/>
        <v>0</v>
      </c>
    </row>
    <row r="103" s="30" customFormat="1" ht="20" customHeight="1" spans="1:15">
      <c r="A103" s="31"/>
      <c r="B103" s="32"/>
      <c r="C103" s="32"/>
      <c r="D103" s="32"/>
      <c r="E103" s="32"/>
      <c r="F103" s="32"/>
      <c r="G103" s="37"/>
      <c r="H103" s="37">
        <f ca="1" t="array" ref="H103">INDEX(成本核算表!J:J,MATCH(1,(成本核算表!D:D=E103)*(成本核算表!C:C=G103),0))</f>
        <v>0</v>
      </c>
      <c r="I103" s="37"/>
      <c r="J103" s="37">
        <f ca="1" t="shared" si="8"/>
        <v>0</v>
      </c>
      <c r="K103" s="32"/>
      <c r="M103" s="37"/>
      <c r="N103" s="37">
        <f ca="1" t="shared" si="7"/>
        <v>0</v>
      </c>
      <c r="O103" s="37">
        <f ca="1" t="shared" si="9"/>
        <v>0</v>
      </c>
    </row>
    <row r="104" s="30" customFormat="1" ht="20" customHeight="1" spans="1:15">
      <c r="A104" s="31"/>
      <c r="B104" s="32"/>
      <c r="C104" s="32"/>
      <c r="D104" s="32"/>
      <c r="E104" s="32"/>
      <c r="F104" s="32"/>
      <c r="G104" s="37"/>
      <c r="H104" s="37">
        <f ca="1" t="array" ref="H104">INDEX(成本核算表!J:J,MATCH(1,(成本核算表!D:D=E104)*(成本核算表!C:C=G104),0))</f>
        <v>0</v>
      </c>
      <c r="I104" s="37"/>
      <c r="J104" s="37">
        <f ca="1" t="shared" si="8"/>
        <v>0</v>
      </c>
      <c r="K104" s="32"/>
      <c r="M104" s="37"/>
      <c r="N104" s="37">
        <f ca="1" t="shared" si="7"/>
        <v>0</v>
      </c>
      <c r="O104" s="37">
        <f ca="1" t="shared" si="9"/>
        <v>0</v>
      </c>
    </row>
    <row r="105" s="30" customFormat="1" ht="20" customHeight="1" spans="1:15">
      <c r="A105" s="31"/>
      <c r="B105" s="32"/>
      <c r="C105" s="32"/>
      <c r="D105" s="32"/>
      <c r="E105" s="32"/>
      <c r="F105" s="32"/>
      <c r="G105" s="37"/>
      <c r="H105" s="37">
        <f ca="1" t="array" ref="H105">INDEX(成本核算表!J:J,MATCH(1,(成本核算表!D:D=E105)*(成本核算表!C:C=G105),0))</f>
        <v>0</v>
      </c>
      <c r="I105" s="37"/>
      <c r="J105" s="37">
        <f ca="1" t="shared" si="8"/>
        <v>0</v>
      </c>
      <c r="K105" s="32"/>
      <c r="M105" s="37"/>
      <c r="N105" s="37">
        <f ca="1" t="shared" si="7"/>
        <v>0</v>
      </c>
      <c r="O105" s="37">
        <f ca="1" t="shared" si="9"/>
        <v>0</v>
      </c>
    </row>
    <row r="106" s="30" customFormat="1" ht="20" customHeight="1" spans="1:15">
      <c r="A106" s="31"/>
      <c r="B106" s="32"/>
      <c r="C106" s="32"/>
      <c r="D106" s="32"/>
      <c r="E106" s="32"/>
      <c r="F106" s="32"/>
      <c r="G106" s="37"/>
      <c r="H106" s="37">
        <f ca="1" t="array" ref="H106">INDEX(成本核算表!J:J,MATCH(1,(成本核算表!D:D=E106)*(成本核算表!C:C=G106),0))</f>
        <v>0</v>
      </c>
      <c r="I106" s="37"/>
      <c r="J106" s="37">
        <f ca="1" t="shared" si="8"/>
        <v>0</v>
      </c>
      <c r="K106" s="32"/>
      <c r="M106" s="37"/>
      <c r="N106" s="37">
        <f ca="1" t="shared" si="7"/>
        <v>0</v>
      </c>
      <c r="O106" s="37">
        <f ca="1" t="shared" si="9"/>
        <v>0</v>
      </c>
    </row>
    <row r="107" s="30" customFormat="1" ht="20" customHeight="1" spans="1:15">
      <c r="A107" s="31"/>
      <c r="B107" s="32"/>
      <c r="C107" s="32"/>
      <c r="D107" s="32"/>
      <c r="E107" s="32"/>
      <c r="F107" s="32"/>
      <c r="G107" s="37"/>
      <c r="H107" s="37">
        <f ca="1" t="array" ref="H107">INDEX(成本核算表!J:J,MATCH(1,(成本核算表!D:D=E107)*(成本核算表!C:C=G107),0))</f>
        <v>0</v>
      </c>
      <c r="I107" s="37"/>
      <c r="J107" s="37">
        <f ca="1" t="shared" si="8"/>
        <v>0</v>
      </c>
      <c r="K107" s="32"/>
      <c r="M107" s="37"/>
      <c r="N107" s="37">
        <f ca="1" t="shared" si="7"/>
        <v>0</v>
      </c>
      <c r="O107" s="37">
        <f ca="1" t="shared" si="9"/>
        <v>0</v>
      </c>
    </row>
    <row r="108" s="30" customFormat="1" ht="20" customHeight="1" spans="1:15">
      <c r="A108" s="31"/>
      <c r="B108" s="32"/>
      <c r="C108" s="32"/>
      <c r="D108" s="32"/>
      <c r="E108" s="32"/>
      <c r="F108" s="32"/>
      <c r="G108" s="37"/>
      <c r="H108" s="37">
        <f ca="1" t="array" ref="H108">INDEX(成本核算表!J:J,MATCH(1,(成本核算表!D:D=E108)*(成本核算表!C:C=G108),0))</f>
        <v>0</v>
      </c>
      <c r="I108" s="37"/>
      <c r="J108" s="37">
        <f ca="1" t="shared" si="8"/>
        <v>0</v>
      </c>
      <c r="K108" s="32"/>
      <c r="M108" s="37"/>
      <c r="N108" s="37">
        <f ca="1" t="shared" si="7"/>
        <v>0</v>
      </c>
      <c r="O108" s="37">
        <f ca="1" t="shared" si="9"/>
        <v>0</v>
      </c>
    </row>
    <row r="109" s="30" customFormat="1" customHeight="1" spans="1:15">
      <c r="A109" s="31"/>
      <c r="B109" s="32"/>
      <c r="C109" s="32"/>
      <c r="D109" s="32"/>
      <c r="E109" s="32"/>
      <c r="F109" s="32"/>
      <c r="G109" s="34"/>
      <c r="H109" s="34"/>
      <c r="I109" s="32"/>
      <c r="J109" s="32"/>
      <c r="K109" s="32"/>
    </row>
    <row r="110" s="30" customFormat="1" customHeight="1" spans="1:15">
      <c r="A110" s="31"/>
      <c r="B110" s="32"/>
      <c r="C110" s="32"/>
      <c r="D110" s="32"/>
      <c r="E110" s="32"/>
      <c r="F110" s="32"/>
      <c r="G110" s="34"/>
      <c r="H110" s="34"/>
      <c r="I110" s="32"/>
      <c r="J110" s="32"/>
      <c r="K110" s="32"/>
    </row>
    <row r="111" s="30" customFormat="1" customHeight="1" spans="1:15">
      <c r="A111" s="31"/>
      <c r="B111" s="32"/>
      <c r="C111" s="32"/>
      <c r="D111" s="32"/>
      <c r="E111" s="32"/>
      <c r="F111" s="32"/>
      <c r="G111" s="34"/>
      <c r="H111" s="34"/>
      <c r="I111" s="32"/>
      <c r="J111" s="32"/>
      <c r="K111" s="32"/>
    </row>
    <row r="112" s="30" customFormat="1" customHeight="1" spans="1:15">
      <c r="A112" s="31"/>
      <c r="B112" s="32"/>
      <c r="C112" s="32"/>
      <c r="D112" s="32"/>
      <c r="E112" s="32"/>
      <c r="F112" s="32"/>
      <c r="G112" s="34"/>
      <c r="H112" s="34"/>
      <c r="I112" s="32"/>
      <c r="J112" s="32"/>
      <c r="K112" s="32"/>
    </row>
    <row r="113" s="30" customFormat="1" customHeight="1" spans="1:11">
      <c r="A113" s="31"/>
      <c r="B113" s="32"/>
      <c r="C113" s="32"/>
      <c r="D113" s="32"/>
      <c r="E113" s="32"/>
      <c r="F113" s="32"/>
      <c r="G113" s="34"/>
      <c r="H113" s="34"/>
      <c r="I113" s="32"/>
      <c r="J113" s="32"/>
      <c r="K113" s="32"/>
    </row>
    <row r="114" s="30" customFormat="1" customHeight="1" spans="1:11">
      <c r="A114" s="31"/>
      <c r="B114" s="32"/>
      <c r="C114" s="32"/>
      <c r="D114" s="32"/>
      <c r="E114" s="32"/>
      <c r="F114" s="32"/>
      <c r="G114" s="34"/>
      <c r="H114" s="34"/>
      <c r="I114" s="32"/>
      <c r="J114" s="32"/>
      <c r="K114" s="32"/>
    </row>
    <row r="115" s="30" customFormat="1" customHeight="1" spans="1:11">
      <c r="A115" s="31"/>
      <c r="B115" s="32"/>
      <c r="C115" s="32"/>
      <c r="D115" s="32"/>
      <c r="E115" s="32"/>
      <c r="F115" s="32"/>
      <c r="G115" s="34"/>
      <c r="H115" s="34"/>
      <c r="I115" s="32"/>
      <c r="J115" s="32"/>
      <c r="K115" s="32"/>
    </row>
    <row r="116" s="30" customFormat="1" customHeight="1" spans="1:11">
      <c r="A116" s="31"/>
      <c r="B116" s="32"/>
      <c r="C116" s="32"/>
      <c r="D116" s="32"/>
      <c r="E116" s="32"/>
      <c r="F116" s="32"/>
      <c r="G116" s="34"/>
      <c r="H116" s="34"/>
      <c r="I116" s="32"/>
      <c r="J116" s="32"/>
      <c r="K116" s="32"/>
    </row>
    <row r="117" s="30" customFormat="1" customHeight="1" spans="1:11">
      <c r="A117" s="31"/>
      <c r="B117" s="32"/>
      <c r="C117" s="32"/>
      <c r="D117" s="32"/>
      <c r="E117" s="32"/>
      <c r="F117" s="32"/>
      <c r="G117" s="34"/>
      <c r="H117" s="34"/>
      <c r="I117" s="32"/>
      <c r="J117" s="32"/>
      <c r="K117" s="32"/>
    </row>
    <row r="118" s="30" customFormat="1" customHeight="1" spans="1:11">
      <c r="A118" s="31"/>
      <c r="B118" s="32"/>
      <c r="C118" s="32"/>
      <c r="D118" s="32"/>
      <c r="E118" s="32"/>
      <c r="F118" s="32"/>
      <c r="G118" s="34"/>
      <c r="H118" s="34"/>
      <c r="I118" s="32"/>
      <c r="J118" s="32"/>
      <c r="K118" s="32"/>
    </row>
    <row r="119" s="30" customFormat="1" customHeight="1" spans="1:11">
      <c r="A119" s="31"/>
      <c r="B119" s="32"/>
      <c r="C119" s="32"/>
      <c r="D119" s="32"/>
      <c r="E119" s="32"/>
      <c r="F119" s="32"/>
      <c r="G119" s="34"/>
      <c r="H119" s="34"/>
      <c r="I119" s="32"/>
      <c r="J119" s="32"/>
      <c r="K119" s="32"/>
    </row>
    <row r="120" s="30" customFormat="1" customHeight="1" spans="1:11">
      <c r="A120" s="31"/>
      <c r="B120" s="32"/>
      <c r="C120" s="32"/>
      <c r="D120" s="32"/>
      <c r="E120" s="32"/>
      <c r="F120" s="32"/>
      <c r="G120" s="34"/>
      <c r="H120" s="34"/>
      <c r="I120" s="32"/>
      <c r="J120" s="32"/>
      <c r="K120" s="32"/>
    </row>
    <row r="121" s="30" customFormat="1" customHeight="1" spans="1:11">
      <c r="A121" s="31"/>
      <c r="B121" s="32"/>
      <c r="C121" s="32"/>
      <c r="D121" s="32"/>
      <c r="E121" s="32"/>
      <c r="F121" s="32"/>
      <c r="G121" s="34"/>
      <c r="H121" s="34"/>
      <c r="I121" s="32"/>
      <c r="J121" s="32"/>
      <c r="K121" s="32"/>
    </row>
    <row r="122" s="30" customFormat="1" customHeight="1" spans="1:11">
      <c r="A122" s="31"/>
      <c r="B122" s="32"/>
      <c r="C122" s="32"/>
      <c r="D122" s="32"/>
      <c r="E122" s="32"/>
      <c r="F122" s="32"/>
      <c r="G122" s="34"/>
      <c r="H122" s="34"/>
      <c r="I122" s="32"/>
      <c r="J122" s="32"/>
      <c r="K122" s="32"/>
    </row>
    <row r="123" s="30" customFormat="1" customHeight="1" spans="1:11">
      <c r="A123" s="31"/>
      <c r="B123" s="32"/>
      <c r="C123" s="32"/>
      <c r="D123" s="32"/>
      <c r="E123" s="32"/>
      <c r="F123" s="32"/>
      <c r="G123" s="34"/>
      <c r="H123" s="34"/>
      <c r="I123" s="32"/>
      <c r="J123" s="32"/>
      <c r="K123" s="32"/>
    </row>
    <row r="124" s="30" customFormat="1" customHeight="1" spans="1:11">
      <c r="A124" s="31"/>
      <c r="B124" s="32"/>
      <c r="C124" s="32"/>
      <c r="D124" s="32"/>
      <c r="E124" s="32"/>
      <c r="F124" s="32"/>
      <c r="G124" s="34"/>
      <c r="H124" s="34"/>
      <c r="I124" s="32"/>
      <c r="J124" s="32"/>
      <c r="K124" s="32"/>
    </row>
    <row r="125" s="30" customFormat="1" customHeight="1" spans="1:11">
      <c r="A125" s="31"/>
      <c r="B125" s="32"/>
      <c r="C125" s="32"/>
      <c r="D125" s="32"/>
      <c r="E125" s="32"/>
      <c r="F125" s="32"/>
      <c r="G125" s="34"/>
      <c r="H125" s="34"/>
      <c r="I125" s="32"/>
      <c r="J125" s="32"/>
      <c r="K125" s="32"/>
    </row>
    <row r="126" s="30" customFormat="1" customHeight="1" spans="1:11">
      <c r="A126" s="31"/>
      <c r="B126" s="32"/>
      <c r="C126" s="32"/>
      <c r="D126" s="32"/>
      <c r="E126" s="32"/>
      <c r="F126" s="32"/>
      <c r="G126" s="34"/>
      <c r="H126" s="34"/>
      <c r="I126" s="32"/>
      <c r="J126" s="32"/>
      <c r="K126" s="32"/>
    </row>
    <row r="127" s="30" customFormat="1" customHeight="1" spans="1:11">
      <c r="A127" s="31"/>
      <c r="B127" s="32"/>
      <c r="C127" s="32"/>
      <c r="D127" s="32"/>
      <c r="E127" s="32"/>
      <c r="F127" s="32"/>
      <c r="G127" s="34"/>
      <c r="H127" s="34"/>
      <c r="I127" s="32"/>
      <c r="J127" s="32"/>
      <c r="K127" s="32"/>
    </row>
    <row r="128" s="30" customFormat="1" customHeight="1" spans="1:11">
      <c r="A128" s="31"/>
      <c r="B128" s="32"/>
      <c r="C128" s="32"/>
      <c r="D128" s="32"/>
      <c r="E128" s="32"/>
      <c r="F128" s="32"/>
      <c r="G128" s="34"/>
      <c r="H128" s="34"/>
      <c r="I128" s="32"/>
      <c r="J128" s="32"/>
      <c r="K128" s="32"/>
    </row>
    <row r="129" s="30" customFormat="1" customHeight="1" spans="1:11">
      <c r="A129" s="31"/>
      <c r="B129" s="32"/>
      <c r="C129" s="32"/>
      <c r="D129" s="32"/>
      <c r="E129" s="32"/>
      <c r="F129" s="32"/>
      <c r="G129" s="34"/>
      <c r="H129" s="34"/>
      <c r="I129" s="32"/>
      <c r="J129" s="32"/>
      <c r="K129" s="32"/>
    </row>
    <row r="130" s="30" customFormat="1" customHeight="1" spans="1:11">
      <c r="A130" s="31"/>
      <c r="B130" s="32"/>
      <c r="C130" s="32"/>
      <c r="D130" s="32"/>
      <c r="E130" s="32"/>
      <c r="F130" s="32"/>
      <c r="G130" s="34"/>
      <c r="H130" s="34"/>
      <c r="I130" s="32"/>
      <c r="J130" s="32"/>
      <c r="K130" s="32"/>
    </row>
    <row r="131" s="30" customFormat="1" customHeight="1" spans="1:11">
      <c r="A131" s="31"/>
      <c r="B131" s="32"/>
      <c r="C131" s="32"/>
      <c r="D131" s="32"/>
      <c r="E131" s="32"/>
      <c r="F131" s="32"/>
      <c r="G131" s="34"/>
      <c r="H131" s="34"/>
      <c r="I131" s="32"/>
      <c r="J131" s="32"/>
      <c r="K131" s="32"/>
    </row>
    <row r="132" s="30" customFormat="1" customHeight="1" spans="1:11">
      <c r="A132" s="31"/>
      <c r="B132" s="32"/>
      <c r="C132" s="32"/>
      <c r="D132" s="32"/>
      <c r="E132" s="32"/>
      <c r="F132" s="32"/>
      <c r="G132" s="34"/>
      <c r="H132" s="34"/>
      <c r="I132" s="32"/>
      <c r="J132" s="32"/>
      <c r="K132" s="32"/>
    </row>
    <row r="133" s="30" customFormat="1" customHeight="1" spans="1:11">
      <c r="A133" s="31"/>
      <c r="B133" s="32"/>
      <c r="C133" s="32"/>
      <c r="D133" s="32"/>
      <c r="E133" s="32"/>
      <c r="F133" s="32"/>
      <c r="G133" s="34"/>
      <c r="H133" s="34"/>
      <c r="I133" s="32"/>
      <c r="J133" s="32"/>
      <c r="K133" s="32"/>
    </row>
    <row r="134" s="30" customFormat="1" customHeight="1" spans="1:11">
      <c r="A134" s="31"/>
      <c r="B134" s="32"/>
      <c r="C134" s="32"/>
      <c r="D134" s="32"/>
      <c r="E134" s="32"/>
      <c r="F134" s="32"/>
      <c r="G134" s="34"/>
      <c r="H134" s="34"/>
      <c r="I134" s="32"/>
      <c r="J134" s="32"/>
      <c r="K134" s="32"/>
    </row>
    <row r="135" s="30" customFormat="1" customHeight="1" spans="1:11">
      <c r="A135" s="31"/>
      <c r="B135" s="32"/>
      <c r="C135" s="32"/>
      <c r="D135" s="32"/>
      <c r="E135" s="32"/>
      <c r="F135" s="32"/>
      <c r="G135" s="34"/>
      <c r="H135" s="34"/>
      <c r="I135" s="32"/>
      <c r="J135" s="32"/>
      <c r="K135" s="32"/>
    </row>
    <row r="136" s="30" customFormat="1" customHeight="1" spans="1:11">
      <c r="A136" s="31"/>
      <c r="B136" s="32"/>
      <c r="C136" s="32"/>
      <c r="D136" s="32"/>
      <c r="E136" s="32"/>
      <c r="F136" s="32"/>
      <c r="G136" s="34"/>
      <c r="H136" s="34"/>
      <c r="I136" s="32"/>
      <c r="J136" s="32"/>
      <c r="K136" s="32"/>
    </row>
    <row r="137" s="30" customFormat="1" customHeight="1" spans="1:11">
      <c r="A137" s="31"/>
      <c r="B137" s="32"/>
      <c r="C137" s="32"/>
      <c r="D137" s="32"/>
      <c r="E137" s="32"/>
      <c r="F137" s="32"/>
      <c r="G137" s="34"/>
      <c r="H137" s="34"/>
      <c r="I137" s="32"/>
      <c r="J137" s="32"/>
      <c r="K137" s="32"/>
    </row>
    <row r="138" s="30" customFormat="1" customHeight="1" spans="1:11">
      <c r="A138" s="31"/>
      <c r="B138" s="32"/>
      <c r="C138" s="32"/>
      <c r="D138" s="32"/>
      <c r="E138" s="32"/>
      <c r="F138" s="32"/>
      <c r="G138" s="34"/>
      <c r="H138" s="34"/>
      <c r="I138" s="32"/>
      <c r="J138" s="32"/>
      <c r="K138" s="32"/>
    </row>
    <row r="139" s="30" customFormat="1" customHeight="1" spans="1:11">
      <c r="A139" s="31"/>
      <c r="B139" s="32"/>
      <c r="C139" s="32"/>
      <c r="D139" s="32"/>
      <c r="E139" s="32"/>
      <c r="F139" s="32"/>
      <c r="G139" s="34"/>
      <c r="H139" s="34"/>
      <c r="I139" s="32"/>
      <c r="J139" s="32"/>
      <c r="K139" s="32"/>
    </row>
    <row r="140" s="30" customFormat="1" customHeight="1" spans="1:11">
      <c r="A140" s="31"/>
      <c r="B140" s="32"/>
      <c r="C140" s="32"/>
      <c r="D140" s="32"/>
      <c r="E140" s="32"/>
      <c r="F140" s="32"/>
      <c r="G140" s="34"/>
      <c r="H140" s="34"/>
      <c r="I140" s="32"/>
      <c r="J140" s="32"/>
      <c r="K140" s="32"/>
    </row>
    <row r="141" s="30" customFormat="1" customHeight="1" spans="1:11">
      <c r="A141" s="31"/>
      <c r="B141" s="32"/>
      <c r="C141" s="32"/>
      <c r="D141" s="32"/>
      <c r="E141" s="32"/>
      <c r="F141" s="32"/>
      <c r="G141" s="34"/>
      <c r="H141" s="34"/>
      <c r="I141" s="32"/>
      <c r="J141" s="32"/>
      <c r="K141" s="32"/>
    </row>
    <row r="142" s="30" customFormat="1" customHeight="1" spans="1:11">
      <c r="A142" s="31"/>
      <c r="B142" s="32"/>
      <c r="C142" s="32"/>
      <c r="D142" s="32"/>
      <c r="E142" s="32"/>
      <c r="F142" s="32"/>
      <c r="G142" s="34"/>
      <c r="H142" s="34"/>
      <c r="I142" s="32"/>
      <c r="J142" s="32"/>
      <c r="K142" s="32"/>
    </row>
    <row r="143" s="30" customFormat="1" customHeight="1" spans="1:11">
      <c r="A143" s="31"/>
      <c r="B143" s="32"/>
      <c r="C143" s="32"/>
      <c r="D143" s="32"/>
      <c r="E143" s="32"/>
      <c r="F143" s="32"/>
      <c r="G143" s="34"/>
      <c r="H143" s="34"/>
      <c r="I143" s="32"/>
      <c r="J143" s="32"/>
      <c r="K143" s="32"/>
    </row>
    <row r="144" s="30" customFormat="1" customHeight="1" spans="1:11">
      <c r="A144" s="31"/>
      <c r="B144" s="32"/>
      <c r="C144" s="32"/>
      <c r="D144" s="32"/>
      <c r="E144" s="32"/>
      <c r="F144" s="32"/>
      <c r="G144" s="34"/>
      <c r="H144" s="34"/>
      <c r="I144" s="32"/>
      <c r="J144" s="32"/>
      <c r="K144" s="32"/>
    </row>
    <row r="145" s="30" customFormat="1" customHeight="1" spans="1:11">
      <c r="A145" s="31"/>
      <c r="B145" s="32"/>
      <c r="C145" s="32"/>
      <c r="D145" s="32"/>
      <c r="E145" s="32"/>
      <c r="F145" s="32"/>
      <c r="G145" s="34"/>
      <c r="H145" s="34"/>
      <c r="I145" s="32"/>
      <c r="J145" s="32"/>
      <c r="K145" s="32"/>
    </row>
    <row r="146" s="30" customFormat="1" customHeight="1" spans="1:11">
      <c r="A146" s="31"/>
      <c r="B146" s="32"/>
      <c r="C146" s="32"/>
      <c r="D146" s="32"/>
      <c r="E146" s="32"/>
      <c r="F146" s="32"/>
      <c r="G146" s="34"/>
      <c r="H146" s="34"/>
      <c r="I146" s="32"/>
      <c r="J146" s="32"/>
      <c r="K146" s="32"/>
    </row>
    <row r="147" s="30" customFormat="1" customHeight="1" spans="1:11">
      <c r="A147" s="31"/>
      <c r="B147" s="32"/>
      <c r="C147" s="32"/>
      <c r="D147" s="32"/>
      <c r="E147" s="32"/>
      <c r="F147" s="32"/>
      <c r="G147" s="34"/>
      <c r="H147" s="34"/>
      <c r="I147" s="32"/>
      <c r="J147" s="32"/>
      <c r="K147" s="32"/>
    </row>
    <row r="148" s="30" customFormat="1" customHeight="1" spans="1:11">
      <c r="A148" s="31"/>
      <c r="B148" s="32"/>
      <c r="C148" s="32"/>
      <c r="D148" s="32"/>
      <c r="E148" s="32"/>
      <c r="F148" s="32"/>
      <c r="G148" s="34"/>
      <c r="H148" s="34"/>
      <c r="I148" s="32"/>
      <c r="J148" s="32"/>
      <c r="K148" s="32"/>
    </row>
    <row r="149" s="30" customFormat="1" customHeight="1" spans="1:11">
      <c r="A149" s="31"/>
      <c r="B149" s="32"/>
      <c r="C149" s="32"/>
      <c r="D149" s="32"/>
      <c r="E149" s="32"/>
      <c r="F149" s="32"/>
      <c r="G149" s="34"/>
      <c r="H149" s="34"/>
      <c r="I149" s="32"/>
      <c r="J149" s="32"/>
      <c r="K149" s="32"/>
    </row>
    <row r="150" s="30" customFormat="1" customHeight="1" spans="1:11">
      <c r="A150" s="31"/>
      <c r="B150" s="32"/>
      <c r="C150" s="32"/>
      <c r="D150" s="32"/>
      <c r="E150" s="32"/>
      <c r="F150" s="32"/>
      <c r="G150" s="34"/>
      <c r="H150" s="34"/>
      <c r="I150" s="32"/>
      <c r="J150" s="32"/>
      <c r="K150" s="32"/>
    </row>
    <row r="151" s="30" customFormat="1" customHeight="1" spans="1:11">
      <c r="A151" s="31"/>
      <c r="B151" s="32"/>
      <c r="C151" s="32"/>
      <c r="D151" s="32"/>
      <c r="E151" s="32"/>
      <c r="F151" s="32"/>
      <c r="G151" s="34"/>
      <c r="H151" s="34"/>
      <c r="I151" s="32"/>
      <c r="J151" s="32"/>
      <c r="K151" s="32"/>
    </row>
    <row r="152" s="30" customFormat="1" customHeight="1" spans="1:11">
      <c r="A152" s="31"/>
      <c r="B152" s="32"/>
      <c r="C152" s="32"/>
      <c r="D152" s="32"/>
      <c r="E152" s="32"/>
      <c r="F152" s="32"/>
      <c r="G152" s="34"/>
      <c r="H152" s="34"/>
      <c r="I152" s="32"/>
      <c r="J152" s="32"/>
      <c r="K152" s="32"/>
    </row>
    <row r="153" s="30" customFormat="1" customHeight="1" spans="1:11">
      <c r="A153" s="31"/>
      <c r="B153" s="32"/>
      <c r="C153" s="32"/>
      <c r="D153" s="32"/>
      <c r="E153" s="32"/>
      <c r="F153" s="32"/>
      <c r="G153" s="34"/>
      <c r="H153" s="34"/>
      <c r="I153" s="32"/>
      <c r="J153" s="32"/>
      <c r="K153" s="32"/>
    </row>
    <row r="154" s="30" customFormat="1" customHeight="1" spans="1:11">
      <c r="A154" s="31"/>
      <c r="B154" s="32"/>
      <c r="C154" s="32"/>
      <c r="D154" s="32"/>
      <c r="E154" s="32"/>
      <c r="F154" s="32"/>
      <c r="G154" s="34"/>
      <c r="H154" s="34"/>
      <c r="I154" s="32"/>
      <c r="J154" s="32"/>
      <c r="K154" s="32"/>
    </row>
    <row r="155" s="30" customFormat="1" customHeight="1" spans="1:11">
      <c r="A155" s="31"/>
      <c r="B155" s="32"/>
      <c r="C155" s="32"/>
      <c r="D155" s="32"/>
      <c r="E155" s="32"/>
      <c r="F155" s="32"/>
      <c r="G155" s="34"/>
      <c r="H155" s="34"/>
      <c r="I155" s="32"/>
      <c r="J155" s="32"/>
      <c r="K155" s="32"/>
    </row>
    <row r="156" s="30" customFormat="1" customHeight="1" spans="1:11">
      <c r="A156" s="31"/>
      <c r="B156" s="32"/>
      <c r="C156" s="32"/>
      <c r="D156" s="32"/>
      <c r="E156" s="32"/>
      <c r="F156" s="32"/>
      <c r="G156" s="34"/>
      <c r="H156" s="34"/>
      <c r="I156" s="32"/>
      <c r="J156" s="32"/>
      <c r="K156" s="32"/>
    </row>
    <row r="157" s="30" customFormat="1" customHeight="1" spans="1:11">
      <c r="A157" s="31"/>
      <c r="B157" s="32"/>
      <c r="C157" s="32"/>
      <c r="D157" s="32"/>
      <c r="E157" s="32"/>
      <c r="F157" s="32"/>
      <c r="G157" s="34"/>
      <c r="H157" s="34"/>
      <c r="I157" s="32"/>
      <c r="J157" s="32"/>
      <c r="K157" s="32"/>
    </row>
    <row r="158" s="30" customFormat="1" customHeight="1" spans="1:11">
      <c r="A158" s="31"/>
      <c r="B158" s="32"/>
      <c r="C158" s="32"/>
      <c r="D158" s="32"/>
      <c r="E158" s="32"/>
      <c r="F158" s="32"/>
      <c r="G158" s="34"/>
      <c r="H158" s="34"/>
      <c r="I158" s="32"/>
      <c r="J158" s="32"/>
      <c r="K158" s="32"/>
    </row>
    <row r="159" s="30" customFormat="1" customHeight="1" spans="1:11">
      <c r="A159" s="31"/>
      <c r="B159" s="32"/>
      <c r="C159" s="32"/>
      <c r="D159" s="32"/>
      <c r="E159" s="32"/>
      <c r="F159" s="32"/>
      <c r="G159" s="34"/>
      <c r="H159" s="34"/>
      <c r="I159" s="32"/>
      <c r="J159" s="32"/>
      <c r="K159" s="32"/>
    </row>
    <row r="160" s="30" customFormat="1" customHeight="1" spans="1:11">
      <c r="A160" s="31"/>
      <c r="B160" s="32"/>
      <c r="C160" s="32"/>
      <c r="D160" s="32"/>
      <c r="E160" s="32"/>
      <c r="F160" s="32"/>
      <c r="G160" s="34"/>
      <c r="H160" s="34"/>
      <c r="I160" s="32"/>
      <c r="J160" s="32"/>
      <c r="K160" s="32"/>
    </row>
    <row r="161" s="30" customFormat="1" customHeight="1" spans="1:11">
      <c r="A161" s="31"/>
      <c r="B161" s="32"/>
      <c r="C161" s="32"/>
      <c r="D161" s="32"/>
      <c r="E161" s="32"/>
      <c r="F161" s="32"/>
      <c r="G161" s="34"/>
      <c r="H161" s="34"/>
      <c r="I161" s="32"/>
      <c r="J161" s="32"/>
      <c r="K161" s="32"/>
    </row>
    <row r="162" s="30" customFormat="1" customHeight="1" spans="1:11">
      <c r="A162" s="31"/>
      <c r="B162" s="32"/>
      <c r="C162" s="32"/>
      <c r="D162" s="32"/>
      <c r="E162" s="32"/>
      <c r="F162" s="32"/>
      <c r="G162" s="34"/>
      <c r="H162" s="34"/>
      <c r="I162" s="32"/>
      <c r="J162" s="32"/>
      <c r="K162" s="32"/>
    </row>
    <row r="163" s="30" customFormat="1" customHeight="1" spans="1:11">
      <c r="A163" s="31"/>
      <c r="B163" s="32"/>
      <c r="C163" s="32"/>
      <c r="D163" s="32"/>
      <c r="E163" s="32"/>
      <c r="F163" s="32"/>
      <c r="G163" s="34"/>
      <c r="H163" s="34"/>
      <c r="I163" s="32"/>
      <c r="J163" s="32"/>
      <c r="K163" s="32"/>
    </row>
    <row r="164" s="30" customFormat="1" customHeight="1" spans="1:11">
      <c r="A164" s="31"/>
      <c r="B164" s="32"/>
      <c r="C164" s="32"/>
      <c r="D164" s="32"/>
      <c r="E164" s="32"/>
      <c r="F164" s="32"/>
      <c r="G164" s="34"/>
      <c r="H164" s="34"/>
      <c r="I164" s="32"/>
      <c r="J164" s="32"/>
      <c r="K164" s="32"/>
    </row>
    <row r="165" s="30" customFormat="1" customHeight="1" spans="1:11">
      <c r="A165" s="31"/>
      <c r="B165" s="32"/>
      <c r="C165" s="32"/>
      <c r="D165" s="32"/>
      <c r="E165" s="32"/>
      <c r="F165" s="32"/>
      <c r="G165" s="34"/>
      <c r="H165" s="34"/>
      <c r="I165" s="32"/>
      <c r="J165" s="32"/>
      <c r="K165" s="32"/>
    </row>
    <row r="166" s="30" customFormat="1" customHeight="1" spans="1:11">
      <c r="A166" s="31"/>
      <c r="B166" s="32"/>
      <c r="C166" s="32"/>
      <c r="D166" s="32"/>
      <c r="E166" s="32"/>
      <c r="F166" s="32"/>
      <c r="G166" s="34"/>
      <c r="H166" s="34"/>
      <c r="I166" s="32"/>
      <c r="J166" s="32"/>
      <c r="K166" s="32"/>
    </row>
    <row r="167" s="30" customFormat="1" customHeight="1" spans="1:11">
      <c r="A167" s="31"/>
      <c r="B167" s="32"/>
      <c r="C167" s="32"/>
      <c r="D167" s="32"/>
      <c r="E167" s="32"/>
      <c r="F167" s="32"/>
      <c r="G167" s="34"/>
      <c r="H167" s="34"/>
      <c r="I167" s="32"/>
      <c r="J167" s="32"/>
      <c r="K167" s="32"/>
    </row>
    <row r="168" s="30" customFormat="1" customHeight="1" spans="1:11">
      <c r="A168" s="31"/>
      <c r="B168" s="32"/>
      <c r="C168" s="32"/>
      <c r="D168" s="32"/>
      <c r="E168" s="32"/>
      <c r="F168" s="32"/>
      <c r="G168" s="34"/>
      <c r="H168" s="34"/>
      <c r="I168" s="32"/>
      <c r="J168" s="32"/>
      <c r="K168" s="32"/>
    </row>
    <row r="169" s="30" customFormat="1" customHeight="1" spans="1:11">
      <c r="A169" s="31"/>
      <c r="B169" s="32"/>
      <c r="C169" s="32"/>
      <c r="D169" s="32"/>
      <c r="E169" s="32"/>
      <c r="F169" s="32"/>
      <c r="G169" s="34"/>
      <c r="H169" s="34"/>
      <c r="I169" s="32"/>
      <c r="J169" s="32"/>
      <c r="K169" s="32"/>
    </row>
    <row r="170" s="30" customFormat="1" customHeight="1" spans="1:11">
      <c r="A170" s="31"/>
      <c r="B170" s="32"/>
      <c r="C170" s="32"/>
      <c r="D170" s="32"/>
      <c r="E170" s="32"/>
      <c r="F170" s="32"/>
      <c r="G170" s="34"/>
      <c r="H170" s="34"/>
      <c r="I170" s="32"/>
      <c r="J170" s="32"/>
      <c r="K170" s="32"/>
    </row>
    <row r="171" s="30" customFormat="1" customHeight="1" spans="1:11">
      <c r="A171" s="31"/>
      <c r="B171" s="32"/>
      <c r="C171" s="32"/>
      <c r="D171" s="32"/>
      <c r="E171" s="32"/>
      <c r="F171" s="32"/>
      <c r="G171" s="34"/>
      <c r="H171" s="34"/>
      <c r="I171" s="32"/>
      <c r="J171" s="32"/>
      <c r="K171" s="32"/>
    </row>
    <row r="172" s="30" customFormat="1" customHeight="1" spans="1:11">
      <c r="A172" s="31"/>
      <c r="B172" s="32"/>
      <c r="C172" s="32"/>
      <c r="D172" s="32"/>
      <c r="E172" s="32"/>
      <c r="F172" s="32"/>
      <c r="G172" s="34"/>
      <c r="H172" s="34"/>
      <c r="I172" s="32"/>
      <c r="J172" s="32"/>
      <c r="K172" s="32"/>
    </row>
    <row r="173" s="30" customFormat="1" customHeight="1" spans="1:11">
      <c r="A173" s="31"/>
      <c r="B173" s="32"/>
      <c r="C173" s="32"/>
      <c r="D173" s="32"/>
      <c r="E173" s="32"/>
      <c r="F173" s="32"/>
      <c r="G173" s="34"/>
      <c r="H173" s="34"/>
      <c r="I173" s="32"/>
      <c r="J173" s="32"/>
      <c r="K173" s="32"/>
    </row>
    <row r="174" s="30" customFormat="1" customHeight="1" spans="1:11">
      <c r="A174" s="31"/>
      <c r="B174" s="32"/>
      <c r="C174" s="32"/>
      <c r="D174" s="32"/>
      <c r="E174" s="32"/>
      <c r="F174" s="32"/>
      <c r="G174" s="34"/>
      <c r="H174" s="34"/>
      <c r="I174" s="32"/>
      <c r="J174" s="32"/>
      <c r="K174" s="32"/>
    </row>
    <row r="175" s="30" customFormat="1" customHeight="1" spans="1:11">
      <c r="A175" s="31"/>
      <c r="B175" s="32"/>
      <c r="C175" s="32"/>
      <c r="D175" s="32"/>
      <c r="E175" s="32"/>
      <c r="F175" s="32"/>
      <c r="G175" s="34"/>
      <c r="H175" s="34"/>
      <c r="I175" s="32"/>
      <c r="J175" s="32"/>
      <c r="K175" s="32"/>
    </row>
    <row r="176" s="30" customFormat="1" customHeight="1" spans="1:11">
      <c r="A176" s="31"/>
      <c r="B176" s="32"/>
      <c r="C176" s="32"/>
      <c r="D176" s="32"/>
      <c r="E176" s="32"/>
      <c r="F176" s="32"/>
      <c r="G176" s="34"/>
      <c r="H176" s="34"/>
      <c r="I176" s="32"/>
      <c r="J176" s="32"/>
      <c r="K176" s="32"/>
    </row>
    <row r="177" s="30" customFormat="1" customHeight="1" spans="1:11">
      <c r="A177" s="31"/>
      <c r="B177" s="32"/>
      <c r="C177" s="32"/>
      <c r="D177" s="32"/>
      <c r="E177" s="32"/>
      <c r="F177" s="32"/>
      <c r="G177" s="34"/>
      <c r="H177" s="34"/>
      <c r="I177" s="32"/>
      <c r="J177" s="32"/>
      <c r="K177" s="32"/>
    </row>
    <row r="178" s="30" customFormat="1" customHeight="1" spans="1:11">
      <c r="A178" s="31"/>
      <c r="B178" s="32"/>
      <c r="C178" s="32"/>
      <c r="D178" s="32"/>
      <c r="E178" s="32"/>
      <c r="F178" s="32"/>
      <c r="G178" s="34"/>
      <c r="H178" s="34"/>
      <c r="I178" s="32"/>
      <c r="J178" s="32"/>
      <c r="K178" s="32"/>
    </row>
    <row r="179" s="30" customFormat="1" customHeight="1" spans="1:11">
      <c r="A179" s="31"/>
      <c r="B179" s="32"/>
      <c r="C179" s="32"/>
      <c r="D179" s="32"/>
      <c r="E179" s="32"/>
      <c r="F179" s="32"/>
      <c r="G179" s="34"/>
      <c r="H179" s="34"/>
      <c r="I179" s="32"/>
      <c r="J179" s="32"/>
      <c r="K179" s="32"/>
    </row>
    <row r="180" s="30" customFormat="1" customHeight="1" spans="1:11">
      <c r="A180" s="31"/>
      <c r="B180" s="32"/>
      <c r="C180" s="32"/>
      <c r="D180" s="32"/>
      <c r="E180" s="32"/>
      <c r="F180" s="32"/>
      <c r="G180" s="34"/>
      <c r="H180" s="34"/>
      <c r="I180" s="32"/>
      <c r="J180" s="32"/>
      <c r="K180" s="32"/>
    </row>
    <row r="181" s="30" customFormat="1" customHeight="1" spans="1:11">
      <c r="A181" s="31"/>
      <c r="B181" s="32"/>
      <c r="C181" s="32"/>
      <c r="D181" s="32"/>
      <c r="E181" s="32"/>
      <c r="F181" s="32"/>
      <c r="G181" s="34"/>
      <c r="H181" s="34"/>
      <c r="I181" s="32"/>
      <c r="J181" s="32"/>
      <c r="K181" s="32"/>
    </row>
    <row r="182" s="30" customFormat="1" customHeight="1" spans="1:11">
      <c r="A182" s="31"/>
      <c r="B182" s="32"/>
      <c r="C182" s="32"/>
      <c r="D182" s="32"/>
      <c r="E182" s="32"/>
      <c r="F182" s="32"/>
      <c r="G182" s="34"/>
      <c r="H182" s="34"/>
      <c r="I182" s="32"/>
      <c r="J182" s="32"/>
      <c r="K182" s="32"/>
    </row>
    <row r="183" s="30" customFormat="1" customHeight="1" spans="1:11">
      <c r="A183" s="31"/>
      <c r="B183" s="32"/>
      <c r="C183" s="32"/>
      <c r="D183" s="32"/>
      <c r="E183" s="32"/>
      <c r="F183" s="32"/>
      <c r="G183" s="34"/>
      <c r="H183" s="34"/>
      <c r="I183" s="32"/>
      <c r="J183" s="32"/>
      <c r="K183" s="32"/>
    </row>
    <row r="184" s="30" customFormat="1" customHeight="1" spans="1:11">
      <c r="A184" s="31"/>
      <c r="B184" s="32"/>
      <c r="C184" s="32"/>
      <c r="D184" s="32"/>
      <c r="E184" s="32"/>
      <c r="F184" s="32"/>
      <c r="G184" s="34"/>
      <c r="H184" s="34"/>
      <c r="I184" s="32"/>
      <c r="J184" s="32"/>
      <c r="K184" s="32"/>
    </row>
    <row r="185" s="30" customFormat="1" customHeight="1" spans="1:11">
      <c r="A185" s="31"/>
      <c r="B185" s="32"/>
      <c r="C185" s="32"/>
      <c r="D185" s="32"/>
      <c r="E185" s="32"/>
      <c r="F185" s="32"/>
      <c r="G185" s="34"/>
      <c r="H185" s="34"/>
      <c r="I185" s="32"/>
      <c r="J185" s="32"/>
      <c r="K185" s="32"/>
    </row>
    <row r="186" s="30" customFormat="1" customHeight="1" spans="1:11">
      <c r="A186" s="31"/>
      <c r="B186" s="32"/>
      <c r="C186" s="32"/>
      <c r="D186" s="32"/>
      <c r="E186" s="32"/>
      <c r="F186" s="32"/>
      <c r="G186" s="34"/>
      <c r="H186" s="34"/>
      <c r="I186" s="32"/>
      <c r="J186" s="32"/>
      <c r="K186" s="32"/>
    </row>
    <row r="187" s="30" customFormat="1" customHeight="1" spans="1:11">
      <c r="A187" s="31"/>
      <c r="B187" s="32"/>
      <c r="C187" s="32"/>
      <c r="D187" s="32"/>
      <c r="E187" s="32"/>
      <c r="F187" s="32"/>
      <c r="G187" s="34"/>
      <c r="H187" s="34"/>
      <c r="I187" s="32"/>
      <c r="J187" s="32"/>
      <c r="K187" s="32"/>
    </row>
    <row r="188" s="30" customFormat="1" customHeight="1" spans="1:11">
      <c r="A188" s="31"/>
      <c r="B188" s="32"/>
      <c r="C188" s="32"/>
      <c r="D188" s="32"/>
      <c r="E188" s="32"/>
      <c r="F188" s="32"/>
      <c r="G188" s="34"/>
      <c r="H188" s="34"/>
      <c r="I188" s="32"/>
      <c r="J188" s="32"/>
      <c r="K188" s="32"/>
    </row>
    <row r="189" s="30" customFormat="1" customHeight="1" spans="1:11">
      <c r="A189" s="31"/>
      <c r="B189" s="32"/>
      <c r="C189" s="32"/>
      <c r="D189" s="32"/>
      <c r="E189" s="32"/>
      <c r="F189" s="32"/>
      <c r="G189" s="34"/>
      <c r="H189" s="34"/>
      <c r="I189" s="32"/>
      <c r="J189" s="32"/>
      <c r="K189" s="32"/>
    </row>
    <row r="190" s="30" customFormat="1" customHeight="1" spans="1:11">
      <c r="A190" s="31"/>
      <c r="B190" s="32"/>
      <c r="C190" s="32"/>
      <c r="D190" s="32"/>
      <c r="E190" s="32"/>
      <c r="F190" s="32"/>
      <c r="G190" s="34"/>
      <c r="H190" s="34"/>
      <c r="I190" s="32"/>
      <c r="J190" s="32"/>
      <c r="K190" s="32"/>
    </row>
    <row r="191" s="30" customFormat="1" customHeight="1" spans="1:11">
      <c r="A191" s="31"/>
      <c r="B191" s="32"/>
      <c r="C191" s="32"/>
      <c r="D191" s="32"/>
      <c r="E191" s="32"/>
      <c r="F191" s="32"/>
      <c r="G191" s="34"/>
      <c r="H191" s="34"/>
      <c r="I191" s="32"/>
      <c r="J191" s="32"/>
      <c r="K191" s="32"/>
    </row>
    <row r="192" s="30" customFormat="1" customHeight="1" spans="1:11">
      <c r="A192" s="31"/>
      <c r="B192" s="32"/>
      <c r="C192" s="32"/>
      <c r="D192" s="32"/>
      <c r="E192" s="32"/>
      <c r="F192" s="32"/>
      <c r="G192" s="34"/>
      <c r="H192" s="34"/>
      <c r="I192" s="32"/>
      <c r="J192" s="32"/>
      <c r="K192" s="32"/>
    </row>
    <row r="193" s="30" customFormat="1" customHeight="1" spans="1:11">
      <c r="A193" s="31"/>
      <c r="B193" s="32"/>
      <c r="C193" s="32"/>
      <c r="D193" s="32"/>
      <c r="E193" s="32"/>
      <c r="F193" s="32"/>
      <c r="G193" s="34"/>
      <c r="H193" s="34"/>
      <c r="I193" s="32"/>
      <c r="J193" s="32"/>
      <c r="K193" s="32"/>
    </row>
    <row r="194" s="30" customFormat="1" customHeight="1" spans="1:11">
      <c r="A194" s="31"/>
      <c r="B194" s="32"/>
      <c r="C194" s="32"/>
      <c r="D194" s="32"/>
      <c r="E194" s="32"/>
      <c r="F194" s="32"/>
      <c r="G194" s="34"/>
      <c r="H194" s="34"/>
      <c r="I194" s="32"/>
      <c r="J194" s="32"/>
      <c r="K194" s="32"/>
    </row>
    <row r="195" s="30" customFormat="1" customHeight="1" spans="1:11">
      <c r="A195" s="31"/>
      <c r="B195" s="32"/>
      <c r="C195" s="32"/>
      <c r="D195" s="32"/>
      <c r="E195" s="32"/>
      <c r="F195" s="32"/>
      <c r="G195" s="34"/>
      <c r="H195" s="34"/>
      <c r="I195" s="32"/>
      <c r="J195" s="32"/>
      <c r="K195" s="32"/>
    </row>
    <row r="196" s="30" customFormat="1" customHeight="1" spans="1:11">
      <c r="A196" s="31"/>
      <c r="B196" s="32"/>
      <c r="C196" s="32"/>
      <c r="D196" s="32"/>
      <c r="E196" s="32"/>
      <c r="F196" s="32"/>
      <c r="G196" s="34"/>
      <c r="H196" s="34"/>
      <c r="I196" s="32"/>
      <c r="J196" s="32"/>
      <c r="K196" s="32"/>
    </row>
    <row r="197" s="30" customFormat="1" customHeight="1" spans="1:11">
      <c r="A197" s="31"/>
      <c r="B197" s="32"/>
      <c r="C197" s="32"/>
      <c r="D197" s="32"/>
      <c r="E197" s="32"/>
      <c r="F197" s="32"/>
      <c r="G197" s="34"/>
      <c r="H197" s="34"/>
      <c r="I197" s="32"/>
      <c r="J197" s="32"/>
      <c r="K197" s="32"/>
    </row>
    <row r="198" s="30" customFormat="1" customHeight="1" spans="1:11">
      <c r="A198" s="31"/>
      <c r="B198" s="32"/>
      <c r="C198" s="32"/>
      <c r="D198" s="32"/>
      <c r="E198" s="32"/>
      <c r="F198" s="32"/>
      <c r="G198" s="34"/>
      <c r="H198" s="34"/>
      <c r="I198" s="32"/>
      <c r="J198" s="32"/>
      <c r="K198" s="32"/>
    </row>
    <row r="199" s="30" customFormat="1" customHeight="1" spans="1:11">
      <c r="A199" s="31"/>
      <c r="B199" s="32"/>
      <c r="C199" s="32"/>
      <c r="D199" s="32"/>
      <c r="E199" s="32"/>
      <c r="F199" s="32"/>
      <c r="G199" s="34"/>
      <c r="H199" s="34"/>
      <c r="I199" s="32"/>
      <c r="J199" s="32"/>
      <c r="K199" s="32"/>
    </row>
  </sheetData>
  <sheetCalcPr fullCalcOnLoad="1"/>
  <pageMargins left="0.75" right="0.75" top="1" bottom="1" header="0.51" footer="0.51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P177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4.25" customHeight="1"/>
  <cols>
    <col min="1" max="1" width="9" style="22"/>
    <col min="2" max="2" width="15.625" style="23" customWidth="1"/>
    <col min="3" max="3" width="12.625" style="23" customWidth="1"/>
    <col min="4" max="5" width="14.125" style="23"/>
    <col min="6" max="6" width="9" style="23"/>
    <col min="7" max="7" width="14.125" style="25"/>
    <col min="8" max="8" width="11" style="25" customWidth="1"/>
    <col min="9" max="9" width="9.875" style="23" customWidth="1"/>
    <col min="10" max="11" width="9" style="23"/>
    <col min="12" max="16384" width="9" style="21"/>
  </cols>
  <sheetData>
    <row r="1" s="21" customFormat="1" ht="40.5" spans="1:16">
      <c r="A1" s="11" t="s">
        <v>0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</row>
    <row r="2" s="21" customFormat="1" ht="20" customHeight="1" spans="1:16">
      <c r="A2" s="27"/>
      <c r="B2" s="6"/>
      <c r="C2" s="6"/>
      <c r="D2" s="6"/>
      <c r="E2" s="6"/>
      <c r="F2" s="6"/>
      <c r="G2" s="6"/>
      <c r="H2" s="6"/>
      <c r="I2" s="6">
        <f t="shared" ref="I2:I65" si="0">G2*H2</f>
        <v>0</v>
      </c>
      <c r="J2" s="6"/>
      <c r="K2" s="6"/>
      <c r="L2" s="6"/>
      <c r="M2" s="6">
        <f t="shared" ref="M2:M65" si="1">I2-L2+K2</f>
        <v>0</v>
      </c>
      <c r="N2" s="6">
        <f t="shared" ref="N2:N65" si="2">M2/3600</f>
        <v>0</v>
      </c>
      <c r="O2" s="6"/>
      <c r="P2" s="6"/>
    </row>
    <row r="3" s="21" customFormat="1" ht="20" customHeight="1" spans="1:16">
      <c r="A3" s="27"/>
      <c r="B3" s="6"/>
      <c r="C3" s="6"/>
      <c r="D3" s="6"/>
      <c r="E3" s="6"/>
      <c r="F3" s="6"/>
      <c r="G3" s="6"/>
      <c r="H3" s="6"/>
      <c r="I3" s="6">
        <f t="shared" si="0"/>
        <v>0</v>
      </c>
      <c r="J3" s="6"/>
      <c r="K3" s="6"/>
      <c r="L3" s="6"/>
      <c r="M3" s="6">
        <f t="shared" si="1"/>
        <v>0</v>
      </c>
      <c r="N3" s="6">
        <f t="shared" si="2"/>
        <v>0</v>
      </c>
      <c r="O3" s="6"/>
      <c r="P3" s="6"/>
    </row>
    <row r="4" s="21" customFormat="1" ht="20" customHeight="1" spans="1:16">
      <c r="A4" s="27"/>
      <c r="B4" s="6"/>
      <c r="C4" s="6"/>
      <c r="D4" s="6"/>
      <c r="E4" s="6"/>
      <c r="F4" s="6"/>
      <c r="G4" s="6"/>
      <c r="H4" s="6"/>
      <c r="I4" s="6">
        <f t="shared" si="0"/>
        <v>0</v>
      </c>
      <c r="J4" s="6"/>
      <c r="K4" s="6"/>
      <c r="L4" s="6"/>
      <c r="M4" s="6">
        <f t="shared" si="1"/>
        <v>0</v>
      </c>
      <c r="N4" s="6">
        <f t="shared" si="2"/>
        <v>0</v>
      </c>
      <c r="O4" s="6"/>
      <c r="P4" s="6"/>
    </row>
    <row r="5" s="21" customFormat="1" ht="20" customHeight="1" spans="1:16">
      <c r="A5" s="6"/>
      <c r="B5" s="6"/>
      <c r="C5" s="6"/>
      <c r="D5" s="6"/>
      <c r="E5" s="6"/>
      <c r="F5" s="6"/>
      <c r="G5" s="6"/>
      <c r="H5" s="6"/>
      <c r="I5" s="6">
        <f t="shared" si="0"/>
        <v>0</v>
      </c>
      <c r="J5" s="6"/>
      <c r="K5" s="6"/>
      <c r="L5" s="6"/>
      <c r="M5" s="6">
        <f t="shared" si="1"/>
        <v>0</v>
      </c>
      <c r="N5" s="6">
        <f t="shared" si="2"/>
        <v>0</v>
      </c>
      <c r="O5" s="6"/>
      <c r="P5" s="6"/>
    </row>
    <row r="6" s="21" customFormat="1" ht="20" customHeight="1" spans="1:16">
      <c r="A6" s="6"/>
      <c r="B6" s="6"/>
      <c r="C6" s="6"/>
      <c r="D6" s="6"/>
      <c r="E6" s="6"/>
      <c r="F6" s="6"/>
      <c r="G6" s="6"/>
      <c r="H6" s="6"/>
      <c r="I6" s="6">
        <f t="shared" si="0"/>
        <v>0</v>
      </c>
      <c r="J6" s="6"/>
      <c r="K6" s="6"/>
      <c r="L6" s="6"/>
      <c r="M6" s="6">
        <f t="shared" si="1"/>
        <v>0</v>
      </c>
      <c r="N6" s="6">
        <f t="shared" si="2"/>
        <v>0</v>
      </c>
      <c r="O6" s="6"/>
      <c r="P6" s="6"/>
    </row>
    <row r="7" s="21" customFormat="1" ht="20" customHeight="1" spans="1:16">
      <c r="A7" s="6"/>
      <c r="B7" s="6"/>
      <c r="C7" s="6"/>
      <c r="D7" s="6"/>
      <c r="E7" s="6"/>
      <c r="F7" s="6"/>
      <c r="G7" s="6"/>
      <c r="H7" s="6"/>
      <c r="I7" s="6">
        <f t="shared" si="0"/>
        <v>0</v>
      </c>
      <c r="J7" s="6"/>
      <c r="K7" s="6"/>
      <c r="L7" s="6"/>
      <c r="M7" s="6">
        <f t="shared" si="1"/>
        <v>0</v>
      </c>
      <c r="N7" s="6">
        <f t="shared" si="2"/>
        <v>0</v>
      </c>
      <c r="O7" s="6"/>
      <c r="P7" s="6"/>
    </row>
    <row r="8" s="21" customFormat="1" ht="20" customHeight="1" spans="1:16">
      <c r="A8" s="6"/>
      <c r="B8" s="6"/>
      <c r="C8" s="6"/>
      <c r="D8" s="6"/>
      <c r="E8" s="6"/>
      <c r="F8" s="6"/>
      <c r="G8" s="6"/>
      <c r="H8" s="6"/>
      <c r="I8" s="6">
        <f t="shared" si="0"/>
        <v>0</v>
      </c>
      <c r="J8" s="6"/>
      <c r="K8" s="6"/>
      <c r="L8" s="6"/>
      <c r="M8" s="6">
        <f t="shared" si="1"/>
        <v>0</v>
      </c>
      <c r="N8" s="6">
        <f t="shared" si="2"/>
        <v>0</v>
      </c>
      <c r="O8" s="6"/>
      <c r="P8" s="6"/>
    </row>
    <row r="9" s="21" customFormat="1" ht="20" customHeight="1" spans="1:16">
      <c r="A9" s="6"/>
      <c r="B9" s="6"/>
      <c r="C9" s="6"/>
      <c r="D9" s="6"/>
      <c r="E9" s="6"/>
      <c r="F9" s="6"/>
      <c r="G9" s="6"/>
      <c r="H9" s="6"/>
      <c r="I9" s="6">
        <f t="shared" si="0"/>
        <v>0</v>
      </c>
      <c r="J9" s="6"/>
      <c r="K9" s="6"/>
      <c r="L9" s="6"/>
      <c r="M9" s="6">
        <f t="shared" si="1"/>
        <v>0</v>
      </c>
      <c r="N9" s="6">
        <f t="shared" si="2"/>
        <v>0</v>
      </c>
      <c r="O9" s="6"/>
      <c r="P9" s="6"/>
    </row>
    <row r="10" s="21" customFormat="1" ht="20" customHeight="1" spans="1:16">
      <c r="A10" s="6"/>
      <c r="B10" s="6"/>
      <c r="C10" s="6"/>
      <c r="D10" s="6"/>
      <c r="E10" s="6"/>
      <c r="F10" s="6"/>
      <c r="G10" s="6"/>
      <c r="H10" s="6"/>
      <c r="I10" s="6">
        <f t="shared" si="0"/>
        <v>0</v>
      </c>
      <c r="J10" s="6"/>
      <c r="K10" s="6"/>
      <c r="L10" s="6"/>
      <c r="M10" s="6">
        <f t="shared" si="1"/>
        <v>0</v>
      </c>
      <c r="N10" s="6">
        <f t="shared" si="2"/>
        <v>0</v>
      </c>
      <c r="O10" s="6"/>
      <c r="P10" s="6"/>
    </row>
    <row r="11" s="21" customFormat="1" ht="20" customHeight="1" spans="1:16">
      <c r="A11" s="6"/>
      <c r="B11" s="6"/>
      <c r="C11" s="6"/>
      <c r="D11" s="6"/>
      <c r="E11" s="6"/>
      <c r="F11" s="6"/>
      <c r="G11" s="6"/>
      <c r="H11" s="6"/>
      <c r="I11" s="6">
        <f t="shared" si="0"/>
        <v>0</v>
      </c>
      <c r="J11" s="6"/>
      <c r="K11" s="6"/>
      <c r="L11" s="6"/>
      <c r="M11" s="6">
        <f t="shared" si="1"/>
        <v>0</v>
      </c>
      <c r="N11" s="6">
        <f t="shared" si="2"/>
        <v>0</v>
      </c>
      <c r="O11" s="6"/>
      <c r="P11" s="6"/>
    </row>
    <row r="12" s="21" customFormat="1" ht="20" customHeight="1" spans="1:16">
      <c r="A12" s="6"/>
      <c r="B12" s="6"/>
      <c r="C12" s="6"/>
      <c r="D12" s="6"/>
      <c r="E12" s="6"/>
      <c r="F12" s="6"/>
      <c r="G12" s="6"/>
      <c r="H12" s="6"/>
      <c r="I12" s="6">
        <f t="shared" si="0"/>
        <v>0</v>
      </c>
      <c r="J12" s="6"/>
      <c r="K12" s="6"/>
      <c r="L12" s="6"/>
      <c r="M12" s="6">
        <f t="shared" si="1"/>
        <v>0</v>
      </c>
      <c r="N12" s="6">
        <f t="shared" si="2"/>
        <v>0</v>
      </c>
      <c r="O12" s="6"/>
      <c r="P12" s="6"/>
    </row>
    <row r="13" s="21" customFormat="1" ht="20" customHeight="1" spans="1:16">
      <c r="A13" s="6"/>
      <c r="B13" s="6"/>
      <c r="C13" s="6"/>
      <c r="D13" s="6"/>
      <c r="E13" s="6"/>
      <c r="F13" s="6"/>
      <c r="G13" s="6"/>
      <c r="H13" s="6"/>
      <c r="I13" s="6">
        <f t="shared" si="0"/>
        <v>0</v>
      </c>
      <c r="J13" s="6"/>
      <c r="K13" s="6"/>
      <c r="L13" s="6"/>
      <c r="M13" s="6">
        <f t="shared" si="1"/>
        <v>0</v>
      </c>
      <c r="N13" s="6">
        <f t="shared" si="2"/>
        <v>0</v>
      </c>
      <c r="O13" s="6"/>
      <c r="P13" s="6"/>
    </row>
    <row r="14" s="21" customFormat="1" ht="20" customHeight="1" spans="1:16">
      <c r="A14" s="6"/>
      <c r="B14" s="6"/>
      <c r="C14" s="6"/>
      <c r="D14" s="6"/>
      <c r="E14" s="6"/>
      <c r="F14" s="6"/>
      <c r="G14" s="6"/>
      <c r="H14" s="6"/>
      <c r="I14" s="6">
        <f t="shared" si="0"/>
        <v>0</v>
      </c>
      <c r="J14" s="6"/>
      <c r="K14" s="6"/>
      <c r="L14" s="6"/>
      <c r="M14" s="6">
        <f t="shared" si="1"/>
        <v>0</v>
      </c>
      <c r="N14" s="6">
        <f t="shared" si="2"/>
        <v>0</v>
      </c>
      <c r="O14" s="6"/>
      <c r="P14" s="6"/>
    </row>
    <row r="15" s="21" customFormat="1" ht="20" customHeight="1" spans="1:16">
      <c r="A15" s="6"/>
      <c r="B15" s="6"/>
      <c r="C15" s="6"/>
      <c r="D15" s="6"/>
      <c r="E15" s="6"/>
      <c r="F15" s="6"/>
      <c r="G15" s="6"/>
      <c r="H15" s="6"/>
      <c r="I15" s="6">
        <f t="shared" si="0"/>
        <v>0</v>
      </c>
      <c r="J15" s="6"/>
      <c r="K15" s="6"/>
      <c r="L15" s="6"/>
      <c r="M15" s="6">
        <f t="shared" si="1"/>
        <v>0</v>
      </c>
      <c r="N15" s="6">
        <f t="shared" si="2"/>
        <v>0</v>
      </c>
      <c r="O15" s="6"/>
      <c r="P15" s="6"/>
    </row>
    <row r="16" s="21" customFormat="1" ht="20" customHeight="1" spans="1:16">
      <c r="A16" s="6"/>
      <c r="B16" s="6"/>
      <c r="C16" s="6"/>
      <c r="D16" s="6"/>
      <c r="E16" s="6"/>
      <c r="F16" s="6"/>
      <c r="G16" s="6"/>
      <c r="H16" s="6"/>
      <c r="I16" s="6">
        <f t="shared" si="0"/>
        <v>0</v>
      </c>
      <c r="J16" s="6"/>
      <c r="K16" s="6"/>
      <c r="L16" s="6"/>
      <c r="M16" s="6">
        <f t="shared" si="1"/>
        <v>0</v>
      </c>
      <c r="N16" s="6">
        <f t="shared" si="2"/>
        <v>0</v>
      </c>
      <c r="O16" s="6"/>
      <c r="P16" s="6"/>
    </row>
    <row r="17" s="21" customFormat="1" ht="20" customHeight="1" spans="1:16">
      <c r="A17" s="6"/>
      <c r="B17" s="6"/>
      <c r="C17" s="6"/>
      <c r="D17" s="6"/>
      <c r="E17" s="6"/>
      <c r="F17" s="6"/>
      <c r="G17" s="6"/>
      <c r="H17" s="6"/>
      <c r="I17" s="6">
        <f t="shared" si="0"/>
        <v>0</v>
      </c>
      <c r="J17" s="6"/>
      <c r="K17" s="6"/>
      <c r="L17" s="6"/>
      <c r="M17" s="6">
        <f t="shared" si="1"/>
        <v>0</v>
      </c>
      <c r="N17" s="6">
        <f t="shared" si="2"/>
        <v>0</v>
      </c>
      <c r="O17" s="6"/>
      <c r="P17" s="6"/>
    </row>
    <row r="18" s="21" customFormat="1" ht="20" customHeight="1" spans="1:16">
      <c r="A18" s="6"/>
      <c r="B18" s="6"/>
      <c r="C18" s="6"/>
      <c r="D18" s="6"/>
      <c r="E18" s="6"/>
      <c r="F18" s="6"/>
      <c r="G18" s="6"/>
      <c r="H18" s="6"/>
      <c r="I18" s="6">
        <f t="shared" si="0"/>
        <v>0</v>
      </c>
      <c r="J18" s="6"/>
      <c r="K18" s="6"/>
      <c r="L18" s="6"/>
      <c r="M18" s="6">
        <f t="shared" si="1"/>
        <v>0</v>
      </c>
      <c r="N18" s="6">
        <f t="shared" si="2"/>
        <v>0</v>
      </c>
      <c r="O18" s="6"/>
      <c r="P18" s="6"/>
    </row>
    <row r="19" s="21" customFormat="1" ht="20" customHeight="1" spans="1:16">
      <c r="A19" s="6"/>
      <c r="B19" s="6"/>
      <c r="C19" s="6"/>
      <c r="D19" s="6"/>
      <c r="E19" s="6"/>
      <c r="F19" s="6"/>
      <c r="G19" s="6"/>
      <c r="H19" s="6"/>
      <c r="I19" s="6">
        <f t="shared" si="0"/>
        <v>0</v>
      </c>
      <c r="J19" s="6"/>
      <c r="K19" s="6"/>
      <c r="L19" s="6"/>
      <c r="M19" s="6">
        <f t="shared" si="1"/>
        <v>0</v>
      </c>
      <c r="N19" s="6">
        <f t="shared" si="2"/>
        <v>0</v>
      </c>
      <c r="O19" s="6"/>
      <c r="P19" s="6"/>
    </row>
    <row r="20" s="21" customFormat="1" ht="20" customHeight="1" spans="1:16">
      <c r="A20" s="6"/>
      <c r="B20" s="6"/>
      <c r="C20" s="6"/>
      <c r="D20" s="6"/>
      <c r="E20" s="6"/>
      <c r="F20" s="6"/>
      <c r="G20" s="6"/>
      <c r="H20" s="6"/>
      <c r="I20" s="6">
        <f t="shared" si="0"/>
        <v>0</v>
      </c>
      <c r="J20" s="6"/>
      <c r="K20" s="6"/>
      <c r="L20" s="6"/>
      <c r="M20" s="6">
        <f t="shared" si="1"/>
        <v>0</v>
      </c>
      <c r="N20" s="6">
        <f t="shared" si="2"/>
        <v>0</v>
      </c>
      <c r="O20" s="6"/>
      <c r="P20" s="6"/>
    </row>
    <row r="21" s="21" customFormat="1" ht="20" customHeight="1" spans="1:16">
      <c r="A21" s="6"/>
      <c r="B21" s="6"/>
      <c r="C21" s="6"/>
      <c r="D21" s="6"/>
      <c r="E21" s="6"/>
      <c r="F21" s="6"/>
      <c r="G21" s="6"/>
      <c r="H21" s="6"/>
      <c r="I21" s="6">
        <f t="shared" si="0"/>
        <v>0</v>
      </c>
      <c r="J21" s="6"/>
      <c r="K21" s="6"/>
      <c r="L21" s="6"/>
      <c r="M21" s="6">
        <f t="shared" si="1"/>
        <v>0</v>
      </c>
      <c r="N21" s="6">
        <f t="shared" si="2"/>
        <v>0</v>
      </c>
      <c r="O21" s="6"/>
      <c r="P21" s="6"/>
    </row>
    <row r="22" s="21" customFormat="1" ht="20" customHeight="1" spans="1:16">
      <c r="A22" s="6"/>
      <c r="B22" s="6"/>
      <c r="C22" s="6"/>
      <c r="D22" s="6"/>
      <c r="E22" s="6"/>
      <c r="F22" s="6"/>
      <c r="G22" s="6"/>
      <c r="H22" s="6"/>
      <c r="I22" s="6">
        <f t="shared" si="0"/>
        <v>0</v>
      </c>
      <c r="J22" s="6"/>
      <c r="K22" s="6"/>
      <c r="L22" s="6"/>
      <c r="M22" s="6">
        <f t="shared" si="1"/>
        <v>0</v>
      </c>
      <c r="N22" s="6">
        <f t="shared" si="2"/>
        <v>0</v>
      </c>
      <c r="O22" s="6"/>
      <c r="P22" s="6"/>
    </row>
    <row r="23" s="21" customFormat="1" ht="20" customHeight="1" spans="1:16">
      <c r="A23" s="6"/>
      <c r="B23" s="6"/>
      <c r="C23" s="6"/>
      <c r="D23" s="6"/>
      <c r="E23" s="6"/>
      <c r="F23" s="6"/>
      <c r="G23" s="6"/>
      <c r="H23" s="6"/>
      <c r="I23" s="6">
        <f t="shared" si="0"/>
        <v>0</v>
      </c>
      <c r="J23" s="6"/>
      <c r="K23" s="6"/>
      <c r="L23" s="6"/>
      <c r="M23" s="6">
        <f t="shared" si="1"/>
        <v>0</v>
      </c>
      <c r="N23" s="6">
        <f t="shared" si="2"/>
        <v>0</v>
      </c>
      <c r="O23" s="6"/>
      <c r="P23" s="6"/>
    </row>
    <row r="24" s="21" customFormat="1" ht="20" customHeight="1" spans="1:16">
      <c r="A24" s="6"/>
      <c r="B24" s="6"/>
      <c r="C24" s="6"/>
      <c r="D24" s="6"/>
      <c r="E24" s="6"/>
      <c r="F24" s="6"/>
      <c r="G24" s="6"/>
      <c r="H24" s="6"/>
      <c r="I24" s="6">
        <f t="shared" si="0"/>
        <v>0</v>
      </c>
      <c r="J24" s="6"/>
      <c r="K24" s="6"/>
      <c r="L24" s="6"/>
      <c r="M24" s="6">
        <f t="shared" si="1"/>
        <v>0</v>
      </c>
      <c r="N24" s="6">
        <f t="shared" si="2"/>
        <v>0</v>
      </c>
      <c r="O24" s="6"/>
      <c r="P24" s="6"/>
    </row>
    <row r="25" s="21" customFormat="1" ht="20" customHeight="1" spans="1:16">
      <c r="A25" s="6"/>
      <c r="B25" s="6"/>
      <c r="C25" s="6"/>
      <c r="D25" s="6"/>
      <c r="E25" s="6"/>
      <c r="F25" s="6"/>
      <c r="G25" s="6"/>
      <c r="H25" s="6"/>
      <c r="I25" s="6">
        <f t="shared" si="0"/>
        <v>0</v>
      </c>
      <c r="J25" s="6"/>
      <c r="K25" s="6"/>
      <c r="L25" s="6"/>
      <c r="M25" s="6">
        <f t="shared" si="1"/>
        <v>0</v>
      </c>
      <c r="N25" s="6">
        <f t="shared" si="2"/>
        <v>0</v>
      </c>
      <c r="O25" s="6"/>
      <c r="P25" s="6"/>
    </row>
    <row r="26" s="21" customFormat="1" ht="20" customHeight="1" spans="1:16">
      <c r="A26" s="6"/>
      <c r="B26" s="6"/>
      <c r="C26" s="6"/>
      <c r="D26" s="6"/>
      <c r="E26" s="6"/>
      <c r="F26" s="6"/>
      <c r="G26" s="6"/>
      <c r="H26" s="6"/>
      <c r="I26" s="6">
        <f t="shared" si="0"/>
        <v>0</v>
      </c>
      <c r="J26" s="6"/>
      <c r="K26" s="6"/>
      <c r="L26" s="6"/>
      <c r="M26" s="6">
        <f t="shared" si="1"/>
        <v>0</v>
      </c>
      <c r="N26" s="6">
        <f t="shared" si="2"/>
        <v>0</v>
      </c>
      <c r="O26" s="6"/>
      <c r="P26" s="6"/>
    </row>
    <row r="27" s="21" customFormat="1" ht="20" customHeight="1" spans="1:16">
      <c r="A27" s="6"/>
      <c r="B27" s="6"/>
      <c r="C27" s="6"/>
      <c r="D27" s="6"/>
      <c r="E27" s="6"/>
      <c r="F27" s="6"/>
      <c r="G27" s="6"/>
      <c r="H27" s="6"/>
      <c r="I27" s="6">
        <f t="shared" si="0"/>
        <v>0</v>
      </c>
      <c r="J27" s="6"/>
      <c r="K27" s="6"/>
      <c r="L27" s="6"/>
      <c r="M27" s="6">
        <f t="shared" si="1"/>
        <v>0</v>
      </c>
      <c r="N27" s="6">
        <f t="shared" si="2"/>
        <v>0</v>
      </c>
      <c r="O27" s="6"/>
      <c r="P27" s="6"/>
    </row>
    <row r="28" s="21" customFormat="1" ht="20" customHeight="1" spans="1:16">
      <c r="A28" s="6"/>
      <c r="B28" s="6"/>
      <c r="C28" s="6"/>
      <c r="D28" s="6"/>
      <c r="E28" s="6"/>
      <c r="F28" s="6"/>
      <c r="G28" s="6"/>
      <c r="H28" s="6"/>
      <c r="I28" s="6">
        <f t="shared" si="0"/>
        <v>0</v>
      </c>
      <c r="J28" s="6"/>
      <c r="K28" s="6"/>
      <c r="L28" s="6"/>
      <c r="M28" s="6">
        <f t="shared" si="1"/>
        <v>0</v>
      </c>
      <c r="N28" s="6">
        <f t="shared" si="2"/>
        <v>0</v>
      </c>
      <c r="O28" s="6"/>
      <c r="P28" s="6"/>
    </row>
    <row r="29" s="21" customFormat="1" ht="20" customHeight="1" spans="1:16">
      <c r="A29" s="6"/>
      <c r="B29" s="6"/>
      <c r="C29" s="6"/>
      <c r="D29" s="6"/>
      <c r="E29" s="6"/>
      <c r="F29" s="6"/>
      <c r="G29" s="6"/>
      <c r="H29" s="6"/>
      <c r="I29" s="6">
        <f t="shared" si="0"/>
        <v>0</v>
      </c>
      <c r="J29" s="6"/>
      <c r="K29" s="6"/>
      <c r="L29" s="6"/>
      <c r="M29" s="6">
        <f t="shared" si="1"/>
        <v>0</v>
      </c>
      <c r="N29" s="6">
        <f t="shared" si="2"/>
        <v>0</v>
      </c>
      <c r="O29" s="6"/>
      <c r="P29" s="6"/>
    </row>
    <row r="30" s="21" customFormat="1" ht="20" customHeight="1" spans="1:16">
      <c r="A30" s="6"/>
      <c r="B30" s="6"/>
      <c r="C30" s="6"/>
      <c r="D30" s="6"/>
      <c r="E30" s="6"/>
      <c r="F30" s="6"/>
      <c r="G30" s="6"/>
      <c r="H30" s="6"/>
      <c r="I30" s="6">
        <f t="shared" si="0"/>
        <v>0</v>
      </c>
      <c r="J30" s="6"/>
      <c r="K30" s="6"/>
      <c r="L30" s="6"/>
      <c r="M30" s="6">
        <f t="shared" si="1"/>
        <v>0</v>
      </c>
      <c r="N30" s="6">
        <f t="shared" si="2"/>
        <v>0</v>
      </c>
      <c r="O30" s="6"/>
      <c r="P30" s="6"/>
    </row>
    <row r="31" s="21" customFormat="1" ht="20" customHeight="1" spans="1:16">
      <c r="A31" s="6"/>
      <c r="B31" s="6"/>
      <c r="C31" s="6"/>
      <c r="D31" s="6"/>
      <c r="E31" s="6"/>
      <c r="F31" s="6"/>
      <c r="G31" s="6"/>
      <c r="H31" s="6"/>
      <c r="I31" s="6">
        <f t="shared" si="0"/>
        <v>0</v>
      </c>
      <c r="J31" s="6"/>
      <c r="K31" s="6"/>
      <c r="L31" s="6"/>
      <c r="M31" s="6">
        <f t="shared" si="1"/>
        <v>0</v>
      </c>
      <c r="N31" s="6">
        <f t="shared" si="2"/>
        <v>0</v>
      </c>
      <c r="O31" s="6"/>
      <c r="P31" s="6"/>
    </row>
    <row r="32" s="21" customFormat="1" ht="20" customHeight="1" spans="1:16">
      <c r="A32" s="6"/>
      <c r="B32" s="6"/>
      <c r="C32" s="6"/>
      <c r="D32" s="6"/>
      <c r="E32" s="6"/>
      <c r="F32" s="6"/>
      <c r="G32" s="6"/>
      <c r="H32" s="6"/>
      <c r="I32" s="6">
        <f t="shared" si="0"/>
        <v>0</v>
      </c>
      <c r="J32" s="6"/>
      <c r="K32" s="6"/>
      <c r="L32" s="6"/>
      <c r="M32" s="6">
        <f t="shared" si="1"/>
        <v>0</v>
      </c>
      <c r="N32" s="6">
        <f t="shared" si="2"/>
        <v>0</v>
      </c>
      <c r="O32" s="6"/>
      <c r="P32" s="6"/>
    </row>
    <row r="33" s="21" customFormat="1" ht="20" customHeight="1" spans="1:16">
      <c r="A33" s="6"/>
      <c r="B33" s="6"/>
      <c r="C33" s="6"/>
      <c r="D33" s="6"/>
      <c r="E33" s="6"/>
      <c r="F33" s="6"/>
      <c r="G33" s="6"/>
      <c r="H33" s="6"/>
      <c r="I33" s="6">
        <f t="shared" si="0"/>
        <v>0</v>
      </c>
      <c r="J33" s="6"/>
      <c r="K33" s="6"/>
      <c r="L33" s="6"/>
      <c r="M33" s="6">
        <f t="shared" si="1"/>
        <v>0</v>
      </c>
      <c r="N33" s="6">
        <f t="shared" si="2"/>
        <v>0</v>
      </c>
      <c r="O33" s="6"/>
      <c r="P33" s="6"/>
    </row>
    <row r="34" s="21" customFormat="1" ht="20" customHeight="1" spans="1:16">
      <c r="A34" s="6"/>
      <c r="B34" s="6"/>
      <c r="C34" s="6"/>
      <c r="D34" s="6"/>
      <c r="E34" s="6"/>
      <c r="F34" s="6"/>
      <c r="G34" s="6"/>
      <c r="H34" s="6"/>
      <c r="I34" s="6">
        <f t="shared" si="0"/>
        <v>0</v>
      </c>
      <c r="J34" s="6"/>
      <c r="K34" s="6"/>
      <c r="L34" s="6"/>
      <c r="M34" s="6">
        <f t="shared" si="1"/>
        <v>0</v>
      </c>
      <c r="N34" s="6">
        <f t="shared" si="2"/>
        <v>0</v>
      </c>
      <c r="O34" s="6"/>
      <c r="P34" s="6"/>
    </row>
    <row r="35" s="21" customFormat="1" ht="20" customHeight="1" spans="1:16">
      <c r="A35" s="6"/>
      <c r="B35" s="6"/>
      <c r="C35" s="6"/>
      <c r="D35" s="6"/>
      <c r="E35" s="6"/>
      <c r="F35" s="6"/>
      <c r="G35" s="6"/>
      <c r="H35" s="6"/>
      <c r="I35" s="6">
        <f t="shared" si="0"/>
        <v>0</v>
      </c>
      <c r="J35" s="6"/>
      <c r="K35" s="6"/>
      <c r="L35" s="6"/>
      <c r="M35" s="6">
        <f t="shared" si="1"/>
        <v>0</v>
      </c>
      <c r="N35" s="6">
        <f t="shared" si="2"/>
        <v>0</v>
      </c>
      <c r="O35" s="6"/>
      <c r="P35" s="6"/>
    </row>
    <row r="36" s="21" customFormat="1" ht="20" customHeight="1" spans="1:16">
      <c r="A36" s="6"/>
      <c r="B36" s="6"/>
      <c r="C36" s="6"/>
      <c r="D36" s="6"/>
      <c r="E36" s="6"/>
      <c r="F36" s="6"/>
      <c r="G36" s="6"/>
      <c r="H36" s="6"/>
      <c r="I36" s="6">
        <f t="shared" si="0"/>
        <v>0</v>
      </c>
      <c r="J36" s="6"/>
      <c r="K36" s="6"/>
      <c r="L36" s="6"/>
      <c r="M36" s="6">
        <f t="shared" si="1"/>
        <v>0</v>
      </c>
      <c r="N36" s="6">
        <f t="shared" si="2"/>
        <v>0</v>
      </c>
      <c r="O36" s="6"/>
      <c r="P36" s="6"/>
    </row>
    <row r="37" s="21" customFormat="1" ht="20" customHeight="1" spans="1:16">
      <c r="A37" s="6"/>
      <c r="B37" s="6"/>
      <c r="C37" s="6"/>
      <c r="D37" s="6"/>
      <c r="E37" s="6"/>
      <c r="F37" s="6"/>
      <c r="G37" s="6"/>
      <c r="H37" s="6"/>
      <c r="I37" s="6">
        <f t="shared" si="0"/>
        <v>0</v>
      </c>
      <c r="J37" s="6"/>
      <c r="K37" s="6"/>
      <c r="L37" s="6"/>
      <c r="M37" s="6">
        <f t="shared" si="1"/>
        <v>0</v>
      </c>
      <c r="N37" s="6">
        <f t="shared" si="2"/>
        <v>0</v>
      </c>
      <c r="O37" s="6"/>
      <c r="P37" s="6"/>
    </row>
    <row r="38" s="21" customFormat="1" ht="20" customHeight="1" spans="1:16">
      <c r="A38" s="6"/>
      <c r="B38" s="6"/>
      <c r="C38" s="6"/>
      <c r="D38" s="6"/>
      <c r="E38" s="6"/>
      <c r="F38" s="6"/>
      <c r="G38" s="6"/>
      <c r="H38" s="6"/>
      <c r="I38" s="6">
        <f t="shared" si="0"/>
        <v>0</v>
      </c>
      <c r="J38" s="6"/>
      <c r="K38" s="6"/>
      <c r="L38" s="6"/>
      <c r="M38" s="6">
        <f t="shared" si="1"/>
        <v>0</v>
      </c>
      <c r="N38" s="6">
        <f t="shared" si="2"/>
        <v>0</v>
      </c>
      <c r="O38" s="6"/>
      <c r="P38" s="6"/>
    </row>
    <row r="39" s="21" customFormat="1" ht="20" customHeight="1" spans="1:16">
      <c r="A39" s="6"/>
      <c r="B39" s="6"/>
      <c r="C39" s="6"/>
      <c r="D39" s="6"/>
      <c r="E39" s="6"/>
      <c r="F39" s="6"/>
      <c r="G39" s="6"/>
      <c r="H39" s="6"/>
      <c r="I39" s="6">
        <f t="shared" si="0"/>
        <v>0</v>
      </c>
      <c r="J39" s="6"/>
      <c r="K39" s="6"/>
      <c r="L39" s="6"/>
      <c r="M39" s="6">
        <f t="shared" si="1"/>
        <v>0</v>
      </c>
      <c r="N39" s="6">
        <f t="shared" si="2"/>
        <v>0</v>
      </c>
      <c r="O39" s="6"/>
      <c r="P39" s="6"/>
    </row>
    <row r="40" s="21" customFormat="1" ht="20" customHeight="1" spans="1:16">
      <c r="A40" s="6"/>
      <c r="B40" s="6"/>
      <c r="C40" s="6"/>
      <c r="D40" s="6"/>
      <c r="E40" s="6"/>
      <c r="F40" s="6"/>
      <c r="G40" s="6"/>
      <c r="H40" s="6"/>
      <c r="I40" s="6">
        <f t="shared" si="0"/>
        <v>0</v>
      </c>
      <c r="J40" s="6"/>
      <c r="K40" s="6"/>
      <c r="L40" s="6"/>
      <c r="M40" s="6">
        <f t="shared" si="1"/>
        <v>0</v>
      </c>
      <c r="N40" s="6">
        <f t="shared" si="2"/>
        <v>0</v>
      </c>
      <c r="O40" s="6"/>
      <c r="P40" s="6"/>
    </row>
    <row r="41" s="21" customFormat="1" ht="20" customHeight="1" spans="1:16">
      <c r="A41" s="6"/>
      <c r="B41" s="6"/>
      <c r="C41" s="6"/>
      <c r="D41" s="6"/>
      <c r="E41" s="6"/>
      <c r="F41" s="6"/>
      <c r="G41" s="6"/>
      <c r="H41" s="6"/>
      <c r="I41" s="6">
        <f t="shared" si="0"/>
        <v>0</v>
      </c>
      <c r="J41" s="6"/>
      <c r="K41" s="6"/>
      <c r="L41" s="6"/>
      <c r="M41" s="6">
        <f t="shared" si="1"/>
        <v>0</v>
      </c>
      <c r="N41" s="6">
        <f t="shared" si="2"/>
        <v>0</v>
      </c>
      <c r="O41" s="6"/>
      <c r="P41" s="6"/>
    </row>
    <row r="42" s="21" customFormat="1" ht="20" customHeight="1" spans="1:16">
      <c r="A42" s="22"/>
      <c r="B42" s="23"/>
      <c r="C42" s="23"/>
      <c r="D42" s="23"/>
      <c r="E42" s="23"/>
      <c r="F42" s="23"/>
      <c r="G42" s="25"/>
      <c r="H42" s="25"/>
      <c r="I42" s="6">
        <f t="shared" si="0"/>
        <v>0</v>
      </c>
      <c r="J42" s="23"/>
      <c r="K42" s="23"/>
      <c r="M42" s="6">
        <f t="shared" si="1"/>
        <v>0</v>
      </c>
      <c r="N42" s="6">
        <f t="shared" si="2"/>
        <v>0</v>
      </c>
    </row>
    <row r="43" s="21" customFormat="1" ht="20" customHeight="1" spans="1:16">
      <c r="A43" s="22"/>
      <c r="B43" s="23"/>
      <c r="C43" s="23"/>
      <c r="D43" s="23"/>
      <c r="E43" s="23"/>
      <c r="F43" s="23"/>
      <c r="G43" s="25"/>
      <c r="H43" s="25"/>
      <c r="I43" s="6">
        <f t="shared" si="0"/>
        <v>0</v>
      </c>
      <c r="J43" s="23"/>
      <c r="K43" s="23"/>
      <c r="M43" s="6">
        <f t="shared" si="1"/>
        <v>0</v>
      </c>
      <c r="N43" s="6">
        <f t="shared" si="2"/>
        <v>0</v>
      </c>
    </row>
    <row r="44" s="21" customFormat="1" ht="20" customHeight="1" spans="1:16">
      <c r="A44" s="22"/>
      <c r="B44" s="23"/>
      <c r="C44" s="23"/>
      <c r="D44" s="23"/>
      <c r="E44" s="23"/>
      <c r="F44" s="23"/>
      <c r="G44" s="25"/>
      <c r="H44" s="25"/>
      <c r="I44" s="6">
        <f t="shared" si="0"/>
        <v>0</v>
      </c>
      <c r="J44" s="23"/>
      <c r="K44" s="23"/>
      <c r="M44" s="6">
        <f t="shared" si="1"/>
        <v>0</v>
      </c>
      <c r="N44" s="6">
        <f t="shared" si="2"/>
        <v>0</v>
      </c>
    </row>
    <row r="45" s="21" customFormat="1" ht="20" customHeight="1" spans="1:16">
      <c r="A45" s="22"/>
      <c r="B45" s="23"/>
      <c r="C45" s="23"/>
      <c r="D45" s="23"/>
      <c r="E45" s="23"/>
      <c r="F45" s="23"/>
      <c r="G45" s="25"/>
      <c r="H45" s="25"/>
      <c r="I45" s="6">
        <f t="shared" si="0"/>
        <v>0</v>
      </c>
      <c r="J45" s="23"/>
      <c r="K45" s="23"/>
      <c r="M45" s="6">
        <f t="shared" si="1"/>
        <v>0</v>
      </c>
      <c r="N45" s="6">
        <f t="shared" si="2"/>
        <v>0</v>
      </c>
    </row>
    <row r="46" s="21" customFormat="1" ht="20" customHeight="1" spans="1:16">
      <c r="A46" s="22"/>
      <c r="B46" s="23"/>
      <c r="C46" s="23"/>
      <c r="D46" s="23"/>
      <c r="E46" s="23"/>
      <c r="F46" s="23"/>
      <c r="G46" s="25"/>
      <c r="H46" s="25"/>
      <c r="I46" s="6">
        <f t="shared" si="0"/>
        <v>0</v>
      </c>
      <c r="J46" s="23"/>
      <c r="K46" s="23"/>
      <c r="M46" s="6">
        <f t="shared" si="1"/>
        <v>0</v>
      </c>
      <c r="N46" s="6">
        <f t="shared" si="2"/>
        <v>0</v>
      </c>
    </row>
    <row r="47" s="21" customFormat="1" ht="20" customHeight="1" spans="1:16">
      <c r="A47" s="22"/>
      <c r="B47" s="23"/>
      <c r="C47" s="23"/>
      <c r="D47" s="23"/>
      <c r="E47" s="23"/>
      <c r="F47" s="23"/>
      <c r="G47" s="25"/>
      <c r="H47" s="25"/>
      <c r="I47" s="6">
        <f t="shared" si="0"/>
        <v>0</v>
      </c>
      <c r="J47" s="23"/>
      <c r="K47" s="23"/>
      <c r="M47" s="6">
        <f t="shared" si="1"/>
        <v>0</v>
      </c>
      <c r="N47" s="6">
        <f t="shared" si="2"/>
        <v>0</v>
      </c>
    </row>
    <row r="48" s="21" customFormat="1" ht="20" customHeight="1" spans="1:16">
      <c r="A48" s="22"/>
      <c r="B48" s="23"/>
      <c r="C48" s="23"/>
      <c r="D48" s="23"/>
      <c r="E48" s="23"/>
      <c r="F48" s="23"/>
      <c r="G48" s="25"/>
      <c r="H48" s="25"/>
      <c r="I48" s="6">
        <f t="shared" si="0"/>
        <v>0</v>
      </c>
      <c r="J48" s="23"/>
      <c r="K48" s="23"/>
      <c r="M48" s="6">
        <f t="shared" si="1"/>
        <v>0</v>
      </c>
      <c r="N48" s="6">
        <f t="shared" si="2"/>
        <v>0</v>
      </c>
    </row>
    <row r="49" s="21" customFormat="1" ht="20" customHeight="1" spans="1:14">
      <c r="A49" s="22"/>
      <c r="B49" s="23"/>
      <c r="C49" s="23"/>
      <c r="D49" s="23"/>
      <c r="E49" s="23"/>
      <c r="F49" s="23"/>
      <c r="G49" s="25"/>
      <c r="H49" s="25"/>
      <c r="I49" s="6">
        <f t="shared" si="0"/>
        <v>0</v>
      </c>
      <c r="J49" s="23"/>
      <c r="K49" s="23"/>
      <c r="M49" s="6">
        <f t="shared" si="1"/>
        <v>0</v>
      </c>
      <c r="N49" s="6">
        <f t="shared" si="2"/>
        <v>0</v>
      </c>
    </row>
    <row r="50" s="21" customFormat="1" ht="20" customHeight="1" spans="1:14">
      <c r="A50" s="22"/>
      <c r="B50" s="23"/>
      <c r="C50" s="23"/>
      <c r="D50" s="23"/>
      <c r="E50" s="23"/>
      <c r="F50" s="23"/>
      <c r="G50" s="25"/>
      <c r="H50" s="25"/>
      <c r="I50" s="6">
        <f t="shared" si="0"/>
        <v>0</v>
      </c>
      <c r="J50" s="23"/>
      <c r="K50" s="23"/>
      <c r="M50" s="6">
        <f t="shared" si="1"/>
        <v>0</v>
      </c>
      <c r="N50" s="6">
        <f t="shared" si="2"/>
        <v>0</v>
      </c>
    </row>
    <row r="51" s="21" customFormat="1" ht="20" customHeight="1" spans="1:14">
      <c r="A51" s="22"/>
      <c r="B51" s="23"/>
      <c r="C51" s="23"/>
      <c r="D51" s="23"/>
      <c r="E51" s="23"/>
      <c r="F51" s="23"/>
      <c r="G51" s="25"/>
      <c r="H51" s="25"/>
      <c r="I51" s="6">
        <f t="shared" si="0"/>
        <v>0</v>
      </c>
      <c r="J51" s="23"/>
      <c r="K51" s="23"/>
      <c r="M51" s="6">
        <f t="shared" si="1"/>
        <v>0</v>
      </c>
      <c r="N51" s="6">
        <f t="shared" si="2"/>
        <v>0</v>
      </c>
    </row>
    <row r="52" s="21" customFormat="1" ht="20" customHeight="1" spans="1:14">
      <c r="A52" s="22"/>
      <c r="B52" s="23"/>
      <c r="C52" s="23"/>
      <c r="D52" s="23"/>
      <c r="E52" s="23"/>
      <c r="F52" s="23"/>
      <c r="G52" s="25"/>
      <c r="H52" s="25"/>
      <c r="I52" s="6">
        <f t="shared" si="0"/>
        <v>0</v>
      </c>
      <c r="J52" s="23"/>
      <c r="K52" s="23"/>
      <c r="M52" s="6">
        <f t="shared" si="1"/>
        <v>0</v>
      </c>
      <c r="N52" s="6">
        <f t="shared" si="2"/>
        <v>0</v>
      </c>
    </row>
    <row r="53" s="21" customFormat="1" ht="20" customHeight="1" spans="1:14">
      <c r="A53" s="22"/>
      <c r="B53" s="23"/>
      <c r="C53" s="23"/>
      <c r="D53" s="23"/>
      <c r="E53" s="23"/>
      <c r="F53" s="23"/>
      <c r="G53" s="25"/>
      <c r="H53" s="25"/>
      <c r="I53" s="6">
        <f t="shared" si="0"/>
        <v>0</v>
      </c>
      <c r="J53" s="23"/>
      <c r="K53" s="23"/>
      <c r="M53" s="6">
        <f t="shared" si="1"/>
        <v>0</v>
      </c>
      <c r="N53" s="6">
        <f t="shared" si="2"/>
        <v>0</v>
      </c>
    </row>
    <row r="54" s="21" customFormat="1" ht="20" customHeight="1" spans="1:14">
      <c r="A54" s="22"/>
      <c r="B54" s="23"/>
      <c r="C54" s="23"/>
      <c r="D54" s="23"/>
      <c r="E54" s="23"/>
      <c r="F54" s="23"/>
      <c r="G54" s="25"/>
      <c r="H54" s="25"/>
      <c r="I54" s="6">
        <f t="shared" si="0"/>
        <v>0</v>
      </c>
      <c r="J54" s="23"/>
      <c r="K54" s="23"/>
      <c r="M54" s="6">
        <f t="shared" si="1"/>
        <v>0</v>
      </c>
      <c r="N54" s="6">
        <f t="shared" si="2"/>
        <v>0</v>
      </c>
    </row>
    <row r="55" s="21" customFormat="1" ht="20" customHeight="1" spans="1:14">
      <c r="A55" s="22"/>
      <c r="B55" s="23"/>
      <c r="C55" s="23"/>
      <c r="D55" s="23"/>
      <c r="E55" s="23"/>
      <c r="F55" s="23"/>
      <c r="G55" s="25"/>
      <c r="H55" s="25"/>
      <c r="I55" s="6">
        <f t="shared" si="0"/>
        <v>0</v>
      </c>
      <c r="J55" s="23"/>
      <c r="K55" s="23"/>
      <c r="M55" s="6">
        <f t="shared" si="1"/>
        <v>0</v>
      </c>
      <c r="N55" s="6">
        <f t="shared" si="2"/>
        <v>0</v>
      </c>
    </row>
    <row r="56" s="21" customFormat="1" ht="20" customHeight="1" spans="1:14">
      <c r="A56" s="22"/>
      <c r="B56" s="23"/>
      <c r="C56" s="23"/>
      <c r="D56" s="23"/>
      <c r="E56" s="23"/>
      <c r="F56" s="23"/>
      <c r="G56" s="25"/>
      <c r="H56" s="25"/>
      <c r="I56" s="6">
        <f t="shared" si="0"/>
        <v>0</v>
      </c>
      <c r="J56" s="23"/>
      <c r="K56" s="23"/>
      <c r="M56" s="6">
        <f t="shared" si="1"/>
        <v>0</v>
      </c>
      <c r="N56" s="6">
        <f t="shared" si="2"/>
        <v>0</v>
      </c>
    </row>
    <row r="57" s="21" customFormat="1" ht="20" customHeight="1" spans="1:14">
      <c r="A57" s="22"/>
      <c r="B57" s="23"/>
      <c r="C57" s="23"/>
      <c r="D57" s="23"/>
      <c r="E57" s="23"/>
      <c r="F57" s="23"/>
      <c r="G57" s="25"/>
      <c r="H57" s="25"/>
      <c r="I57" s="6">
        <f t="shared" si="0"/>
        <v>0</v>
      </c>
      <c r="J57" s="23"/>
      <c r="K57" s="23"/>
      <c r="M57" s="6">
        <f t="shared" si="1"/>
        <v>0</v>
      </c>
      <c r="N57" s="6">
        <f t="shared" si="2"/>
        <v>0</v>
      </c>
    </row>
    <row r="58" s="21" customFormat="1" ht="20" customHeight="1" spans="1:14">
      <c r="A58" s="22"/>
      <c r="B58" s="23"/>
      <c r="C58" s="23"/>
      <c r="D58" s="23"/>
      <c r="E58" s="23"/>
      <c r="F58" s="23"/>
      <c r="G58" s="25"/>
      <c r="H58" s="25"/>
      <c r="I58" s="6">
        <f t="shared" si="0"/>
        <v>0</v>
      </c>
      <c r="J58" s="23"/>
      <c r="K58" s="23"/>
      <c r="M58" s="6">
        <f t="shared" si="1"/>
        <v>0</v>
      </c>
      <c r="N58" s="6">
        <f t="shared" si="2"/>
        <v>0</v>
      </c>
    </row>
    <row r="59" s="21" customFormat="1" ht="20" customHeight="1" spans="1:14">
      <c r="A59" s="22"/>
      <c r="B59" s="23"/>
      <c r="C59" s="23"/>
      <c r="D59" s="23"/>
      <c r="E59" s="23"/>
      <c r="F59" s="23"/>
      <c r="G59" s="25"/>
      <c r="H59" s="25"/>
      <c r="I59" s="6">
        <f t="shared" si="0"/>
        <v>0</v>
      </c>
      <c r="J59" s="23"/>
      <c r="K59" s="23"/>
      <c r="M59" s="6">
        <f t="shared" si="1"/>
        <v>0</v>
      </c>
      <c r="N59" s="6">
        <f t="shared" si="2"/>
        <v>0</v>
      </c>
    </row>
    <row r="60" s="21" customFormat="1" ht="20" customHeight="1" spans="1:14">
      <c r="A60" s="22"/>
      <c r="B60" s="23"/>
      <c r="C60" s="23"/>
      <c r="D60" s="23"/>
      <c r="E60" s="23"/>
      <c r="F60" s="23"/>
      <c r="G60" s="25"/>
      <c r="H60" s="25"/>
      <c r="I60" s="6">
        <f t="shared" si="0"/>
        <v>0</v>
      </c>
      <c r="J60" s="23"/>
      <c r="K60" s="23"/>
      <c r="M60" s="6">
        <f t="shared" si="1"/>
        <v>0</v>
      </c>
      <c r="N60" s="6">
        <f t="shared" si="2"/>
        <v>0</v>
      </c>
    </row>
    <row r="61" s="21" customFormat="1" ht="20" customHeight="1" spans="1:14">
      <c r="A61" s="22"/>
      <c r="B61" s="23"/>
      <c r="C61" s="23"/>
      <c r="D61" s="23"/>
      <c r="E61" s="23"/>
      <c r="F61" s="23"/>
      <c r="G61" s="25"/>
      <c r="H61" s="25"/>
      <c r="I61" s="6">
        <f t="shared" si="0"/>
        <v>0</v>
      </c>
      <c r="J61" s="23"/>
      <c r="K61" s="23"/>
      <c r="M61" s="6">
        <f t="shared" si="1"/>
        <v>0</v>
      </c>
      <c r="N61" s="6">
        <f t="shared" si="2"/>
        <v>0</v>
      </c>
    </row>
    <row r="62" s="21" customFormat="1" ht="20" customHeight="1" spans="1:14">
      <c r="A62" s="22"/>
      <c r="B62" s="23"/>
      <c r="C62" s="23"/>
      <c r="D62" s="23"/>
      <c r="E62" s="23"/>
      <c r="F62" s="23"/>
      <c r="G62" s="25"/>
      <c r="H62" s="25"/>
      <c r="I62" s="6">
        <f t="shared" si="0"/>
        <v>0</v>
      </c>
      <c r="J62" s="23"/>
      <c r="K62" s="23"/>
      <c r="M62" s="6">
        <f t="shared" si="1"/>
        <v>0</v>
      </c>
      <c r="N62" s="6">
        <f t="shared" si="2"/>
        <v>0</v>
      </c>
    </row>
    <row r="63" s="21" customFormat="1" ht="20" customHeight="1" spans="1:14">
      <c r="A63" s="22"/>
      <c r="B63" s="23"/>
      <c r="C63" s="23"/>
      <c r="D63" s="23"/>
      <c r="E63" s="23"/>
      <c r="F63" s="23"/>
      <c r="G63" s="25"/>
      <c r="H63" s="25"/>
      <c r="I63" s="6">
        <f t="shared" si="0"/>
        <v>0</v>
      </c>
      <c r="J63" s="23"/>
      <c r="K63" s="23"/>
      <c r="M63" s="6">
        <f t="shared" si="1"/>
        <v>0</v>
      </c>
      <c r="N63" s="6">
        <f t="shared" si="2"/>
        <v>0</v>
      </c>
    </row>
    <row r="64" s="21" customFormat="1" ht="20" customHeight="1" spans="1:14">
      <c r="A64" s="22"/>
      <c r="B64" s="23"/>
      <c r="C64" s="23"/>
      <c r="D64" s="23"/>
      <c r="E64" s="23"/>
      <c r="F64" s="23"/>
      <c r="G64" s="25"/>
      <c r="H64" s="25"/>
      <c r="I64" s="6">
        <f t="shared" si="0"/>
        <v>0</v>
      </c>
      <c r="J64" s="23"/>
      <c r="K64" s="23"/>
      <c r="M64" s="6">
        <f t="shared" si="1"/>
        <v>0</v>
      </c>
      <c r="N64" s="6">
        <f t="shared" si="2"/>
        <v>0</v>
      </c>
    </row>
    <row r="65" s="21" customFormat="1" ht="20" customHeight="1" spans="1:14">
      <c r="A65" s="22"/>
      <c r="B65" s="23"/>
      <c r="C65" s="23"/>
      <c r="D65" s="23"/>
      <c r="E65" s="23"/>
      <c r="F65" s="23"/>
      <c r="G65" s="25"/>
      <c r="H65" s="25"/>
      <c r="I65" s="6">
        <f t="shared" si="0"/>
        <v>0</v>
      </c>
      <c r="J65" s="23"/>
      <c r="K65" s="23"/>
      <c r="M65" s="6">
        <f t="shared" si="1"/>
        <v>0</v>
      </c>
      <c r="N65" s="6">
        <f t="shared" si="2"/>
        <v>0</v>
      </c>
    </row>
    <row r="66" s="21" customFormat="1" ht="20" customHeight="1" spans="1:14">
      <c r="A66" s="22"/>
      <c r="B66" s="23"/>
      <c r="C66" s="23"/>
      <c r="D66" s="23"/>
      <c r="E66" s="23"/>
      <c r="F66" s="23"/>
      <c r="G66" s="25"/>
      <c r="H66" s="25"/>
      <c r="I66" s="6">
        <f t="shared" ref="I66:I101" si="3">G66*H66</f>
        <v>0</v>
      </c>
      <c r="J66" s="23"/>
      <c r="K66" s="23"/>
      <c r="M66" s="6">
        <f t="shared" ref="M66:M101" si="4">I66-L66+K66</f>
        <v>0</v>
      </c>
      <c r="N66" s="6">
        <f t="shared" ref="N66:N101" si="5">M66/3600</f>
        <v>0</v>
      </c>
    </row>
    <row r="67" s="21" customFormat="1" ht="20" customHeight="1" spans="1:14">
      <c r="A67" s="22"/>
      <c r="B67" s="23"/>
      <c r="C67" s="23"/>
      <c r="D67" s="23"/>
      <c r="E67" s="23"/>
      <c r="F67" s="23"/>
      <c r="G67" s="25"/>
      <c r="H67" s="25"/>
      <c r="I67" s="6">
        <f t="shared" si="3"/>
        <v>0</v>
      </c>
      <c r="J67" s="23"/>
      <c r="K67" s="23"/>
      <c r="M67" s="6">
        <f t="shared" si="4"/>
        <v>0</v>
      </c>
      <c r="N67" s="6">
        <f t="shared" si="5"/>
        <v>0</v>
      </c>
    </row>
    <row r="68" s="21" customFormat="1" ht="20" customHeight="1" spans="1:14">
      <c r="A68" s="22"/>
      <c r="B68" s="23"/>
      <c r="C68" s="23"/>
      <c r="D68" s="23"/>
      <c r="E68" s="23"/>
      <c r="F68" s="23"/>
      <c r="G68" s="25"/>
      <c r="H68" s="25"/>
      <c r="I68" s="6">
        <f t="shared" si="3"/>
        <v>0</v>
      </c>
      <c r="J68" s="23"/>
      <c r="K68" s="23"/>
      <c r="M68" s="6">
        <f t="shared" si="4"/>
        <v>0</v>
      </c>
      <c r="N68" s="6">
        <f t="shared" si="5"/>
        <v>0</v>
      </c>
    </row>
    <row r="69" s="21" customFormat="1" ht="20" customHeight="1" spans="1:14">
      <c r="A69" s="22"/>
      <c r="B69" s="23"/>
      <c r="C69" s="23"/>
      <c r="D69" s="23"/>
      <c r="E69" s="23"/>
      <c r="F69" s="23"/>
      <c r="G69" s="25"/>
      <c r="H69" s="25"/>
      <c r="I69" s="6">
        <f t="shared" si="3"/>
        <v>0</v>
      </c>
      <c r="J69" s="23"/>
      <c r="K69" s="23"/>
      <c r="M69" s="6">
        <f t="shared" si="4"/>
        <v>0</v>
      </c>
      <c r="N69" s="6">
        <f t="shared" si="5"/>
        <v>0</v>
      </c>
    </row>
    <row r="70" s="21" customFormat="1" ht="20" customHeight="1" spans="1:14">
      <c r="A70" s="22"/>
      <c r="B70" s="23"/>
      <c r="C70" s="23"/>
      <c r="D70" s="23"/>
      <c r="E70" s="23"/>
      <c r="F70" s="23"/>
      <c r="G70" s="25"/>
      <c r="H70" s="25"/>
      <c r="I70" s="6">
        <f t="shared" si="3"/>
        <v>0</v>
      </c>
      <c r="J70" s="23"/>
      <c r="K70" s="23"/>
      <c r="M70" s="6">
        <f t="shared" si="4"/>
        <v>0</v>
      </c>
      <c r="N70" s="6">
        <f t="shared" si="5"/>
        <v>0</v>
      </c>
    </row>
    <row r="71" s="21" customFormat="1" ht="20" customHeight="1" spans="1:14">
      <c r="A71" s="22"/>
      <c r="B71" s="23"/>
      <c r="C71" s="23"/>
      <c r="D71" s="23"/>
      <c r="E71" s="23"/>
      <c r="F71" s="23"/>
      <c r="G71" s="25"/>
      <c r="H71" s="25"/>
      <c r="I71" s="6">
        <f t="shared" si="3"/>
        <v>0</v>
      </c>
      <c r="J71" s="23"/>
      <c r="K71" s="23"/>
      <c r="M71" s="6">
        <f t="shared" si="4"/>
        <v>0</v>
      </c>
      <c r="N71" s="6">
        <f t="shared" si="5"/>
        <v>0</v>
      </c>
    </row>
    <row r="72" s="21" customFormat="1" ht="20" customHeight="1" spans="1:14">
      <c r="A72" s="22"/>
      <c r="B72" s="23"/>
      <c r="C72" s="23"/>
      <c r="D72" s="23"/>
      <c r="E72" s="23"/>
      <c r="F72" s="23"/>
      <c r="G72" s="25"/>
      <c r="H72" s="25"/>
      <c r="I72" s="6">
        <f t="shared" si="3"/>
        <v>0</v>
      </c>
      <c r="J72" s="23"/>
      <c r="K72" s="23"/>
      <c r="M72" s="6">
        <f t="shared" si="4"/>
        <v>0</v>
      </c>
      <c r="N72" s="6">
        <f t="shared" si="5"/>
        <v>0</v>
      </c>
    </row>
    <row r="73" s="21" customFormat="1" ht="20" customHeight="1" spans="1:14">
      <c r="A73" s="22"/>
      <c r="B73" s="23"/>
      <c r="C73" s="23"/>
      <c r="D73" s="23"/>
      <c r="E73" s="23"/>
      <c r="F73" s="23"/>
      <c r="G73" s="25"/>
      <c r="H73" s="25"/>
      <c r="I73" s="6">
        <f t="shared" si="3"/>
        <v>0</v>
      </c>
      <c r="J73" s="23"/>
      <c r="K73" s="23"/>
      <c r="M73" s="6">
        <f t="shared" si="4"/>
        <v>0</v>
      </c>
      <c r="N73" s="6">
        <f t="shared" si="5"/>
        <v>0</v>
      </c>
    </row>
    <row r="74" s="21" customFormat="1" ht="20" customHeight="1" spans="1:14">
      <c r="A74" s="22"/>
      <c r="B74" s="23"/>
      <c r="C74" s="23"/>
      <c r="D74" s="23"/>
      <c r="E74" s="23"/>
      <c r="F74" s="23"/>
      <c r="G74" s="25"/>
      <c r="H74" s="25"/>
      <c r="I74" s="6">
        <f t="shared" si="3"/>
        <v>0</v>
      </c>
      <c r="J74" s="23"/>
      <c r="K74" s="23"/>
      <c r="M74" s="6">
        <f t="shared" si="4"/>
        <v>0</v>
      </c>
      <c r="N74" s="6">
        <f t="shared" si="5"/>
        <v>0</v>
      </c>
    </row>
    <row r="75" s="21" customFormat="1" ht="20" customHeight="1" spans="1:14">
      <c r="A75" s="22"/>
      <c r="B75" s="23"/>
      <c r="C75" s="23"/>
      <c r="D75" s="23"/>
      <c r="E75" s="23"/>
      <c r="F75" s="23"/>
      <c r="G75" s="25"/>
      <c r="H75" s="25"/>
      <c r="I75" s="6">
        <f t="shared" si="3"/>
        <v>0</v>
      </c>
      <c r="J75" s="23"/>
      <c r="K75" s="23"/>
      <c r="M75" s="6">
        <f t="shared" si="4"/>
        <v>0</v>
      </c>
      <c r="N75" s="6">
        <f t="shared" si="5"/>
        <v>0</v>
      </c>
    </row>
    <row r="76" s="21" customFormat="1" ht="20" customHeight="1" spans="1:14">
      <c r="A76" s="22"/>
      <c r="B76" s="23"/>
      <c r="C76" s="23"/>
      <c r="D76" s="23"/>
      <c r="E76" s="23"/>
      <c r="F76" s="23"/>
      <c r="G76" s="25"/>
      <c r="H76" s="25"/>
      <c r="I76" s="6">
        <f t="shared" si="3"/>
        <v>0</v>
      </c>
      <c r="J76" s="23"/>
      <c r="K76" s="23"/>
      <c r="M76" s="6">
        <f t="shared" si="4"/>
        <v>0</v>
      </c>
      <c r="N76" s="6">
        <f t="shared" si="5"/>
        <v>0</v>
      </c>
    </row>
    <row r="77" s="21" customFormat="1" ht="20" customHeight="1" spans="1:14">
      <c r="A77" s="22"/>
      <c r="B77" s="23"/>
      <c r="C77" s="23"/>
      <c r="D77" s="23"/>
      <c r="E77" s="23"/>
      <c r="F77" s="23"/>
      <c r="G77" s="25"/>
      <c r="H77" s="25"/>
      <c r="I77" s="6">
        <f t="shared" si="3"/>
        <v>0</v>
      </c>
      <c r="J77" s="23"/>
      <c r="K77" s="23"/>
      <c r="M77" s="6">
        <f t="shared" si="4"/>
        <v>0</v>
      </c>
      <c r="N77" s="6">
        <f t="shared" si="5"/>
        <v>0</v>
      </c>
    </row>
    <row r="78" s="21" customFormat="1" ht="20" customHeight="1" spans="1:14">
      <c r="A78" s="22"/>
      <c r="B78" s="23"/>
      <c r="C78" s="23"/>
      <c r="D78" s="23"/>
      <c r="E78" s="23"/>
      <c r="F78" s="23"/>
      <c r="G78" s="25"/>
      <c r="H78" s="25"/>
      <c r="I78" s="6">
        <f t="shared" si="3"/>
        <v>0</v>
      </c>
      <c r="J78" s="23"/>
      <c r="K78" s="23"/>
      <c r="M78" s="6">
        <f t="shared" si="4"/>
        <v>0</v>
      </c>
      <c r="N78" s="6">
        <f t="shared" si="5"/>
        <v>0</v>
      </c>
    </row>
    <row r="79" s="21" customFormat="1" ht="20" customHeight="1" spans="1:14">
      <c r="A79" s="22"/>
      <c r="B79" s="23"/>
      <c r="C79" s="23"/>
      <c r="D79" s="23"/>
      <c r="E79" s="23"/>
      <c r="F79" s="23"/>
      <c r="G79" s="25"/>
      <c r="H79" s="25"/>
      <c r="I79" s="6">
        <f t="shared" si="3"/>
        <v>0</v>
      </c>
      <c r="J79" s="23"/>
      <c r="K79" s="23"/>
      <c r="M79" s="6">
        <f t="shared" si="4"/>
        <v>0</v>
      </c>
      <c r="N79" s="6">
        <f t="shared" si="5"/>
        <v>0</v>
      </c>
    </row>
    <row r="80" s="21" customFormat="1" ht="20" customHeight="1" spans="1:14">
      <c r="A80" s="22"/>
      <c r="B80" s="23"/>
      <c r="C80" s="23"/>
      <c r="D80" s="23"/>
      <c r="E80" s="23"/>
      <c r="F80" s="23"/>
      <c r="G80" s="25"/>
      <c r="H80" s="25"/>
      <c r="I80" s="6">
        <f t="shared" si="3"/>
        <v>0</v>
      </c>
      <c r="J80" s="23"/>
      <c r="K80" s="23"/>
      <c r="M80" s="6">
        <f t="shared" si="4"/>
        <v>0</v>
      </c>
      <c r="N80" s="6">
        <f t="shared" si="5"/>
        <v>0</v>
      </c>
    </row>
    <row r="81" s="21" customFormat="1" ht="20" customHeight="1" spans="1:14">
      <c r="A81" s="22"/>
      <c r="B81" s="23"/>
      <c r="C81" s="23"/>
      <c r="D81" s="23"/>
      <c r="E81" s="23"/>
      <c r="F81" s="23"/>
      <c r="G81" s="25"/>
      <c r="H81" s="25"/>
      <c r="I81" s="6">
        <f t="shared" si="3"/>
        <v>0</v>
      </c>
      <c r="J81" s="23"/>
      <c r="K81" s="23"/>
      <c r="M81" s="6">
        <f t="shared" si="4"/>
        <v>0</v>
      </c>
      <c r="N81" s="6">
        <f t="shared" si="5"/>
        <v>0</v>
      </c>
    </row>
    <row r="82" s="21" customFormat="1" ht="20" customHeight="1" spans="1:14">
      <c r="A82" s="22"/>
      <c r="B82" s="23"/>
      <c r="C82" s="23"/>
      <c r="D82" s="23"/>
      <c r="E82" s="23"/>
      <c r="F82" s="23"/>
      <c r="G82" s="25"/>
      <c r="H82" s="25"/>
      <c r="I82" s="6">
        <f t="shared" si="3"/>
        <v>0</v>
      </c>
      <c r="J82" s="23"/>
      <c r="K82" s="23"/>
      <c r="M82" s="6">
        <f t="shared" si="4"/>
        <v>0</v>
      </c>
      <c r="N82" s="6">
        <f t="shared" si="5"/>
        <v>0</v>
      </c>
    </row>
    <row r="83" s="21" customFormat="1" ht="20" customHeight="1" spans="1:14">
      <c r="A83" s="22"/>
      <c r="B83" s="23"/>
      <c r="C83" s="23"/>
      <c r="D83" s="23"/>
      <c r="E83" s="23"/>
      <c r="F83" s="23"/>
      <c r="G83" s="25"/>
      <c r="H83" s="25"/>
      <c r="I83" s="6">
        <f t="shared" si="3"/>
        <v>0</v>
      </c>
      <c r="J83" s="23"/>
      <c r="K83" s="23"/>
      <c r="M83" s="6">
        <f t="shared" si="4"/>
        <v>0</v>
      </c>
      <c r="N83" s="6">
        <f t="shared" si="5"/>
        <v>0</v>
      </c>
    </row>
    <row r="84" s="21" customFormat="1" ht="20" customHeight="1" spans="1:14">
      <c r="A84" s="22"/>
      <c r="B84" s="23"/>
      <c r="C84" s="23"/>
      <c r="D84" s="23"/>
      <c r="E84" s="23"/>
      <c r="F84" s="23"/>
      <c r="G84" s="25"/>
      <c r="H84" s="25"/>
      <c r="I84" s="6">
        <f t="shared" si="3"/>
        <v>0</v>
      </c>
      <c r="J84" s="23"/>
      <c r="K84" s="23"/>
      <c r="M84" s="6">
        <f t="shared" si="4"/>
        <v>0</v>
      </c>
      <c r="N84" s="6">
        <f t="shared" si="5"/>
        <v>0</v>
      </c>
    </row>
    <row r="85" s="21" customFormat="1" ht="20" customHeight="1" spans="1:14">
      <c r="A85" s="22"/>
      <c r="B85" s="23"/>
      <c r="C85" s="23"/>
      <c r="D85" s="23"/>
      <c r="E85" s="23"/>
      <c r="F85" s="23"/>
      <c r="G85" s="25"/>
      <c r="H85" s="25"/>
      <c r="I85" s="6">
        <f t="shared" si="3"/>
        <v>0</v>
      </c>
      <c r="J85" s="23"/>
      <c r="K85" s="23"/>
      <c r="M85" s="6">
        <f t="shared" si="4"/>
        <v>0</v>
      </c>
      <c r="N85" s="6">
        <f t="shared" si="5"/>
        <v>0</v>
      </c>
    </row>
    <row r="86" s="21" customFormat="1" ht="20" customHeight="1" spans="1:14">
      <c r="A86" s="22"/>
      <c r="B86" s="23"/>
      <c r="C86" s="23"/>
      <c r="D86" s="23"/>
      <c r="E86" s="23"/>
      <c r="F86" s="23"/>
      <c r="G86" s="25"/>
      <c r="H86" s="25"/>
      <c r="I86" s="6">
        <f t="shared" si="3"/>
        <v>0</v>
      </c>
      <c r="J86" s="23"/>
      <c r="K86" s="23"/>
      <c r="M86" s="6">
        <f t="shared" si="4"/>
        <v>0</v>
      </c>
      <c r="N86" s="6">
        <f t="shared" si="5"/>
        <v>0</v>
      </c>
    </row>
    <row r="87" s="21" customFormat="1" ht="20" customHeight="1" spans="1:14">
      <c r="A87" s="22"/>
      <c r="B87" s="23"/>
      <c r="C87" s="23"/>
      <c r="D87" s="23"/>
      <c r="E87" s="23"/>
      <c r="F87" s="23"/>
      <c r="G87" s="25"/>
      <c r="H87" s="25"/>
      <c r="I87" s="6">
        <f t="shared" si="3"/>
        <v>0</v>
      </c>
      <c r="J87" s="23"/>
      <c r="K87" s="23"/>
      <c r="M87" s="6">
        <f t="shared" si="4"/>
        <v>0</v>
      </c>
      <c r="N87" s="6">
        <f t="shared" si="5"/>
        <v>0</v>
      </c>
    </row>
    <row r="88" s="21" customFormat="1" ht="20" customHeight="1" spans="1:14">
      <c r="A88" s="22"/>
      <c r="B88" s="23"/>
      <c r="C88" s="23"/>
      <c r="D88" s="23"/>
      <c r="E88" s="23"/>
      <c r="F88" s="23"/>
      <c r="G88" s="25"/>
      <c r="H88" s="25"/>
      <c r="I88" s="6">
        <f t="shared" si="3"/>
        <v>0</v>
      </c>
      <c r="J88" s="23"/>
      <c r="K88" s="23"/>
      <c r="M88" s="6">
        <f t="shared" si="4"/>
        <v>0</v>
      </c>
      <c r="N88" s="6">
        <f t="shared" si="5"/>
        <v>0</v>
      </c>
    </row>
    <row r="89" s="21" customFormat="1" ht="20" customHeight="1" spans="1:14">
      <c r="A89" s="22"/>
      <c r="B89" s="23"/>
      <c r="C89" s="23"/>
      <c r="D89" s="23"/>
      <c r="E89" s="23"/>
      <c r="F89" s="23"/>
      <c r="G89" s="25"/>
      <c r="H89" s="25"/>
      <c r="I89" s="6">
        <f t="shared" si="3"/>
        <v>0</v>
      </c>
      <c r="J89" s="23"/>
      <c r="K89" s="23"/>
      <c r="M89" s="6">
        <f t="shared" si="4"/>
        <v>0</v>
      </c>
      <c r="N89" s="6">
        <f t="shared" si="5"/>
        <v>0</v>
      </c>
    </row>
    <row r="90" s="21" customFormat="1" ht="20" customHeight="1" spans="1:14">
      <c r="A90" s="22"/>
      <c r="B90" s="23"/>
      <c r="C90" s="23"/>
      <c r="D90" s="23"/>
      <c r="E90" s="23"/>
      <c r="F90" s="23"/>
      <c r="G90" s="25"/>
      <c r="H90" s="25"/>
      <c r="I90" s="6">
        <f t="shared" si="3"/>
        <v>0</v>
      </c>
      <c r="J90" s="23"/>
      <c r="K90" s="23"/>
      <c r="M90" s="6">
        <f t="shared" si="4"/>
        <v>0</v>
      </c>
      <c r="N90" s="6">
        <f t="shared" si="5"/>
        <v>0</v>
      </c>
    </row>
    <row r="91" s="21" customFormat="1" ht="20" customHeight="1" spans="1:14">
      <c r="A91" s="22"/>
      <c r="B91" s="23"/>
      <c r="C91" s="23"/>
      <c r="D91" s="23"/>
      <c r="E91" s="23"/>
      <c r="F91" s="23"/>
      <c r="G91" s="25"/>
      <c r="H91" s="25"/>
      <c r="I91" s="6">
        <f t="shared" si="3"/>
        <v>0</v>
      </c>
      <c r="J91" s="23"/>
      <c r="K91" s="23"/>
      <c r="M91" s="6">
        <f t="shared" si="4"/>
        <v>0</v>
      </c>
      <c r="N91" s="6">
        <f t="shared" si="5"/>
        <v>0</v>
      </c>
    </row>
    <row r="92" s="21" customFormat="1" ht="20" customHeight="1" spans="1:14">
      <c r="A92" s="22"/>
      <c r="B92" s="23"/>
      <c r="C92" s="23"/>
      <c r="D92" s="23"/>
      <c r="E92" s="23"/>
      <c r="F92" s="23"/>
      <c r="G92" s="25"/>
      <c r="H92" s="25"/>
      <c r="I92" s="6">
        <f t="shared" si="3"/>
        <v>0</v>
      </c>
      <c r="J92" s="23"/>
      <c r="K92" s="23"/>
      <c r="M92" s="6">
        <f t="shared" si="4"/>
        <v>0</v>
      </c>
      <c r="N92" s="6">
        <f t="shared" si="5"/>
        <v>0</v>
      </c>
    </row>
    <row r="93" s="21" customFormat="1" ht="20" customHeight="1" spans="1:14">
      <c r="A93" s="22"/>
      <c r="B93" s="23"/>
      <c r="C93" s="23"/>
      <c r="D93" s="23"/>
      <c r="E93" s="23"/>
      <c r="F93" s="23"/>
      <c r="G93" s="25"/>
      <c r="H93" s="25"/>
      <c r="I93" s="6">
        <f t="shared" si="3"/>
        <v>0</v>
      </c>
      <c r="J93" s="23"/>
      <c r="K93" s="23"/>
      <c r="M93" s="6">
        <f t="shared" si="4"/>
        <v>0</v>
      </c>
      <c r="N93" s="6">
        <f t="shared" si="5"/>
        <v>0</v>
      </c>
    </row>
    <row r="94" s="21" customFormat="1" ht="20" customHeight="1" spans="1:14">
      <c r="A94" s="22"/>
      <c r="B94" s="23"/>
      <c r="C94" s="23"/>
      <c r="D94" s="23"/>
      <c r="E94" s="23"/>
      <c r="F94" s="23"/>
      <c r="G94" s="25"/>
      <c r="H94" s="25"/>
      <c r="I94" s="6">
        <f t="shared" si="3"/>
        <v>0</v>
      </c>
      <c r="J94" s="23"/>
      <c r="K94" s="23"/>
      <c r="M94" s="6">
        <f t="shared" si="4"/>
        <v>0</v>
      </c>
      <c r="N94" s="6">
        <f t="shared" si="5"/>
        <v>0</v>
      </c>
    </row>
    <row r="95" s="21" customFormat="1" ht="20" customHeight="1" spans="1:14">
      <c r="A95" s="22"/>
      <c r="B95" s="23"/>
      <c r="C95" s="23"/>
      <c r="D95" s="23"/>
      <c r="E95" s="23"/>
      <c r="F95" s="23"/>
      <c r="G95" s="25"/>
      <c r="H95" s="25"/>
      <c r="I95" s="6">
        <f t="shared" si="3"/>
        <v>0</v>
      </c>
      <c r="J95" s="23"/>
      <c r="K95" s="23"/>
      <c r="M95" s="6">
        <f t="shared" si="4"/>
        <v>0</v>
      </c>
      <c r="N95" s="6">
        <f t="shared" si="5"/>
        <v>0</v>
      </c>
    </row>
    <row r="96" s="21" customFormat="1" ht="20" customHeight="1" spans="1:14">
      <c r="A96" s="22"/>
      <c r="B96" s="23"/>
      <c r="C96" s="23"/>
      <c r="D96" s="23"/>
      <c r="E96" s="23"/>
      <c r="F96" s="23"/>
      <c r="G96" s="25"/>
      <c r="H96" s="25"/>
      <c r="I96" s="6">
        <f t="shared" si="3"/>
        <v>0</v>
      </c>
      <c r="J96" s="23"/>
      <c r="K96" s="23"/>
      <c r="M96" s="6">
        <f t="shared" si="4"/>
        <v>0</v>
      </c>
      <c r="N96" s="6">
        <f t="shared" si="5"/>
        <v>0</v>
      </c>
    </row>
    <row r="97" s="21" customFormat="1" ht="20" customHeight="1" spans="1:14">
      <c r="A97" s="22"/>
      <c r="B97" s="23"/>
      <c r="C97" s="23"/>
      <c r="D97" s="23"/>
      <c r="E97" s="23"/>
      <c r="F97" s="23"/>
      <c r="G97" s="25"/>
      <c r="H97" s="25"/>
      <c r="I97" s="6">
        <f t="shared" si="3"/>
        <v>0</v>
      </c>
      <c r="J97" s="23"/>
      <c r="K97" s="23"/>
      <c r="M97" s="6">
        <f t="shared" si="4"/>
        <v>0</v>
      </c>
      <c r="N97" s="6">
        <f t="shared" si="5"/>
        <v>0</v>
      </c>
    </row>
    <row r="98" s="21" customFormat="1" ht="20" customHeight="1" spans="1:14">
      <c r="A98" s="22"/>
      <c r="B98" s="23"/>
      <c r="C98" s="23"/>
      <c r="D98" s="23"/>
      <c r="E98" s="23"/>
      <c r="F98" s="23"/>
      <c r="G98" s="25"/>
      <c r="H98" s="25"/>
      <c r="I98" s="6">
        <f t="shared" si="3"/>
        <v>0</v>
      </c>
      <c r="J98" s="23"/>
      <c r="K98" s="23"/>
      <c r="M98" s="6">
        <f t="shared" si="4"/>
        <v>0</v>
      </c>
      <c r="N98" s="6">
        <f t="shared" si="5"/>
        <v>0</v>
      </c>
    </row>
    <row r="99" s="21" customFormat="1" ht="20" customHeight="1" spans="1:14">
      <c r="A99" s="22"/>
      <c r="B99" s="23"/>
      <c r="C99" s="23"/>
      <c r="D99" s="23"/>
      <c r="E99" s="23"/>
      <c r="F99" s="23"/>
      <c r="G99" s="25"/>
      <c r="H99" s="25"/>
      <c r="I99" s="6">
        <f t="shared" si="3"/>
        <v>0</v>
      </c>
      <c r="J99" s="23"/>
      <c r="K99" s="23"/>
      <c r="M99" s="6">
        <f t="shared" si="4"/>
        <v>0</v>
      </c>
      <c r="N99" s="6">
        <f t="shared" si="5"/>
        <v>0</v>
      </c>
    </row>
    <row r="100" s="21" customFormat="1" ht="20" customHeight="1" spans="1:14">
      <c r="A100" s="22"/>
      <c r="B100" s="23"/>
      <c r="C100" s="23"/>
      <c r="D100" s="23"/>
      <c r="E100" s="23"/>
      <c r="F100" s="23"/>
      <c r="G100" s="25"/>
      <c r="H100" s="25"/>
      <c r="I100" s="6">
        <f t="shared" si="3"/>
        <v>0</v>
      </c>
      <c r="J100" s="23"/>
      <c r="K100" s="23"/>
      <c r="M100" s="6">
        <f t="shared" si="4"/>
        <v>0</v>
      </c>
      <c r="N100" s="6">
        <f t="shared" si="5"/>
        <v>0</v>
      </c>
    </row>
    <row r="101" s="21" customFormat="1" ht="20" customHeight="1" spans="1:14">
      <c r="A101" s="22"/>
      <c r="B101" s="23"/>
      <c r="C101" s="23"/>
      <c r="D101" s="23"/>
      <c r="E101" s="23"/>
      <c r="F101" s="23"/>
      <c r="G101" s="25"/>
      <c r="H101" s="25"/>
      <c r="I101" s="6">
        <f t="shared" si="3"/>
        <v>0</v>
      </c>
      <c r="J101" s="23"/>
      <c r="K101" s="23"/>
      <c r="M101" s="6">
        <f t="shared" si="4"/>
        <v>0</v>
      </c>
      <c r="N101" s="6">
        <f t="shared" si="5"/>
        <v>0</v>
      </c>
    </row>
    <row r="102" s="21" customFormat="1" customHeight="1" spans="1:14">
      <c r="A102" s="22"/>
      <c r="B102" s="23"/>
      <c r="C102" s="23"/>
      <c r="D102" s="23"/>
      <c r="E102" s="23"/>
      <c r="F102" s="23"/>
      <c r="G102" s="25"/>
      <c r="H102" s="25"/>
      <c r="I102" s="23"/>
      <c r="J102" s="23"/>
      <c r="K102" s="23"/>
    </row>
    <row r="103" s="21" customFormat="1" customHeight="1" spans="1:14">
      <c r="A103" s="22"/>
      <c r="B103" s="23"/>
      <c r="C103" s="23"/>
      <c r="D103" s="23"/>
      <c r="E103" s="23"/>
      <c r="F103" s="23"/>
      <c r="G103" s="25"/>
      <c r="H103" s="25"/>
      <c r="I103" s="23"/>
      <c r="J103" s="23"/>
      <c r="K103" s="23"/>
    </row>
    <row r="104" s="21" customFormat="1" customHeight="1" spans="1:14">
      <c r="A104" s="22"/>
      <c r="B104" s="23"/>
      <c r="C104" s="23"/>
      <c r="D104" s="23"/>
      <c r="E104" s="23"/>
      <c r="F104" s="23"/>
      <c r="G104" s="25"/>
      <c r="H104" s="25"/>
      <c r="I104" s="23"/>
      <c r="J104" s="23"/>
      <c r="K104" s="23"/>
    </row>
    <row r="105" s="21" customFormat="1" customHeight="1" spans="1:14">
      <c r="A105" s="22"/>
      <c r="B105" s="23"/>
      <c r="C105" s="23"/>
      <c r="D105" s="23"/>
      <c r="E105" s="23"/>
      <c r="F105" s="23"/>
      <c r="G105" s="25"/>
      <c r="H105" s="25"/>
      <c r="I105" s="23"/>
      <c r="J105" s="23"/>
      <c r="K105" s="23"/>
    </row>
    <row r="106" s="21" customFormat="1" customHeight="1" spans="1:14">
      <c r="A106" s="22"/>
      <c r="B106" s="23"/>
      <c r="C106" s="23"/>
      <c r="D106" s="23"/>
      <c r="E106" s="23"/>
      <c r="F106" s="23"/>
      <c r="G106" s="25"/>
      <c r="H106" s="25"/>
      <c r="I106" s="23"/>
      <c r="J106" s="23"/>
      <c r="K106" s="23"/>
    </row>
    <row r="107" s="21" customFormat="1" customHeight="1" spans="1:14">
      <c r="A107" s="22"/>
      <c r="B107" s="23"/>
      <c r="C107" s="23"/>
      <c r="D107" s="23"/>
      <c r="E107" s="23"/>
      <c r="F107" s="23"/>
      <c r="G107" s="25"/>
      <c r="H107" s="25"/>
      <c r="I107" s="23"/>
      <c r="J107" s="23"/>
      <c r="K107" s="23"/>
    </row>
    <row r="108" s="21" customFormat="1" customHeight="1" spans="1:14">
      <c r="A108" s="22"/>
      <c r="B108" s="23"/>
      <c r="C108" s="23"/>
      <c r="D108" s="23"/>
      <c r="E108" s="23"/>
      <c r="F108" s="23"/>
      <c r="G108" s="25"/>
      <c r="H108" s="25"/>
      <c r="I108" s="23"/>
      <c r="J108" s="23"/>
      <c r="K108" s="23"/>
    </row>
    <row r="109" s="21" customFormat="1" customHeight="1" spans="1:14">
      <c r="A109" s="22"/>
      <c r="B109" s="23"/>
      <c r="C109" s="23"/>
      <c r="D109" s="23"/>
      <c r="E109" s="23"/>
      <c r="F109" s="23"/>
      <c r="G109" s="25"/>
      <c r="H109" s="25"/>
      <c r="I109" s="23"/>
      <c r="J109" s="23"/>
      <c r="K109" s="23"/>
    </row>
    <row r="110" s="21" customFormat="1" customHeight="1" spans="1:14">
      <c r="A110" s="22"/>
      <c r="B110" s="23"/>
      <c r="C110" s="23"/>
      <c r="D110" s="23"/>
      <c r="E110" s="23"/>
      <c r="F110" s="23"/>
      <c r="G110" s="25"/>
      <c r="H110" s="25"/>
      <c r="I110" s="23"/>
      <c r="J110" s="23"/>
      <c r="K110" s="23"/>
    </row>
    <row r="111" s="21" customFormat="1" customHeight="1" spans="1:14">
      <c r="A111" s="22"/>
      <c r="B111" s="23"/>
      <c r="C111" s="23"/>
      <c r="D111" s="23"/>
      <c r="E111" s="23"/>
      <c r="F111" s="23"/>
      <c r="G111" s="25"/>
      <c r="H111" s="25"/>
      <c r="I111" s="23"/>
      <c r="J111" s="23"/>
      <c r="K111" s="23"/>
    </row>
    <row r="112" s="21" customFormat="1" customHeight="1" spans="1:14">
      <c r="A112" s="22"/>
      <c r="B112" s="23"/>
      <c r="C112" s="23"/>
      <c r="D112" s="23"/>
      <c r="E112" s="23"/>
      <c r="F112" s="23"/>
      <c r="G112" s="25"/>
      <c r="H112" s="25"/>
      <c r="I112" s="23"/>
      <c r="J112" s="23"/>
      <c r="K112" s="23"/>
    </row>
    <row r="113" s="21" customFormat="1" customHeight="1" spans="1:11">
      <c r="A113" s="22"/>
      <c r="B113" s="23"/>
      <c r="C113" s="23"/>
      <c r="D113" s="23"/>
      <c r="E113" s="23"/>
      <c r="F113" s="23"/>
      <c r="G113" s="25"/>
      <c r="H113" s="25"/>
      <c r="I113" s="23"/>
      <c r="J113" s="23"/>
      <c r="K113" s="23"/>
    </row>
    <row r="114" s="21" customFormat="1" customHeight="1" spans="1:11">
      <c r="A114" s="22"/>
      <c r="B114" s="23"/>
      <c r="C114" s="23"/>
      <c r="D114" s="23"/>
      <c r="E114" s="23"/>
      <c r="F114" s="23"/>
      <c r="G114" s="25"/>
      <c r="H114" s="25"/>
      <c r="I114" s="23"/>
      <c r="J114" s="23"/>
      <c r="K114" s="23"/>
    </row>
    <row r="115" s="21" customFormat="1" customHeight="1" spans="1:11">
      <c r="A115" s="22"/>
      <c r="B115" s="23"/>
      <c r="C115" s="23"/>
      <c r="D115" s="23"/>
      <c r="E115" s="23"/>
      <c r="F115" s="23"/>
      <c r="G115" s="25"/>
      <c r="H115" s="25"/>
      <c r="I115" s="23"/>
      <c r="J115" s="23"/>
      <c r="K115" s="23"/>
    </row>
    <row r="116" s="21" customFormat="1" customHeight="1" spans="1:11">
      <c r="A116" s="22"/>
      <c r="B116" s="23"/>
      <c r="C116" s="23"/>
      <c r="D116" s="23"/>
      <c r="E116" s="23"/>
      <c r="F116" s="23"/>
      <c r="G116" s="25"/>
      <c r="H116" s="25"/>
      <c r="I116" s="23"/>
      <c r="J116" s="23"/>
      <c r="K116" s="23"/>
    </row>
    <row r="117" s="21" customFormat="1" customHeight="1" spans="1:11">
      <c r="A117" s="22"/>
      <c r="B117" s="23"/>
      <c r="C117" s="23"/>
      <c r="D117" s="23"/>
      <c r="E117" s="23"/>
      <c r="F117" s="23"/>
      <c r="G117" s="25"/>
      <c r="H117" s="25"/>
      <c r="I117" s="23"/>
      <c r="J117" s="23"/>
      <c r="K117" s="23"/>
    </row>
    <row r="118" s="21" customFormat="1" customHeight="1" spans="1:11">
      <c r="A118" s="22"/>
      <c r="B118" s="23"/>
      <c r="C118" s="23"/>
      <c r="D118" s="23"/>
      <c r="E118" s="23"/>
      <c r="F118" s="23"/>
      <c r="G118" s="25"/>
      <c r="H118" s="25"/>
      <c r="I118" s="23"/>
      <c r="J118" s="23"/>
      <c r="K118" s="23"/>
    </row>
    <row r="119" s="21" customFormat="1" customHeight="1" spans="1:11">
      <c r="A119" s="22"/>
      <c r="B119" s="23"/>
      <c r="C119" s="23"/>
      <c r="D119" s="23"/>
      <c r="E119" s="23"/>
      <c r="F119" s="23"/>
      <c r="G119" s="25"/>
      <c r="H119" s="25"/>
      <c r="I119" s="23"/>
      <c r="J119" s="23"/>
      <c r="K119" s="23"/>
    </row>
    <row r="120" s="21" customFormat="1" customHeight="1" spans="1:11">
      <c r="A120" s="22"/>
      <c r="B120" s="23"/>
      <c r="C120" s="23"/>
      <c r="D120" s="23"/>
      <c r="E120" s="23"/>
      <c r="F120" s="23"/>
      <c r="G120" s="25"/>
      <c r="H120" s="25"/>
      <c r="I120" s="23"/>
      <c r="J120" s="23"/>
      <c r="K120" s="23"/>
    </row>
    <row r="121" s="21" customFormat="1" customHeight="1" spans="1:11">
      <c r="A121" s="22"/>
      <c r="B121" s="23"/>
      <c r="C121" s="23"/>
      <c r="D121" s="23"/>
      <c r="E121" s="23"/>
      <c r="F121" s="23"/>
      <c r="G121" s="25"/>
      <c r="H121" s="25"/>
      <c r="I121" s="23"/>
      <c r="J121" s="23"/>
      <c r="K121" s="23"/>
    </row>
    <row r="122" s="21" customFormat="1" customHeight="1" spans="1:11">
      <c r="A122" s="22"/>
      <c r="B122" s="23"/>
      <c r="C122" s="23"/>
      <c r="D122" s="23"/>
      <c r="E122" s="23"/>
      <c r="F122" s="23"/>
      <c r="G122" s="25"/>
      <c r="H122" s="25"/>
      <c r="I122" s="23"/>
      <c r="J122" s="23"/>
      <c r="K122" s="23"/>
    </row>
    <row r="123" s="21" customFormat="1" customHeight="1" spans="1:11">
      <c r="A123" s="22"/>
      <c r="B123" s="23"/>
      <c r="C123" s="23"/>
      <c r="D123" s="23"/>
      <c r="E123" s="23"/>
      <c r="F123" s="23"/>
      <c r="G123" s="25"/>
      <c r="H123" s="25"/>
      <c r="I123" s="23"/>
      <c r="J123" s="23"/>
      <c r="K123" s="23"/>
    </row>
    <row r="124" s="21" customFormat="1" customHeight="1" spans="1:11">
      <c r="A124" s="22"/>
      <c r="B124" s="23"/>
      <c r="C124" s="23"/>
      <c r="D124" s="23"/>
      <c r="E124" s="23"/>
      <c r="F124" s="23"/>
      <c r="G124" s="25"/>
      <c r="H124" s="25"/>
      <c r="I124" s="23"/>
      <c r="J124" s="23"/>
      <c r="K124" s="23"/>
    </row>
    <row r="125" s="21" customFormat="1" customHeight="1" spans="1:11">
      <c r="A125" s="22"/>
      <c r="B125" s="23"/>
      <c r="C125" s="23"/>
      <c r="D125" s="23"/>
      <c r="E125" s="23"/>
      <c r="F125" s="23"/>
      <c r="G125" s="25"/>
      <c r="H125" s="25"/>
      <c r="I125" s="23"/>
      <c r="J125" s="23"/>
      <c r="K125" s="23"/>
    </row>
    <row r="126" s="21" customFormat="1" customHeight="1" spans="1:11">
      <c r="A126" s="22"/>
      <c r="B126" s="23"/>
      <c r="C126" s="23"/>
      <c r="D126" s="23"/>
      <c r="E126" s="23"/>
      <c r="F126" s="23"/>
      <c r="G126" s="25"/>
      <c r="H126" s="25"/>
      <c r="I126" s="23"/>
      <c r="J126" s="23"/>
      <c r="K126" s="23"/>
    </row>
    <row r="127" s="21" customFormat="1" customHeight="1" spans="1:11">
      <c r="A127" s="22"/>
      <c r="B127" s="23"/>
      <c r="C127" s="23"/>
      <c r="D127" s="23"/>
      <c r="E127" s="23"/>
      <c r="F127" s="23"/>
      <c r="G127" s="25"/>
      <c r="H127" s="25"/>
      <c r="I127" s="23"/>
      <c r="J127" s="23"/>
      <c r="K127" s="23"/>
    </row>
    <row r="128" s="21" customFormat="1" customHeight="1" spans="1:11">
      <c r="A128" s="22"/>
      <c r="B128" s="23"/>
      <c r="C128" s="23"/>
      <c r="D128" s="23"/>
      <c r="E128" s="23"/>
      <c r="F128" s="23"/>
      <c r="G128" s="25"/>
      <c r="H128" s="25"/>
      <c r="I128" s="23"/>
      <c r="J128" s="23"/>
      <c r="K128" s="23"/>
    </row>
    <row r="129" s="21" customFormat="1" customHeight="1" spans="1:11">
      <c r="A129" s="22"/>
      <c r="B129" s="23"/>
      <c r="C129" s="23"/>
      <c r="D129" s="23"/>
      <c r="E129" s="23"/>
      <c r="F129" s="23"/>
      <c r="G129" s="25"/>
      <c r="H129" s="25"/>
      <c r="I129" s="23"/>
      <c r="J129" s="23"/>
      <c r="K129" s="23"/>
    </row>
    <row r="130" s="21" customFormat="1" customHeight="1" spans="1:11">
      <c r="A130" s="22"/>
      <c r="B130" s="23"/>
      <c r="C130" s="23"/>
      <c r="D130" s="23"/>
      <c r="E130" s="23"/>
      <c r="F130" s="23"/>
      <c r="G130" s="25"/>
      <c r="H130" s="25"/>
      <c r="I130" s="23"/>
      <c r="J130" s="23"/>
      <c r="K130" s="23"/>
    </row>
    <row r="131" s="21" customFormat="1" customHeight="1" spans="1:11">
      <c r="A131" s="22"/>
      <c r="B131" s="23"/>
      <c r="C131" s="23"/>
      <c r="D131" s="23"/>
      <c r="E131" s="23"/>
      <c r="F131" s="23"/>
      <c r="G131" s="25"/>
      <c r="H131" s="25"/>
      <c r="I131" s="23"/>
      <c r="J131" s="23"/>
      <c r="K131" s="23"/>
    </row>
    <row r="132" s="21" customFormat="1" customHeight="1" spans="1:11">
      <c r="A132" s="22"/>
      <c r="B132" s="23"/>
      <c r="C132" s="23"/>
      <c r="D132" s="23"/>
      <c r="E132" s="23"/>
      <c r="F132" s="23"/>
      <c r="G132" s="25"/>
      <c r="H132" s="25"/>
      <c r="I132" s="23"/>
      <c r="J132" s="23"/>
      <c r="K132" s="23"/>
    </row>
    <row r="133" s="21" customFormat="1" customHeight="1" spans="1:11">
      <c r="A133" s="22"/>
      <c r="B133" s="23"/>
      <c r="C133" s="23"/>
      <c r="D133" s="23"/>
      <c r="E133" s="23"/>
      <c r="F133" s="23"/>
      <c r="G133" s="25"/>
      <c r="H133" s="25"/>
      <c r="I133" s="23"/>
      <c r="J133" s="23"/>
      <c r="K133" s="23"/>
    </row>
    <row r="134" s="21" customFormat="1" customHeight="1" spans="1:11">
      <c r="A134" s="22"/>
      <c r="B134" s="23"/>
      <c r="C134" s="23"/>
      <c r="D134" s="23"/>
      <c r="E134" s="23"/>
      <c r="F134" s="23"/>
      <c r="G134" s="25"/>
      <c r="H134" s="25"/>
      <c r="I134" s="23"/>
      <c r="J134" s="23"/>
      <c r="K134" s="23"/>
    </row>
    <row r="135" s="21" customFormat="1" customHeight="1" spans="1:11">
      <c r="A135" s="22"/>
      <c r="B135" s="23"/>
      <c r="C135" s="23"/>
      <c r="D135" s="23"/>
      <c r="E135" s="23"/>
      <c r="F135" s="23"/>
      <c r="G135" s="25"/>
      <c r="H135" s="25"/>
      <c r="I135" s="23"/>
      <c r="J135" s="23"/>
      <c r="K135" s="23"/>
    </row>
    <row r="136" s="21" customFormat="1" customHeight="1" spans="1:11">
      <c r="A136" s="22"/>
      <c r="B136" s="23"/>
      <c r="C136" s="23"/>
      <c r="D136" s="23"/>
      <c r="E136" s="23"/>
      <c r="F136" s="23"/>
      <c r="G136" s="25"/>
      <c r="H136" s="25"/>
      <c r="I136" s="23"/>
      <c r="J136" s="23"/>
      <c r="K136" s="23"/>
    </row>
    <row r="137" s="21" customFormat="1" customHeight="1" spans="1:11">
      <c r="A137" s="22"/>
      <c r="B137" s="23"/>
      <c r="C137" s="23"/>
      <c r="D137" s="23"/>
      <c r="E137" s="23"/>
      <c r="F137" s="23"/>
      <c r="G137" s="25"/>
      <c r="H137" s="25"/>
      <c r="I137" s="23"/>
      <c r="J137" s="23"/>
      <c r="K137" s="23"/>
    </row>
    <row r="138" s="21" customFormat="1" customHeight="1" spans="1:11">
      <c r="A138" s="22"/>
      <c r="B138" s="23"/>
      <c r="C138" s="23"/>
      <c r="D138" s="23"/>
      <c r="E138" s="23"/>
      <c r="F138" s="23"/>
      <c r="G138" s="25"/>
      <c r="H138" s="25"/>
      <c r="I138" s="23"/>
      <c r="J138" s="23"/>
      <c r="K138" s="23"/>
    </row>
    <row r="139" s="21" customFormat="1" customHeight="1" spans="1:11">
      <c r="A139" s="22"/>
      <c r="B139" s="23"/>
      <c r="C139" s="23"/>
      <c r="D139" s="23"/>
      <c r="E139" s="23"/>
      <c r="F139" s="23"/>
      <c r="G139" s="25"/>
      <c r="H139" s="25"/>
      <c r="I139" s="23"/>
      <c r="J139" s="23"/>
      <c r="K139" s="23"/>
    </row>
    <row r="140" s="21" customFormat="1" customHeight="1" spans="1:11">
      <c r="A140" s="22"/>
      <c r="B140" s="23"/>
      <c r="C140" s="23"/>
      <c r="D140" s="23"/>
      <c r="E140" s="23"/>
      <c r="F140" s="23"/>
      <c r="G140" s="25"/>
      <c r="H140" s="25"/>
      <c r="I140" s="23"/>
      <c r="J140" s="23"/>
      <c r="K140" s="23"/>
    </row>
    <row r="141" s="21" customFormat="1" customHeight="1" spans="1:11">
      <c r="A141" s="22"/>
      <c r="B141" s="23"/>
      <c r="C141" s="23"/>
      <c r="D141" s="23"/>
      <c r="E141" s="23"/>
      <c r="F141" s="23"/>
      <c r="G141" s="25"/>
      <c r="H141" s="25"/>
      <c r="I141" s="23"/>
      <c r="J141" s="23"/>
      <c r="K141" s="23"/>
    </row>
    <row r="142" s="21" customFormat="1" customHeight="1" spans="1:11">
      <c r="A142" s="22"/>
      <c r="B142" s="23"/>
      <c r="C142" s="23"/>
      <c r="D142" s="23"/>
      <c r="E142" s="23"/>
      <c r="F142" s="23"/>
      <c r="G142" s="25"/>
      <c r="H142" s="25"/>
      <c r="I142" s="23"/>
      <c r="J142" s="23"/>
      <c r="K142" s="23"/>
    </row>
    <row r="143" s="21" customFormat="1" customHeight="1" spans="1:11">
      <c r="A143" s="22"/>
      <c r="B143" s="23"/>
      <c r="C143" s="23"/>
      <c r="D143" s="23"/>
      <c r="E143" s="23"/>
      <c r="F143" s="23"/>
      <c r="G143" s="25"/>
      <c r="H143" s="25"/>
      <c r="I143" s="23"/>
      <c r="J143" s="23"/>
      <c r="K143" s="23"/>
    </row>
    <row r="144" s="21" customFormat="1" customHeight="1" spans="1:11">
      <c r="A144" s="22"/>
      <c r="B144" s="23"/>
      <c r="C144" s="23"/>
      <c r="D144" s="23"/>
      <c r="E144" s="23"/>
      <c r="F144" s="23"/>
      <c r="G144" s="25"/>
      <c r="H144" s="25"/>
      <c r="I144" s="23"/>
      <c r="J144" s="23"/>
      <c r="K144" s="23"/>
    </row>
    <row r="145" s="21" customFormat="1" customHeight="1" spans="1:11">
      <c r="A145" s="22"/>
      <c r="B145" s="23"/>
      <c r="C145" s="23"/>
      <c r="D145" s="23"/>
      <c r="E145" s="23"/>
      <c r="F145" s="23"/>
      <c r="G145" s="25"/>
      <c r="H145" s="25"/>
      <c r="I145" s="23"/>
      <c r="J145" s="23"/>
      <c r="K145" s="23"/>
    </row>
    <row r="146" s="21" customFormat="1" customHeight="1" spans="1:11">
      <c r="A146" s="22"/>
      <c r="B146" s="23"/>
      <c r="C146" s="23"/>
      <c r="D146" s="23"/>
      <c r="E146" s="23"/>
      <c r="F146" s="23"/>
      <c r="G146" s="25"/>
      <c r="H146" s="25"/>
      <c r="I146" s="23"/>
      <c r="J146" s="23"/>
      <c r="K146" s="23"/>
    </row>
    <row r="147" s="21" customFormat="1" customHeight="1" spans="1:11">
      <c r="A147" s="22"/>
      <c r="B147" s="23"/>
      <c r="C147" s="23"/>
      <c r="D147" s="23"/>
      <c r="E147" s="23"/>
      <c r="F147" s="23"/>
      <c r="G147" s="25"/>
      <c r="H147" s="25"/>
      <c r="I147" s="23"/>
      <c r="J147" s="23"/>
      <c r="K147" s="23"/>
    </row>
    <row r="148" s="21" customFormat="1" customHeight="1" spans="1:11">
      <c r="A148" s="22"/>
      <c r="B148" s="23"/>
      <c r="C148" s="23"/>
      <c r="D148" s="23"/>
      <c r="E148" s="23"/>
      <c r="F148" s="23"/>
      <c r="G148" s="25"/>
      <c r="H148" s="25"/>
      <c r="I148" s="23"/>
      <c r="J148" s="23"/>
      <c r="K148" s="23"/>
    </row>
    <row r="149" s="21" customFormat="1" customHeight="1" spans="1:11">
      <c r="A149" s="22"/>
      <c r="B149" s="23"/>
      <c r="C149" s="23"/>
      <c r="D149" s="23"/>
      <c r="E149" s="23"/>
      <c r="F149" s="23"/>
      <c r="G149" s="25"/>
      <c r="H149" s="25"/>
      <c r="I149" s="23"/>
      <c r="J149" s="23"/>
      <c r="K149" s="23"/>
    </row>
    <row r="150" s="21" customFormat="1" customHeight="1" spans="1:11">
      <c r="A150" s="22"/>
      <c r="B150" s="23"/>
      <c r="C150" s="23"/>
      <c r="D150" s="23"/>
      <c r="E150" s="23"/>
      <c r="F150" s="23"/>
      <c r="G150" s="25"/>
      <c r="H150" s="25"/>
      <c r="I150" s="23"/>
      <c r="J150" s="23"/>
      <c r="K150" s="23"/>
    </row>
    <row r="151" s="21" customFormat="1" customHeight="1" spans="1:11">
      <c r="A151" s="22"/>
      <c r="B151" s="23"/>
      <c r="C151" s="23"/>
      <c r="D151" s="23"/>
      <c r="E151" s="23"/>
      <c r="F151" s="23"/>
      <c r="G151" s="25"/>
      <c r="H151" s="25"/>
      <c r="I151" s="23"/>
      <c r="J151" s="23"/>
      <c r="K151" s="23"/>
    </row>
    <row r="152" s="21" customFormat="1" customHeight="1" spans="1:11">
      <c r="A152" s="22"/>
      <c r="B152" s="23"/>
      <c r="C152" s="23"/>
      <c r="D152" s="23"/>
      <c r="E152" s="23"/>
      <c r="F152" s="23"/>
      <c r="G152" s="25"/>
      <c r="H152" s="25"/>
      <c r="I152" s="23"/>
      <c r="J152" s="23"/>
      <c r="K152" s="23"/>
    </row>
    <row r="153" s="21" customFormat="1" customHeight="1" spans="1:11">
      <c r="A153" s="22"/>
      <c r="B153" s="23"/>
      <c r="C153" s="23"/>
      <c r="D153" s="23"/>
      <c r="E153" s="23"/>
      <c r="F153" s="23"/>
      <c r="G153" s="25"/>
      <c r="H153" s="25"/>
      <c r="I153" s="23"/>
      <c r="J153" s="23"/>
      <c r="K153" s="23"/>
    </row>
    <row r="154" s="21" customFormat="1" customHeight="1" spans="1:11">
      <c r="A154" s="22"/>
      <c r="B154" s="23"/>
      <c r="C154" s="23"/>
      <c r="D154" s="23"/>
      <c r="E154" s="23"/>
      <c r="F154" s="23"/>
      <c r="G154" s="25"/>
      <c r="H154" s="25"/>
      <c r="I154" s="23"/>
      <c r="J154" s="23"/>
      <c r="K154" s="23"/>
    </row>
    <row r="155" s="21" customFormat="1" customHeight="1" spans="1:11">
      <c r="A155" s="22"/>
      <c r="B155" s="23"/>
      <c r="C155" s="23"/>
      <c r="D155" s="23"/>
      <c r="E155" s="23"/>
      <c r="F155" s="23"/>
      <c r="G155" s="25"/>
      <c r="H155" s="25"/>
      <c r="I155" s="23"/>
      <c r="J155" s="23"/>
      <c r="K155" s="23"/>
    </row>
    <row r="156" s="21" customFormat="1" customHeight="1" spans="1:11">
      <c r="A156" s="22"/>
      <c r="B156" s="23"/>
      <c r="C156" s="23"/>
      <c r="D156" s="23"/>
      <c r="E156" s="23"/>
      <c r="F156" s="23"/>
      <c r="G156" s="25"/>
      <c r="H156" s="25"/>
      <c r="I156" s="23"/>
      <c r="J156" s="23"/>
      <c r="K156" s="23"/>
    </row>
    <row r="157" s="21" customFormat="1" customHeight="1" spans="1:11">
      <c r="A157" s="22"/>
      <c r="B157" s="23"/>
      <c r="C157" s="23"/>
      <c r="D157" s="23"/>
      <c r="E157" s="23"/>
      <c r="F157" s="23"/>
      <c r="G157" s="25"/>
      <c r="H157" s="25"/>
      <c r="I157" s="23"/>
      <c r="J157" s="23"/>
      <c r="K157" s="23"/>
    </row>
    <row r="158" s="21" customFormat="1" customHeight="1" spans="1:11">
      <c r="A158" s="22"/>
      <c r="B158" s="23"/>
      <c r="C158" s="23"/>
      <c r="D158" s="23"/>
      <c r="E158" s="23"/>
      <c r="F158" s="23"/>
      <c r="G158" s="25"/>
      <c r="H158" s="25"/>
      <c r="I158" s="23"/>
      <c r="J158" s="23"/>
      <c r="K158" s="23"/>
    </row>
    <row r="159" s="21" customFormat="1" customHeight="1" spans="1:11">
      <c r="A159" s="22"/>
      <c r="B159" s="23"/>
      <c r="C159" s="23"/>
      <c r="D159" s="23"/>
      <c r="E159" s="23"/>
      <c r="F159" s="23"/>
      <c r="G159" s="25"/>
      <c r="H159" s="25"/>
      <c r="I159" s="23"/>
      <c r="J159" s="23"/>
      <c r="K159" s="23"/>
    </row>
    <row r="160" s="21" customFormat="1" customHeight="1" spans="1:11">
      <c r="A160" s="22"/>
      <c r="B160" s="23"/>
      <c r="C160" s="23"/>
      <c r="D160" s="23"/>
      <c r="E160" s="23"/>
      <c r="F160" s="23"/>
      <c r="G160" s="25"/>
      <c r="H160" s="25"/>
      <c r="I160" s="23"/>
      <c r="J160" s="23"/>
      <c r="K160" s="23"/>
    </row>
    <row r="161" s="21" customFormat="1" customHeight="1" spans="1:11">
      <c r="A161" s="22"/>
      <c r="B161" s="23"/>
      <c r="C161" s="23"/>
      <c r="D161" s="23"/>
      <c r="E161" s="23"/>
      <c r="F161" s="23"/>
      <c r="G161" s="25"/>
      <c r="H161" s="25"/>
      <c r="I161" s="23"/>
      <c r="J161" s="23"/>
      <c r="K161" s="23"/>
    </row>
    <row r="162" s="21" customFormat="1" customHeight="1" spans="1:11">
      <c r="A162" s="22"/>
      <c r="B162" s="23"/>
      <c r="C162" s="23"/>
      <c r="D162" s="23"/>
      <c r="E162" s="23"/>
      <c r="F162" s="23"/>
      <c r="G162" s="25"/>
      <c r="H162" s="25"/>
      <c r="I162" s="23"/>
      <c r="J162" s="23"/>
      <c r="K162" s="23"/>
    </row>
    <row r="163" s="21" customFormat="1" customHeight="1" spans="1:11">
      <c r="A163" s="22"/>
      <c r="B163" s="23"/>
      <c r="C163" s="23"/>
      <c r="D163" s="23"/>
      <c r="E163" s="23"/>
      <c r="F163" s="23"/>
      <c r="G163" s="25"/>
      <c r="H163" s="25"/>
      <c r="I163" s="23"/>
      <c r="J163" s="23"/>
      <c r="K163" s="23"/>
    </row>
    <row r="164" s="21" customFormat="1" customHeight="1" spans="1:11">
      <c r="A164" s="22"/>
      <c r="B164" s="23"/>
      <c r="C164" s="23"/>
      <c r="D164" s="23"/>
      <c r="E164" s="23"/>
      <c r="F164" s="23"/>
      <c r="G164" s="25"/>
      <c r="H164" s="25"/>
      <c r="I164" s="23"/>
      <c r="J164" s="23"/>
      <c r="K164" s="23"/>
    </row>
    <row r="165" s="21" customFormat="1" customHeight="1" spans="1:11">
      <c r="A165" s="22"/>
      <c r="B165" s="23"/>
      <c r="C165" s="23"/>
      <c r="D165" s="23"/>
      <c r="E165" s="23"/>
      <c r="F165" s="23"/>
      <c r="G165" s="25"/>
      <c r="H165" s="25"/>
      <c r="I165" s="23"/>
      <c r="J165" s="23"/>
      <c r="K165" s="23"/>
    </row>
    <row r="166" s="21" customFormat="1" customHeight="1" spans="1:11">
      <c r="A166" s="22"/>
      <c r="B166" s="23"/>
      <c r="C166" s="23"/>
      <c r="D166" s="23"/>
      <c r="E166" s="23"/>
      <c r="F166" s="23"/>
      <c r="G166" s="25"/>
      <c r="H166" s="25"/>
      <c r="I166" s="23"/>
      <c r="J166" s="23"/>
      <c r="K166" s="23"/>
    </row>
    <row r="167" s="21" customFormat="1" customHeight="1" spans="1:11">
      <c r="A167" s="22"/>
      <c r="B167" s="23"/>
      <c r="C167" s="23"/>
      <c r="D167" s="23"/>
      <c r="E167" s="23"/>
      <c r="F167" s="23"/>
      <c r="G167" s="25"/>
      <c r="H167" s="25"/>
      <c r="I167" s="23"/>
      <c r="J167" s="23"/>
      <c r="K167" s="23"/>
    </row>
    <row r="168" s="21" customFormat="1" customHeight="1" spans="1:11">
      <c r="A168" s="22"/>
      <c r="B168" s="23"/>
      <c r="C168" s="23"/>
      <c r="D168" s="23"/>
      <c r="E168" s="23"/>
      <c r="F168" s="23"/>
      <c r="G168" s="25"/>
      <c r="H168" s="25"/>
      <c r="I168" s="23"/>
      <c r="J168" s="23"/>
      <c r="K168" s="23"/>
    </row>
    <row r="169" s="21" customFormat="1" customHeight="1" spans="1:11">
      <c r="A169" s="22"/>
      <c r="B169" s="23"/>
      <c r="C169" s="23"/>
      <c r="D169" s="23"/>
      <c r="E169" s="23"/>
      <c r="F169" s="23"/>
      <c r="G169" s="25"/>
      <c r="H169" s="25"/>
      <c r="I169" s="23"/>
      <c r="J169" s="23"/>
      <c r="K169" s="23"/>
    </row>
    <row r="170" s="21" customFormat="1" customHeight="1" spans="1:11">
      <c r="A170" s="22"/>
      <c r="B170" s="23"/>
      <c r="C170" s="23"/>
      <c r="D170" s="23"/>
      <c r="E170" s="23"/>
      <c r="F170" s="23"/>
      <c r="G170" s="25"/>
      <c r="H170" s="25"/>
      <c r="I170" s="23"/>
      <c r="J170" s="23"/>
      <c r="K170" s="23"/>
    </row>
    <row r="171" s="21" customFormat="1" customHeight="1" spans="1:11">
      <c r="A171" s="22"/>
      <c r="B171" s="23"/>
      <c r="C171" s="23"/>
      <c r="D171" s="23"/>
      <c r="E171" s="23"/>
      <c r="F171" s="23"/>
      <c r="G171" s="25"/>
      <c r="H171" s="25"/>
      <c r="I171" s="23"/>
      <c r="J171" s="23"/>
      <c r="K171" s="23"/>
    </row>
    <row r="172" s="21" customFormat="1" customHeight="1" spans="1:11">
      <c r="A172" s="22"/>
      <c r="B172" s="23"/>
      <c r="C172" s="23"/>
      <c r="D172" s="23"/>
      <c r="E172" s="23"/>
      <c r="F172" s="23"/>
      <c r="G172" s="25"/>
      <c r="H172" s="25"/>
      <c r="I172" s="23"/>
      <c r="J172" s="23"/>
      <c r="K172" s="23"/>
    </row>
    <row r="173" s="21" customFormat="1" customHeight="1" spans="1:11">
      <c r="A173" s="22"/>
      <c r="B173" s="23"/>
      <c r="C173" s="23"/>
      <c r="D173" s="23"/>
      <c r="E173" s="23"/>
      <c r="F173" s="23"/>
      <c r="G173" s="25"/>
      <c r="H173" s="25"/>
      <c r="I173" s="23"/>
      <c r="J173" s="23"/>
      <c r="K173" s="23"/>
    </row>
    <row r="174" s="21" customFormat="1" customHeight="1" spans="1:11">
      <c r="A174" s="22"/>
      <c r="B174" s="23"/>
      <c r="C174" s="23"/>
      <c r="D174" s="23"/>
      <c r="E174" s="23"/>
      <c r="F174" s="23"/>
      <c r="G174" s="25"/>
      <c r="H174" s="25"/>
      <c r="I174" s="23"/>
      <c r="J174" s="23"/>
      <c r="K174" s="23"/>
    </row>
    <row r="175" s="21" customFormat="1" customHeight="1" spans="1:11">
      <c r="A175" s="22"/>
      <c r="B175" s="23"/>
      <c r="C175" s="23"/>
      <c r="D175" s="23"/>
      <c r="E175" s="23"/>
      <c r="F175" s="23"/>
      <c r="G175" s="25"/>
      <c r="H175" s="25"/>
      <c r="I175" s="23"/>
      <c r="J175" s="23"/>
      <c r="K175" s="23"/>
    </row>
    <row r="176" s="21" customFormat="1" customHeight="1" spans="1:11">
      <c r="A176" s="22"/>
      <c r="B176" s="23"/>
      <c r="C176" s="23"/>
      <c r="D176" s="23"/>
      <c r="E176" s="23"/>
      <c r="F176" s="23"/>
      <c r="G176" s="25"/>
      <c r="H176" s="25"/>
      <c r="I176" s="23"/>
      <c r="J176" s="23"/>
      <c r="K176" s="23"/>
    </row>
    <row r="177" s="21" customFormat="1" customHeight="1" spans="1:11">
      <c r="A177" s="22"/>
      <c r="B177" s="23"/>
      <c r="C177" s="23"/>
      <c r="D177" s="23"/>
      <c r="E177" s="23"/>
      <c r="F177" s="23"/>
      <c r="G177" s="25"/>
      <c r="H177" s="25"/>
      <c r="I177" s="23"/>
      <c r="J177" s="23"/>
      <c r="K177" s="23"/>
    </row>
  </sheetData>
  <pageMargins left="0.75" right="0.75" top="1" bottom="1" header="0.51" footer="0.51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Q187"/>
  <sheetViews>
    <sheetView topLeftCell="C1" workbookViewId="0">
      <pane ySplit="1" topLeftCell="A2" activePane="bottomLeft" state="frozen"/>
      <selection/>
      <selection pane="bottomLeft" activeCell="C8" sqref="C8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9.5</v>
      </c>
      <c r="C2" s="28">
        <f ca="1" t="shared" ref="C2:C8" si="0">O2/B2</f>
        <v>0.894444444444444</v>
      </c>
      <c r="D2" s="6" t="s">
        <v>35</v>
      </c>
      <c r="E2" s="6" t="s">
        <v>36</v>
      </c>
      <c r="F2" s="6">
        <v>119.5</v>
      </c>
      <c r="G2" s="6" t="s">
        <v>58</v>
      </c>
      <c r="H2" s="6">
        <f ca="1" t="array" ref="H2">INDEX(成本核算表!J:J,MATCH(1,(成本核算表!D:D=E2)*(成本核算表!C:C=G2),0))</f>
        <v>10</v>
      </c>
      <c r="I2" s="6">
        <v>3059</v>
      </c>
      <c r="J2" s="6">
        <f ca="1" t="shared" ref="J2:J65" si="1">H2*I2</f>
        <v>30590</v>
      </c>
      <c r="K2" s="6"/>
      <c r="L2" s="6"/>
      <c r="M2" s="6"/>
      <c r="N2" s="6">
        <f ca="1" t="shared" ref="N2:N65" si="2">J2-M2+L2</f>
        <v>30590</v>
      </c>
      <c r="O2" s="6">
        <f ca="1" t="shared" ref="O2:O65" si="3">N2/3600</f>
        <v>8.49722222222222</v>
      </c>
      <c r="P2" s="6"/>
      <c r="Q2" s="6"/>
    </row>
    <row r="3" s="21" customFormat="1" ht="20" customHeight="1" spans="1:17">
      <c r="A3" s="27">
        <v>46083</v>
      </c>
      <c r="B3" s="6">
        <v>11</v>
      </c>
      <c r="C3" s="28">
        <f ca="1" t="shared" si="0"/>
        <v>0.987373737373737</v>
      </c>
      <c r="D3" s="6" t="s">
        <v>35</v>
      </c>
      <c r="E3" s="6" t="s">
        <v>36</v>
      </c>
      <c r="F3" s="6">
        <v>119.5</v>
      </c>
      <c r="G3" s="6" t="s">
        <v>58</v>
      </c>
      <c r="H3" s="6">
        <f ca="1" t="array" ref="H3">INDEX(成本核算表!J:J,MATCH(1,(成本核算表!D:D=E3)*(成本核算表!C:C=G3),0))</f>
        <v>10</v>
      </c>
      <c r="I3" s="6">
        <v>3910</v>
      </c>
      <c r="J3" s="6">
        <f ca="1" t="shared" si="1"/>
        <v>39100</v>
      </c>
      <c r="K3" s="6"/>
      <c r="L3" s="6"/>
      <c r="M3" s="6"/>
      <c r="N3" s="6">
        <f ca="1" t="shared" si="2"/>
        <v>39100</v>
      </c>
      <c r="O3" s="6">
        <f ca="1" t="shared" si="3"/>
        <v>10.8611111111111</v>
      </c>
      <c r="P3" s="6"/>
      <c r="Q3" s="6"/>
    </row>
    <row r="4" s="21" customFormat="1" ht="20" customHeight="1" spans="1:17">
      <c r="A4" s="27">
        <v>46084</v>
      </c>
      <c r="B4" s="6">
        <v>11</v>
      </c>
      <c r="C4" s="28">
        <f ca="1" t="shared" si="0"/>
        <v>1.00707070707071</v>
      </c>
      <c r="D4" s="6" t="s">
        <v>35</v>
      </c>
      <c r="E4" s="6" t="s">
        <v>36</v>
      </c>
      <c r="F4" s="6">
        <v>119.5</v>
      </c>
      <c r="G4" s="6" t="s">
        <v>58</v>
      </c>
      <c r="H4" s="6">
        <f ca="1" t="array" ref="H4">INDEX(成本核算表!J:J,MATCH(1,(成本核算表!D:D=E4)*(成本核算表!C:C=G4),0))</f>
        <v>10</v>
      </c>
      <c r="I4" s="6">
        <v>3988</v>
      </c>
      <c r="J4" s="6">
        <f ca="1" t="shared" si="1"/>
        <v>39880</v>
      </c>
      <c r="K4" s="6"/>
      <c r="L4" s="6"/>
      <c r="M4" s="6"/>
      <c r="N4" s="6">
        <f ca="1" t="shared" si="2"/>
        <v>39880</v>
      </c>
      <c r="O4" s="6">
        <f ca="1" t="shared" si="3"/>
        <v>11.0777777777778</v>
      </c>
      <c r="P4" s="6"/>
      <c r="Q4" s="6"/>
    </row>
    <row r="5" s="21" customFormat="1" ht="20" customHeight="1" spans="1:17">
      <c r="A5" s="27">
        <v>46085</v>
      </c>
      <c r="B5" s="6">
        <v>11</v>
      </c>
      <c r="C5" s="28">
        <f ca="1" t="shared" si="0"/>
        <v>1.01010101010101</v>
      </c>
      <c r="D5" s="6" t="s">
        <v>35</v>
      </c>
      <c r="E5" s="6" t="s">
        <v>36</v>
      </c>
      <c r="F5" s="6">
        <v>119.5</v>
      </c>
      <c r="G5" s="6" t="s">
        <v>58</v>
      </c>
      <c r="H5" s="6">
        <f ca="1" t="array" ref="H5">INDEX(成本核算表!J:J,MATCH(1,(成本核算表!D:D=E5)*(成本核算表!C:C=G5),0))</f>
        <v>10</v>
      </c>
      <c r="I5" s="6">
        <v>4000</v>
      </c>
      <c r="J5" s="6">
        <f ca="1" t="shared" si="1"/>
        <v>40000</v>
      </c>
      <c r="K5" s="6"/>
      <c r="L5" s="6"/>
      <c r="M5" s="6"/>
      <c r="N5" s="6">
        <f ca="1" t="shared" si="2"/>
        <v>40000</v>
      </c>
      <c r="O5" s="6">
        <f ca="1" t="shared" si="3"/>
        <v>11.1111111111111</v>
      </c>
      <c r="P5" s="6"/>
      <c r="Q5" s="6"/>
    </row>
    <row r="6" s="21" customFormat="1" ht="20" customHeight="1" spans="1:17">
      <c r="A6" s="27">
        <v>46086</v>
      </c>
      <c r="B6" s="6">
        <v>11</v>
      </c>
      <c r="C6" s="28">
        <f ca="1" t="shared" si="0"/>
        <v>1.0040404040404</v>
      </c>
      <c r="D6" s="6" t="s">
        <v>35</v>
      </c>
      <c r="E6" s="6" t="s">
        <v>36</v>
      </c>
      <c r="F6" s="6">
        <v>119.5</v>
      </c>
      <c r="G6" s="6" t="s">
        <v>58</v>
      </c>
      <c r="H6" s="6">
        <f ca="1" t="array" ref="H6">INDEX(成本核算表!J:J,MATCH(1,(成本核算表!D:D=E6)*(成本核算表!C:C=G6),0))</f>
        <v>10</v>
      </c>
      <c r="I6" s="6">
        <v>3976</v>
      </c>
      <c r="J6" s="6">
        <f ca="1" t="shared" si="1"/>
        <v>39760</v>
      </c>
      <c r="K6" s="6"/>
      <c r="L6" s="6"/>
      <c r="M6" s="6"/>
      <c r="N6" s="6">
        <f ca="1" t="shared" si="2"/>
        <v>39760</v>
      </c>
      <c r="O6" s="6">
        <f ca="1" t="shared" si="3"/>
        <v>11.0444444444444</v>
      </c>
      <c r="P6" s="6"/>
      <c r="Q6" s="6"/>
    </row>
    <row r="7" s="21" customFormat="1" ht="20" customHeight="1" spans="1:17">
      <c r="A7" s="27">
        <v>46087</v>
      </c>
      <c r="B7" s="6">
        <v>11</v>
      </c>
      <c r="C7" s="28">
        <f ca="1" t="shared" si="0"/>
        <v>0.863131313131313</v>
      </c>
      <c r="D7" s="5" t="s">
        <v>40</v>
      </c>
      <c r="E7" s="6" t="s">
        <v>36</v>
      </c>
      <c r="F7" s="6">
        <v>119.5</v>
      </c>
      <c r="G7" s="6" t="s">
        <v>58</v>
      </c>
      <c r="H7" s="6">
        <f ca="1" t="array" ref="H7">INDEX(成本核算表!J:J,MATCH(1,(成本核算表!D:D=E7)*(成本核算表!C:C=G7),0))</f>
        <v>10</v>
      </c>
      <c r="I7" s="6">
        <v>3418</v>
      </c>
      <c r="J7" s="6">
        <f ca="1" t="shared" si="1"/>
        <v>34180</v>
      </c>
      <c r="K7" s="6"/>
      <c r="L7" s="6"/>
      <c r="M7" s="6"/>
      <c r="N7" s="6">
        <f ca="1" t="shared" si="2"/>
        <v>34180</v>
      </c>
      <c r="O7" s="6">
        <f ca="1" t="shared" si="3"/>
        <v>9.49444444444444</v>
      </c>
      <c r="P7" s="6"/>
      <c r="Q7" s="6"/>
    </row>
    <row r="8" s="21" customFormat="1" ht="20" customHeight="1" spans="1:17">
      <c r="A8" s="27">
        <v>46088</v>
      </c>
      <c r="B8" s="6">
        <v>11</v>
      </c>
      <c r="C8" s="28">
        <f ca="1">SUM(O8:O9)/B8</f>
        <v>1.26363636363636</v>
      </c>
      <c r="D8" s="5" t="s">
        <v>40</v>
      </c>
      <c r="E8" s="6" t="s">
        <v>36</v>
      </c>
      <c r="F8" s="6">
        <v>119.5</v>
      </c>
      <c r="G8" s="6" t="s">
        <v>58</v>
      </c>
      <c r="H8" s="6">
        <f ca="1" t="array" ref="H8">INDEX(成本核算表!J:J,MATCH(1,(成本核算表!D:D=E8)*(成本核算表!C:C=G8),0))</f>
        <v>10</v>
      </c>
      <c r="I8" s="6">
        <v>2279</v>
      </c>
      <c r="J8" s="6">
        <f ca="1" t="shared" si="1"/>
        <v>22790</v>
      </c>
      <c r="K8" s="6"/>
      <c r="L8" s="6"/>
      <c r="M8" s="6"/>
      <c r="N8" s="6">
        <f ca="1" t="shared" si="2"/>
        <v>22790</v>
      </c>
      <c r="O8" s="6">
        <f ca="1" t="shared" si="3"/>
        <v>6.33055555555556</v>
      </c>
      <c r="P8" s="6"/>
      <c r="Q8" s="6"/>
    </row>
    <row r="9" s="21" customFormat="1" ht="20" customHeight="1" spans="1:17">
      <c r="A9" s="27">
        <v>46088</v>
      </c>
      <c r="B9" s="6"/>
      <c r="C9" s="28"/>
      <c r="D9" s="5" t="s">
        <v>166</v>
      </c>
      <c r="E9" s="5" t="s">
        <v>52</v>
      </c>
      <c r="F9" s="6">
        <v>950</v>
      </c>
      <c r="G9" s="5" t="s">
        <v>49</v>
      </c>
      <c r="H9" s="6">
        <f ca="1" t="array" ref="H9">INDEX(成本核算表!J:J,MATCH(1,(成本核算表!D:D=E9)*(成本核算表!C:C=G9),0))</f>
        <v>25</v>
      </c>
      <c r="I9" s="6">
        <v>1096</v>
      </c>
      <c r="J9" s="6">
        <f ca="1" t="shared" si="1"/>
        <v>27400</v>
      </c>
      <c r="K9" s="6">
        <v>6</v>
      </c>
      <c r="L9" s="6"/>
      <c r="M9" s="6">
        <f ca="1" t="shared" ref="M9:M11" si="4">K9*H9</f>
        <v>150</v>
      </c>
      <c r="N9" s="6">
        <f ca="1" t="shared" si="2"/>
        <v>27250</v>
      </c>
      <c r="O9" s="6">
        <f ca="1" t="shared" si="3"/>
        <v>7.56944444444444</v>
      </c>
      <c r="P9" s="6"/>
      <c r="Q9" s="6"/>
    </row>
    <row r="10" s="21" customFormat="1" ht="20" customHeight="1" spans="1:17">
      <c r="A10" s="27">
        <v>46089</v>
      </c>
      <c r="B10" s="6">
        <v>9.5</v>
      </c>
      <c r="C10" s="28">
        <f ca="1">SUM(O10:O12)/B10</f>
        <v>1.32748538011696</v>
      </c>
      <c r="D10" s="5" t="s">
        <v>148</v>
      </c>
      <c r="E10" s="5" t="s">
        <v>52</v>
      </c>
      <c r="F10" s="6">
        <v>950</v>
      </c>
      <c r="G10" s="5" t="s">
        <v>49</v>
      </c>
      <c r="H10" s="6">
        <f ca="1" t="array" ref="H10">INDEX(成本核算表!J:J,MATCH(1,(成本核算表!D:D=E10)*(成本核算表!C:C=G10),0))</f>
        <v>25</v>
      </c>
      <c r="I10" s="6">
        <v>545</v>
      </c>
      <c r="J10" s="6">
        <f ca="1" t="shared" si="1"/>
        <v>13625</v>
      </c>
      <c r="K10" s="6">
        <v>4</v>
      </c>
      <c r="L10" s="6"/>
      <c r="M10" s="6">
        <f ca="1" t="shared" si="4"/>
        <v>100</v>
      </c>
      <c r="N10" s="6">
        <f ca="1" t="shared" si="2"/>
        <v>13525</v>
      </c>
      <c r="O10" s="6">
        <f ca="1" t="shared" si="3"/>
        <v>3.75694444444444</v>
      </c>
      <c r="P10" s="6"/>
      <c r="Q10" s="6"/>
    </row>
    <row r="11" s="21" customFormat="1" ht="20" customHeight="1" spans="1:17">
      <c r="A11" s="27">
        <v>46089</v>
      </c>
      <c r="B11" s="6"/>
      <c r="C11" s="28"/>
      <c r="D11" s="5" t="s">
        <v>167</v>
      </c>
      <c r="E11" s="5" t="s">
        <v>52</v>
      </c>
      <c r="F11" s="6">
        <v>950</v>
      </c>
      <c r="G11" s="5" t="s">
        <v>49</v>
      </c>
      <c r="H11" s="6">
        <f ca="1" t="array" ref="H11">INDEX(成本核算表!J:J,MATCH(1,(成本核算表!D:D=E11)*(成本核算表!C:C=G11),0))</f>
        <v>25</v>
      </c>
      <c r="I11" s="6">
        <v>1154</v>
      </c>
      <c r="J11" s="6">
        <f ca="1" t="shared" si="1"/>
        <v>28850</v>
      </c>
      <c r="K11" s="6">
        <v>20</v>
      </c>
      <c r="L11" s="6"/>
      <c r="M11" s="6">
        <f ca="1" t="shared" si="4"/>
        <v>500</v>
      </c>
      <c r="N11" s="6">
        <f ca="1" t="shared" si="2"/>
        <v>28350</v>
      </c>
      <c r="O11" s="6">
        <f ca="1" t="shared" si="3"/>
        <v>7.875</v>
      </c>
      <c r="P11" s="6"/>
      <c r="Q11" s="6"/>
    </row>
    <row r="12" s="21" customFormat="1" ht="20" customHeight="1" spans="1:17">
      <c r="A12" s="27">
        <v>46089</v>
      </c>
      <c r="B12" s="6"/>
      <c r="C12" s="28"/>
      <c r="D12" s="5" t="s">
        <v>149</v>
      </c>
      <c r="E12" s="5" t="s">
        <v>52</v>
      </c>
      <c r="F12" s="6">
        <v>950</v>
      </c>
      <c r="G12" s="5" t="s">
        <v>49</v>
      </c>
      <c r="H12" s="6">
        <f ca="1" t="array" ref="H12">INDEX(成本核算表!J:J,MATCH(1,(成本核算表!D:D=E12)*(成本核算表!C:C=G12),0))</f>
        <v>25</v>
      </c>
      <c r="I12" s="6">
        <v>141</v>
      </c>
      <c r="J12" s="6">
        <f ca="1" t="shared" si="1"/>
        <v>3525</v>
      </c>
      <c r="K12" s="6"/>
      <c r="L12" s="6"/>
      <c r="M12" s="6"/>
      <c r="N12" s="6">
        <f ca="1" t="shared" si="2"/>
        <v>3525</v>
      </c>
      <c r="O12" s="6">
        <f ca="1" t="shared" si="3"/>
        <v>0.979166666666667</v>
      </c>
      <c r="P12" s="6"/>
      <c r="Q12" s="6"/>
    </row>
    <row r="13" s="21" customFormat="1" ht="20" customHeight="1" spans="1:17">
      <c r="A13" s="27">
        <v>46090</v>
      </c>
      <c r="B13" s="6">
        <v>11</v>
      </c>
      <c r="C13" s="28">
        <f ca="1" t="shared" ref="C13:C16" si="5">SUM(O13)/B13</f>
        <v>0.964393939393939</v>
      </c>
      <c r="D13" s="5" t="s">
        <v>40</v>
      </c>
      <c r="E13" s="6" t="s">
        <v>36</v>
      </c>
      <c r="F13" s="6">
        <v>119.5</v>
      </c>
      <c r="G13" s="6" t="s">
        <v>58</v>
      </c>
      <c r="H13" s="6">
        <f ca="1" t="array" ref="H13">INDEX(成本核算表!J:J,MATCH(1,(成本核算表!D:D=E13)*(成本核算表!C:C=G13),0))</f>
        <v>10</v>
      </c>
      <c r="I13" s="6">
        <v>3819</v>
      </c>
      <c r="J13" s="6">
        <f ca="1" t="shared" si="1"/>
        <v>38190</v>
      </c>
      <c r="K13" s="6"/>
      <c r="L13" s="6"/>
      <c r="M13" s="6"/>
      <c r="N13" s="6">
        <f ca="1" t="shared" si="2"/>
        <v>38190</v>
      </c>
      <c r="O13" s="6">
        <f ca="1" t="shared" si="3"/>
        <v>10.6083333333333</v>
      </c>
      <c r="P13" s="6"/>
      <c r="Q13" s="6"/>
    </row>
    <row r="14" s="21" customFormat="1" ht="20" customHeight="1" spans="1:17">
      <c r="A14" s="27">
        <v>46091</v>
      </c>
      <c r="B14" s="6">
        <v>11</v>
      </c>
      <c r="C14" s="28">
        <f ca="1" t="shared" si="5"/>
        <v>0.957323232323232</v>
      </c>
      <c r="D14" s="5" t="s">
        <v>35</v>
      </c>
      <c r="E14" s="6" t="s">
        <v>36</v>
      </c>
      <c r="F14" s="6">
        <v>119.5</v>
      </c>
      <c r="G14" s="6" t="s">
        <v>58</v>
      </c>
      <c r="H14" s="6">
        <f ca="1" t="array" ref="H14">INDEX(成本核算表!J:J,MATCH(1,(成本核算表!D:D=E14)*(成本核算表!C:C=G14),0))</f>
        <v>10</v>
      </c>
      <c r="I14" s="6">
        <v>3797</v>
      </c>
      <c r="J14" s="6">
        <f ca="1" t="shared" si="1"/>
        <v>37970</v>
      </c>
      <c r="K14" s="6">
        <v>6</v>
      </c>
      <c r="L14" s="6"/>
      <c r="M14" s="6">
        <f ca="1">K14*H14</f>
        <v>60</v>
      </c>
      <c r="N14" s="6">
        <f ca="1" t="shared" si="2"/>
        <v>37910</v>
      </c>
      <c r="O14" s="6">
        <f ca="1" t="shared" si="3"/>
        <v>10.5305555555556</v>
      </c>
      <c r="P14" s="6"/>
      <c r="Q14" s="6"/>
    </row>
    <row r="15" s="21" customFormat="1" ht="20" customHeight="1" spans="1:17">
      <c r="A15" s="27">
        <v>46092</v>
      </c>
      <c r="B15" s="6">
        <v>11</v>
      </c>
      <c r="C15" s="28">
        <f ca="1" t="shared" si="5"/>
        <v>1.00681818181818</v>
      </c>
      <c r="D15" s="5" t="s">
        <v>35</v>
      </c>
      <c r="E15" s="6" t="s">
        <v>36</v>
      </c>
      <c r="F15" s="6">
        <v>119.5</v>
      </c>
      <c r="G15" s="6" t="s">
        <v>58</v>
      </c>
      <c r="H15" s="6">
        <f ca="1" t="array" ref="H15">INDEX(成本核算表!J:J,MATCH(1,(成本核算表!D:D=E15)*(成本核算表!C:C=G15),0))</f>
        <v>10</v>
      </c>
      <c r="I15" s="6">
        <v>3987</v>
      </c>
      <c r="J15" s="6">
        <f ca="1" t="shared" si="1"/>
        <v>39870</v>
      </c>
      <c r="K15" s="6"/>
      <c r="L15" s="6"/>
      <c r="M15" s="6"/>
      <c r="N15" s="6">
        <f ca="1" t="shared" si="2"/>
        <v>39870</v>
      </c>
      <c r="O15" s="6">
        <f ca="1" t="shared" si="3"/>
        <v>11.075</v>
      </c>
      <c r="P15" s="6"/>
      <c r="Q15" s="6"/>
    </row>
    <row r="16" s="21" customFormat="1" ht="20" customHeight="1" spans="1:17">
      <c r="A16" s="27">
        <v>46093</v>
      </c>
      <c r="B16" s="6">
        <v>11</v>
      </c>
      <c r="C16" s="28">
        <f ca="1" t="shared" si="5"/>
        <v>0.959090909090909</v>
      </c>
      <c r="D16" s="5" t="s">
        <v>40</v>
      </c>
      <c r="E16" s="6" t="s">
        <v>36</v>
      </c>
      <c r="F16" s="6">
        <v>119.5</v>
      </c>
      <c r="G16" s="6" t="s">
        <v>58</v>
      </c>
      <c r="H16" s="6">
        <f ca="1" t="array" ref="H16">INDEX(成本核算表!J:J,MATCH(1,(成本核算表!D:D=E16)*(成本核算表!C:C=G16),0))</f>
        <v>10</v>
      </c>
      <c r="I16" s="6">
        <v>3798</v>
      </c>
      <c r="J16" s="6">
        <f ca="1" t="shared" si="1"/>
        <v>37980</v>
      </c>
      <c r="K16" s="6"/>
      <c r="L16" s="6"/>
      <c r="M16" s="6"/>
      <c r="N16" s="6">
        <f ca="1" t="shared" si="2"/>
        <v>37980</v>
      </c>
      <c r="O16" s="6">
        <f ca="1" t="shared" si="3"/>
        <v>10.55</v>
      </c>
      <c r="P16" s="6"/>
      <c r="Q16" s="6"/>
    </row>
    <row r="17" s="21" customFormat="1" ht="20" customHeight="1" spans="1:17">
      <c r="A17" s="27">
        <v>46094</v>
      </c>
      <c r="B17" s="6">
        <v>11</v>
      </c>
      <c r="C17" s="28">
        <f ca="1">SUM(O17:O18)/B17</f>
        <v>1.31414141414141</v>
      </c>
      <c r="D17" s="5" t="s">
        <v>17</v>
      </c>
      <c r="E17" s="6" t="s">
        <v>18</v>
      </c>
      <c r="F17" s="6">
        <v>1942</v>
      </c>
      <c r="G17" s="5" t="s">
        <v>160</v>
      </c>
      <c r="H17" s="6">
        <f ca="1" t="array" ref="H17">INDEX(成本核算表!J:J,MATCH(1,(成本核算表!D:D=E17)*(成本核算表!C:C=G17),0))</f>
        <v>20</v>
      </c>
      <c r="I17" s="6">
        <f>1577</f>
        <v>1577</v>
      </c>
      <c r="J17" s="6">
        <f ca="1" t="shared" si="1"/>
        <v>31540</v>
      </c>
      <c r="K17" s="6"/>
      <c r="L17" s="6"/>
      <c r="M17" s="6"/>
      <c r="N17" s="6">
        <f ca="1" t="shared" si="2"/>
        <v>31540</v>
      </c>
      <c r="O17" s="6">
        <f ca="1" t="shared" si="3"/>
        <v>8.76111111111111</v>
      </c>
      <c r="P17" s="6"/>
      <c r="Q17" s="6"/>
    </row>
    <row r="18" s="21" customFormat="1" ht="20" customHeight="1" spans="1:17">
      <c r="A18" s="27">
        <v>46094</v>
      </c>
      <c r="B18" s="6"/>
      <c r="C18" s="28"/>
      <c r="D18" s="5" t="s">
        <v>20</v>
      </c>
      <c r="E18" s="6" t="s">
        <v>18</v>
      </c>
      <c r="F18" s="6">
        <v>1942</v>
      </c>
      <c r="G18" s="5" t="s">
        <v>160</v>
      </c>
      <c r="H18" s="6">
        <f ca="1" t="array" ref="H18">INDEX(成本核算表!J:J,MATCH(1,(成本核算表!D:D=E18)*(成本核算表!C:C=G18),0))</f>
        <v>20</v>
      </c>
      <c r="I18" s="6">
        <f>1025</f>
        <v>1025</v>
      </c>
      <c r="J18" s="6">
        <f ca="1" t="shared" si="1"/>
        <v>20500</v>
      </c>
      <c r="K18" s="6"/>
      <c r="L18" s="6"/>
      <c r="M18" s="6"/>
      <c r="N18" s="6">
        <f ca="1" t="shared" si="2"/>
        <v>20500</v>
      </c>
      <c r="O18" s="6">
        <f ca="1" t="shared" si="3"/>
        <v>5.69444444444444</v>
      </c>
      <c r="P18" s="6"/>
      <c r="Q18" s="6"/>
    </row>
    <row r="19" s="21" customFormat="1" ht="20" customHeight="1" spans="1:17">
      <c r="A19" s="27">
        <v>46095</v>
      </c>
      <c r="B19" s="6">
        <v>11</v>
      </c>
      <c r="C19" s="28">
        <f ca="1">SUM(O19:O22)/B19</f>
        <v>1.17765151515152</v>
      </c>
      <c r="D19" s="5" t="s">
        <v>20</v>
      </c>
      <c r="E19" s="6" t="s">
        <v>18</v>
      </c>
      <c r="F19" s="6">
        <v>1942</v>
      </c>
      <c r="G19" s="5" t="s">
        <v>160</v>
      </c>
      <c r="H19" s="6">
        <f ca="1" t="array" ref="H19">INDEX(成本核算表!J:J,MATCH(1,(成本核算表!D:D=E19)*(成本核算表!C:C=G19),0))</f>
        <v>20</v>
      </c>
      <c r="I19" s="6">
        <v>464</v>
      </c>
      <c r="J19" s="6">
        <f ca="1" t="shared" si="1"/>
        <v>9280</v>
      </c>
      <c r="K19" s="6"/>
      <c r="L19" s="6"/>
      <c r="M19" s="6"/>
      <c r="N19" s="6">
        <f ca="1" t="shared" si="2"/>
        <v>9280</v>
      </c>
      <c r="O19" s="6">
        <f ca="1" t="shared" si="3"/>
        <v>2.57777777777778</v>
      </c>
      <c r="P19" s="6"/>
      <c r="Q19" s="6"/>
    </row>
    <row r="20" s="21" customFormat="1" ht="20" customHeight="1" spans="1:17">
      <c r="A20" s="27">
        <v>46095</v>
      </c>
      <c r="B20" s="6"/>
      <c r="C20" s="28"/>
      <c r="D20" s="5" t="s">
        <v>17</v>
      </c>
      <c r="E20" s="6" t="s">
        <v>18</v>
      </c>
      <c r="F20" s="6">
        <v>1942</v>
      </c>
      <c r="G20" s="5" t="s">
        <v>160</v>
      </c>
      <c r="H20" s="6">
        <f ca="1" t="array" ref="H20">INDEX(成本核算表!J:J,MATCH(1,(成本核算表!D:D=E20)*(成本核算表!C:C=G20),0))</f>
        <v>20</v>
      </c>
      <c r="I20" s="6">
        <v>344</v>
      </c>
      <c r="J20" s="6">
        <f ca="1" t="shared" si="1"/>
        <v>6880</v>
      </c>
      <c r="K20" s="6"/>
      <c r="L20" s="6"/>
      <c r="M20" s="6"/>
      <c r="N20" s="6">
        <f ca="1" t="shared" si="2"/>
        <v>6880</v>
      </c>
      <c r="O20" s="6">
        <f ca="1" t="shared" si="3"/>
        <v>1.91111111111111</v>
      </c>
      <c r="P20" s="6"/>
      <c r="Q20" s="6"/>
    </row>
    <row r="21" s="21" customFormat="1" ht="20" customHeight="1" spans="1:17">
      <c r="A21" s="27">
        <v>46095</v>
      </c>
      <c r="B21" s="6"/>
      <c r="C21" s="28"/>
      <c r="D21" s="5" t="s">
        <v>168</v>
      </c>
      <c r="E21" s="5" t="s">
        <v>48</v>
      </c>
      <c r="F21" s="6">
        <v>950</v>
      </c>
      <c r="G21" s="5" t="s">
        <v>49</v>
      </c>
      <c r="H21" s="6">
        <f ca="1" t="array" ref="H21">INDEX(成本核算表!J:J,MATCH(1,(成本核算表!D:D=E21)*(成本核算表!C:C=G21),0))</f>
        <v>25</v>
      </c>
      <c r="I21" s="6">
        <v>609</v>
      </c>
      <c r="J21" s="6">
        <f ca="1" t="shared" si="1"/>
        <v>15225</v>
      </c>
      <c r="K21" s="6"/>
      <c r="L21" s="6"/>
      <c r="M21" s="6"/>
      <c r="N21" s="6">
        <f ca="1" t="shared" si="2"/>
        <v>15225</v>
      </c>
      <c r="O21" s="6">
        <f ca="1" t="shared" si="3"/>
        <v>4.22916666666667</v>
      </c>
      <c r="P21" s="6"/>
      <c r="Q21" s="6"/>
    </row>
    <row r="22" s="21" customFormat="1" ht="20" customHeight="1" spans="1:17">
      <c r="A22" s="27">
        <v>46095</v>
      </c>
      <c r="B22" s="6"/>
      <c r="C22" s="28"/>
      <c r="D22" s="5" t="s">
        <v>169</v>
      </c>
      <c r="E22" s="5" t="s">
        <v>48</v>
      </c>
      <c r="F22" s="6">
        <v>950</v>
      </c>
      <c r="G22" s="5" t="s">
        <v>49</v>
      </c>
      <c r="H22" s="6">
        <f ca="1" t="array" ref="H22">INDEX(成本核算表!J:J,MATCH(1,(成本核算表!D:D=E22)*(成本核算表!C:C=G22),0))</f>
        <v>25</v>
      </c>
      <c r="I22" s="6">
        <v>610</v>
      </c>
      <c r="J22" s="6">
        <f ca="1" t="shared" si="1"/>
        <v>15250</v>
      </c>
      <c r="K22" s="6"/>
      <c r="L22" s="6"/>
      <c r="M22" s="6"/>
      <c r="N22" s="6">
        <f ca="1" t="shared" si="2"/>
        <v>15250</v>
      </c>
      <c r="O22" s="6">
        <f ca="1" t="shared" si="3"/>
        <v>4.23611111111111</v>
      </c>
      <c r="P22" s="6"/>
      <c r="Q22" s="6"/>
    </row>
    <row r="23" s="21" customFormat="1" ht="20" customHeight="1" spans="1:17">
      <c r="A23" s="27">
        <v>46096</v>
      </c>
      <c r="B23" s="6">
        <v>9.5</v>
      </c>
      <c r="C23" s="28">
        <f ca="1">SUM(O23:O29)/B23</f>
        <v>0.991052631578948</v>
      </c>
      <c r="D23" s="5" t="s">
        <v>158</v>
      </c>
      <c r="E23" s="5" t="s">
        <v>159</v>
      </c>
      <c r="F23" s="6">
        <v>1784.3</v>
      </c>
      <c r="G23" s="5" t="s">
        <v>70</v>
      </c>
      <c r="H23" s="6">
        <f ca="1" t="array" ref="H23">INDEX(成本核算表!J:J,MATCH(1,(成本核算表!D:D=E23)*(成本核算表!C:C=G23),0))</f>
        <v>25</v>
      </c>
      <c r="I23" s="6">
        <v>626</v>
      </c>
      <c r="J23" s="6">
        <f ca="1" t="shared" si="1"/>
        <v>15650</v>
      </c>
      <c r="K23" s="6"/>
      <c r="L23" s="6"/>
      <c r="M23" s="6"/>
      <c r="N23" s="6">
        <f ca="1" t="shared" si="2"/>
        <v>15650</v>
      </c>
      <c r="O23" s="6">
        <f ca="1" t="shared" si="3"/>
        <v>4.34722222222222</v>
      </c>
      <c r="P23" s="6"/>
      <c r="Q23" s="6"/>
    </row>
    <row r="24" s="21" customFormat="1" ht="20" customHeight="1" spans="1:17">
      <c r="A24" s="27">
        <v>46096</v>
      </c>
      <c r="B24" s="6"/>
      <c r="C24" s="28"/>
      <c r="D24" s="5" t="s">
        <v>162</v>
      </c>
      <c r="E24" s="5" t="s">
        <v>163</v>
      </c>
      <c r="F24" s="6">
        <v>2400</v>
      </c>
      <c r="G24" s="5" t="s">
        <v>121</v>
      </c>
      <c r="H24" s="6">
        <f ca="1" t="array" ref="H24">INDEX(成本核算表!J:J,MATCH(1,(成本核算表!D:D=E24)*(成本核算表!C:C=G24),0))</f>
        <v>13</v>
      </c>
      <c r="I24" s="6">
        <v>128</v>
      </c>
      <c r="J24" s="6">
        <f ca="1" t="shared" si="1"/>
        <v>1664</v>
      </c>
      <c r="K24" s="6"/>
      <c r="L24" s="6"/>
      <c r="M24" s="6"/>
      <c r="N24" s="6">
        <f ca="1" t="shared" si="2"/>
        <v>1664</v>
      </c>
      <c r="O24" s="6">
        <f ca="1" t="shared" si="3"/>
        <v>0.462222222222222</v>
      </c>
      <c r="P24" s="6"/>
      <c r="Q24" s="6"/>
    </row>
    <row r="25" s="21" customFormat="1" ht="20" customHeight="1" spans="1:17">
      <c r="A25" s="27">
        <v>46096</v>
      </c>
      <c r="B25" s="6"/>
      <c r="C25" s="28"/>
      <c r="D25" s="5" t="s">
        <v>162</v>
      </c>
      <c r="E25" s="5" t="s">
        <v>163</v>
      </c>
      <c r="F25" s="6">
        <v>2400</v>
      </c>
      <c r="G25" s="5" t="s">
        <v>97</v>
      </c>
      <c r="H25" s="6">
        <f ca="1" t="array" ref="H25">INDEX(成本核算表!J:J,MATCH(1,(成本核算表!D:D=E25)*(成本核算表!C:C=G25),0))</f>
        <v>10</v>
      </c>
      <c r="I25" s="6">
        <v>128</v>
      </c>
      <c r="J25" s="6">
        <f ca="1" t="shared" si="1"/>
        <v>1280</v>
      </c>
      <c r="K25" s="6"/>
      <c r="L25" s="6"/>
      <c r="M25" s="6"/>
      <c r="N25" s="6">
        <f ca="1" t="shared" si="2"/>
        <v>1280</v>
      </c>
      <c r="O25" s="6">
        <f ca="1" t="shared" si="3"/>
        <v>0.355555555555556</v>
      </c>
      <c r="P25" s="6"/>
      <c r="Q25" s="6"/>
    </row>
    <row r="26" s="21" customFormat="1" ht="20" customHeight="1" spans="1:17">
      <c r="A26" s="27">
        <v>46096</v>
      </c>
      <c r="B26" s="6"/>
      <c r="C26" s="28"/>
      <c r="D26" s="5" t="s">
        <v>164</v>
      </c>
      <c r="E26" s="5" t="s">
        <v>163</v>
      </c>
      <c r="F26" s="6">
        <v>2400</v>
      </c>
      <c r="G26" s="5" t="s">
        <v>70</v>
      </c>
      <c r="H26" s="6">
        <f ca="1" t="array" ref="H26">INDEX(成本核算表!J:J,MATCH(1,(成本核算表!D:D=E26)*(成本核算表!C:C=G26),0))</f>
        <v>15</v>
      </c>
      <c r="I26" s="6">
        <v>128</v>
      </c>
      <c r="J26" s="6">
        <f ca="1" t="shared" si="1"/>
        <v>1920</v>
      </c>
      <c r="K26" s="6"/>
      <c r="L26" s="6"/>
      <c r="M26" s="6"/>
      <c r="N26" s="6">
        <f ca="1" t="shared" si="2"/>
        <v>1920</v>
      </c>
      <c r="O26" s="6">
        <f ca="1" t="shared" si="3"/>
        <v>0.533333333333333</v>
      </c>
      <c r="P26" s="6"/>
      <c r="Q26" s="6"/>
    </row>
    <row r="27" s="21" customFormat="1" ht="20" customHeight="1" spans="1:17">
      <c r="A27" s="27">
        <v>46096</v>
      </c>
      <c r="B27" s="6"/>
      <c r="C27" s="28"/>
      <c r="D27" s="5" t="s">
        <v>164</v>
      </c>
      <c r="E27" s="5" t="s">
        <v>163</v>
      </c>
      <c r="F27" s="6">
        <v>2400</v>
      </c>
      <c r="G27" s="5" t="s">
        <v>97</v>
      </c>
      <c r="H27" s="6">
        <f ca="1" t="array" ref="H27">INDEX(成本核算表!J:J,MATCH(1,(成本核算表!D:D=E27)*(成本核算表!C:C=G27),0))</f>
        <v>10</v>
      </c>
      <c r="I27" s="6">
        <v>128</v>
      </c>
      <c r="J27" s="6">
        <f ca="1" t="shared" si="1"/>
        <v>1280</v>
      </c>
      <c r="K27" s="6"/>
      <c r="L27" s="6"/>
      <c r="M27" s="6"/>
      <c r="N27" s="6">
        <f ca="1" t="shared" si="2"/>
        <v>1280</v>
      </c>
      <c r="O27" s="6">
        <f ca="1" t="shared" si="3"/>
        <v>0.355555555555556</v>
      </c>
      <c r="P27" s="6"/>
      <c r="Q27" s="6"/>
    </row>
    <row r="28" s="21" customFormat="1" ht="20" customHeight="1" spans="1:17">
      <c r="A28" s="27">
        <v>46096</v>
      </c>
      <c r="B28" s="6"/>
      <c r="C28" s="28"/>
      <c r="D28" s="5" t="s">
        <v>120</v>
      </c>
      <c r="E28" s="5" t="s">
        <v>96</v>
      </c>
      <c r="F28" s="6">
        <v>2200</v>
      </c>
      <c r="G28" s="5" t="s">
        <v>121</v>
      </c>
      <c r="H28" s="6">
        <f ca="1" t="array" ref="H28">INDEX(成本核算表!J:J,MATCH(1,(成本核算表!D:D=E28)*(成本核算表!C:C=G28),0))</f>
        <v>13</v>
      </c>
      <c r="I28" s="6">
        <v>700</v>
      </c>
      <c r="J28" s="6">
        <f ca="1" t="shared" si="1"/>
        <v>9100</v>
      </c>
      <c r="K28" s="6"/>
      <c r="L28" s="6"/>
      <c r="M28" s="6"/>
      <c r="N28" s="6">
        <f ca="1" t="shared" si="2"/>
        <v>9100</v>
      </c>
      <c r="O28" s="6">
        <f ca="1" t="shared" si="3"/>
        <v>2.52777777777778</v>
      </c>
      <c r="P28" s="6"/>
      <c r="Q28" s="6"/>
    </row>
    <row r="29" s="21" customFormat="1" ht="20" customHeight="1" spans="1:17">
      <c r="A29" s="27">
        <v>46096</v>
      </c>
      <c r="B29" s="6"/>
      <c r="C29" s="28"/>
      <c r="D29" s="5" t="s">
        <v>120</v>
      </c>
      <c r="E29" s="5" t="s">
        <v>96</v>
      </c>
      <c r="F29" s="6">
        <v>2200</v>
      </c>
      <c r="G29" s="5" t="s">
        <v>97</v>
      </c>
      <c r="H29" s="6">
        <f ca="1" t="array" ref="H29">INDEX(成本核算表!J:J,MATCH(1,(成本核算表!D:D=E29)*(成本核算表!C:C=G29),0))</f>
        <v>10</v>
      </c>
      <c r="I29" s="6">
        <v>300</v>
      </c>
      <c r="J29" s="6">
        <f ca="1" t="shared" si="1"/>
        <v>3000</v>
      </c>
      <c r="K29" s="6"/>
      <c r="L29" s="6"/>
      <c r="M29" s="6"/>
      <c r="N29" s="6">
        <f ca="1" t="shared" si="2"/>
        <v>3000</v>
      </c>
      <c r="O29" s="6">
        <f ca="1" t="shared" si="3"/>
        <v>0.833333333333333</v>
      </c>
      <c r="P29" s="6"/>
      <c r="Q29" s="6"/>
    </row>
    <row r="30" s="21" customFormat="1" ht="20" customHeight="1" spans="1:17">
      <c r="A30" s="27">
        <v>46097</v>
      </c>
      <c r="B30" s="6">
        <v>11</v>
      </c>
      <c r="C30" s="28">
        <f ca="1">SUM(O30:O32)/B30</f>
        <v>1.08111111111111</v>
      </c>
      <c r="D30" s="5" t="s">
        <v>120</v>
      </c>
      <c r="E30" s="5" t="s">
        <v>96</v>
      </c>
      <c r="F30" s="6">
        <v>2200</v>
      </c>
      <c r="G30" s="5" t="s">
        <v>121</v>
      </c>
      <c r="H30" s="6">
        <f ca="1" t="array" ref="H30">INDEX(成本核算表!J:J,MATCH(1,(成本核算表!D:D=E30)*(成本核算表!C:C=G30),0))</f>
        <v>13</v>
      </c>
      <c r="I30" s="6">
        <v>834</v>
      </c>
      <c r="J30" s="6">
        <f ca="1" t="shared" si="1"/>
        <v>10842</v>
      </c>
      <c r="K30" s="6"/>
      <c r="L30" s="6"/>
      <c r="M30" s="6"/>
      <c r="N30" s="6">
        <f ca="1" t="shared" si="2"/>
        <v>10842</v>
      </c>
      <c r="O30" s="6">
        <f ca="1" t="shared" si="3"/>
        <v>3.01166666666667</v>
      </c>
      <c r="P30" s="6"/>
      <c r="Q30" s="6"/>
    </row>
    <row r="31" s="21" customFormat="1" ht="20" customHeight="1" spans="1:17">
      <c r="A31" s="27">
        <v>46097</v>
      </c>
      <c r="B31" s="6"/>
      <c r="C31" s="28"/>
      <c r="D31" s="5" t="s">
        <v>120</v>
      </c>
      <c r="E31" s="5" t="s">
        <v>96</v>
      </c>
      <c r="F31" s="6">
        <v>2200</v>
      </c>
      <c r="G31" s="5" t="s">
        <v>97</v>
      </c>
      <c r="H31" s="6">
        <f ca="1" t="array" ref="H31">INDEX(成本核算表!J:J,MATCH(1,(成本核算表!D:D=E31)*(成本核算表!C:C=G31),0))</f>
        <v>10</v>
      </c>
      <c r="I31" s="6">
        <v>1234</v>
      </c>
      <c r="J31" s="6">
        <f ca="1" t="shared" si="1"/>
        <v>12340</v>
      </c>
      <c r="K31" s="6"/>
      <c r="L31" s="6"/>
      <c r="M31" s="6"/>
      <c r="N31" s="6">
        <f ca="1" t="shared" si="2"/>
        <v>12340</v>
      </c>
      <c r="O31" s="6">
        <f ca="1" t="shared" si="3"/>
        <v>3.42777777777778</v>
      </c>
      <c r="P31" s="6"/>
      <c r="Q31" s="6"/>
    </row>
    <row r="32" s="21" customFormat="1" ht="20" customHeight="1" spans="1:17">
      <c r="A32" s="27">
        <v>46097</v>
      </c>
      <c r="B32" s="6"/>
      <c r="C32" s="28"/>
      <c r="D32" s="5" t="s">
        <v>122</v>
      </c>
      <c r="E32" s="5" t="s">
        <v>96</v>
      </c>
      <c r="F32" s="6">
        <v>2200</v>
      </c>
      <c r="G32" s="5" t="s">
        <v>97</v>
      </c>
      <c r="H32" s="6">
        <f ca="1" t="array" ref="H32">INDEX(成本核算表!J:J,MATCH(1,(成本核算表!D:D=E32)*(成本核算表!C:C=G32),0))</f>
        <v>10</v>
      </c>
      <c r="I32" s="6">
        <v>1963</v>
      </c>
      <c r="J32" s="6">
        <f ca="1" t="shared" si="1"/>
        <v>19630</v>
      </c>
      <c r="K32" s="6"/>
      <c r="L32" s="6"/>
      <c r="M32" s="6"/>
      <c r="N32" s="6">
        <f ca="1" t="shared" si="2"/>
        <v>19630</v>
      </c>
      <c r="O32" s="6">
        <f ca="1" t="shared" si="3"/>
        <v>5.45277777777778</v>
      </c>
      <c r="P32" s="6"/>
      <c r="Q32" s="6"/>
    </row>
    <row r="33" s="21" customFormat="1" ht="20" customHeight="1" spans="1:17">
      <c r="A33" s="27">
        <v>46098</v>
      </c>
      <c r="B33" s="6">
        <v>11</v>
      </c>
      <c r="C33" s="28">
        <f ca="1">SUM(O33)/B33</f>
        <v>0.95959595959596</v>
      </c>
      <c r="D33" s="5" t="s">
        <v>40</v>
      </c>
      <c r="E33" s="6" t="s">
        <v>36</v>
      </c>
      <c r="F33" s="6">
        <v>119.5</v>
      </c>
      <c r="G33" s="6" t="s">
        <v>58</v>
      </c>
      <c r="H33" s="6">
        <f ca="1" t="array" ref="H33">INDEX(成本核算表!J:J,MATCH(1,(成本核算表!D:D=E33)*(成本核算表!C:C=G33),0))</f>
        <v>10</v>
      </c>
      <c r="I33" s="6">
        <v>3800</v>
      </c>
      <c r="J33" s="6">
        <f ca="1" t="shared" si="1"/>
        <v>38000</v>
      </c>
      <c r="K33" s="6"/>
      <c r="L33" s="6"/>
      <c r="M33" s="6"/>
      <c r="N33" s="6">
        <f ca="1" t="shared" si="2"/>
        <v>38000</v>
      </c>
      <c r="O33" s="6">
        <f ca="1" t="shared" si="3"/>
        <v>10.5555555555556</v>
      </c>
      <c r="P33" s="6"/>
      <c r="Q33" s="6"/>
    </row>
    <row r="34" s="21" customFormat="1" ht="20" customHeight="1" spans="1:17">
      <c r="A34" s="27">
        <v>46099</v>
      </c>
      <c r="B34" s="6">
        <v>11</v>
      </c>
      <c r="C34" s="28">
        <f ca="1">SUM(O34)/B34</f>
        <v>0.863636363636364</v>
      </c>
      <c r="D34" s="5" t="s">
        <v>40</v>
      </c>
      <c r="E34" s="6" t="s">
        <v>36</v>
      </c>
      <c r="F34" s="6">
        <v>119.5</v>
      </c>
      <c r="G34" s="6" t="s">
        <v>58</v>
      </c>
      <c r="H34" s="6">
        <f ca="1" t="array" ref="H34">INDEX(成本核算表!J:J,MATCH(1,(成本核算表!D:D=E34)*(成本核算表!C:C=G34),0))</f>
        <v>10</v>
      </c>
      <c r="I34" s="6">
        <v>3420</v>
      </c>
      <c r="J34" s="6">
        <f ca="1" t="shared" si="1"/>
        <v>34200</v>
      </c>
      <c r="K34" s="6"/>
      <c r="L34" s="6"/>
      <c r="M34" s="6"/>
      <c r="N34" s="6">
        <f ca="1" t="shared" si="2"/>
        <v>34200</v>
      </c>
      <c r="O34" s="6">
        <f ca="1" t="shared" si="3"/>
        <v>9.5</v>
      </c>
      <c r="P34" s="6"/>
      <c r="Q34" s="6"/>
    </row>
    <row r="35" s="21" customFormat="1" ht="20" customHeight="1" spans="1:17">
      <c r="A35" s="27">
        <v>46100</v>
      </c>
      <c r="B35" s="6">
        <v>11</v>
      </c>
      <c r="C35" s="28">
        <f ca="1" t="shared" ref="C33:C36" si="6">SUM(O35:O36)/B35</f>
        <v>1.68510101010101</v>
      </c>
      <c r="D35" s="5" t="s">
        <v>170</v>
      </c>
      <c r="E35" s="5" t="s">
        <v>171</v>
      </c>
      <c r="F35" s="6">
        <v>2380</v>
      </c>
      <c r="G35" s="5" t="s">
        <v>44</v>
      </c>
      <c r="H35" s="6">
        <f ca="1" t="array" ref="H35">INDEX(成本核算表!J:J,MATCH(1,(成本核算表!D:D=E35)*(成本核算表!C:C=G35),0))</f>
        <v>131</v>
      </c>
      <c r="I35" s="6">
        <v>360</v>
      </c>
      <c r="J35" s="6">
        <f ca="1" t="shared" si="1"/>
        <v>47160</v>
      </c>
      <c r="K35" s="6"/>
      <c r="L35" s="6"/>
      <c r="M35" s="6"/>
      <c r="N35" s="6">
        <f ca="1" t="shared" si="2"/>
        <v>47160</v>
      </c>
      <c r="O35" s="6">
        <f ca="1" t="shared" si="3"/>
        <v>13.1</v>
      </c>
      <c r="P35" s="6"/>
      <c r="Q35" s="6"/>
    </row>
    <row r="36" s="21" customFormat="1" ht="20" customHeight="1" spans="1:17">
      <c r="A36" s="27">
        <v>46101</v>
      </c>
      <c r="B36" s="6">
        <v>11</v>
      </c>
      <c r="C36" s="28">
        <f ca="1" t="shared" si="6"/>
        <v>0.780808080808081</v>
      </c>
      <c r="D36" s="5" t="s">
        <v>40</v>
      </c>
      <c r="E36" s="6" t="s">
        <v>36</v>
      </c>
      <c r="F36" s="6">
        <v>119.5</v>
      </c>
      <c r="G36" s="6" t="s">
        <v>58</v>
      </c>
      <c r="H36" s="6">
        <f ca="1" t="array" ref="H36">INDEX(成本核算表!J:J,MATCH(1,(成本核算表!D:D=E36)*(成本核算表!C:C=G36),0))</f>
        <v>10</v>
      </c>
      <c r="I36" s="6">
        <v>1957</v>
      </c>
      <c r="J36" s="6">
        <f ca="1" t="shared" si="1"/>
        <v>19570</v>
      </c>
      <c r="K36" s="6"/>
      <c r="L36" s="6"/>
      <c r="M36" s="6"/>
      <c r="N36" s="6">
        <f ca="1" t="shared" si="2"/>
        <v>19570</v>
      </c>
      <c r="O36" s="6">
        <f ca="1" t="shared" si="3"/>
        <v>5.43611111111111</v>
      </c>
      <c r="P36" s="6"/>
      <c r="Q36" s="6"/>
    </row>
    <row r="37" s="21" customFormat="1" ht="20" customHeight="1" spans="1:17">
      <c r="A37" s="27">
        <v>46101</v>
      </c>
      <c r="B37" s="6"/>
      <c r="C37" s="28"/>
      <c r="D37" s="5" t="s">
        <v>165</v>
      </c>
      <c r="E37" s="5" t="s">
        <v>159</v>
      </c>
      <c r="F37" s="6">
        <v>1784.3</v>
      </c>
      <c r="G37" s="5" t="s">
        <v>70</v>
      </c>
      <c r="H37" s="6">
        <f ca="1" t="array" ref="H37">INDEX(成本核算表!J:J,MATCH(1,(成本核算表!D:D=E37)*(成本核算表!C:C=G37),0))</f>
        <v>25</v>
      </c>
      <c r="I37" s="6">
        <v>454</v>
      </c>
      <c r="J37" s="6">
        <f ca="1" t="shared" si="1"/>
        <v>11350</v>
      </c>
      <c r="K37" s="6"/>
      <c r="L37" s="6"/>
      <c r="M37" s="6"/>
      <c r="N37" s="6">
        <f ca="1" t="shared" si="2"/>
        <v>11350</v>
      </c>
      <c r="O37" s="6">
        <f ca="1" t="shared" si="3"/>
        <v>3.15277777777778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1"/>
        <v>0</v>
      </c>
      <c r="K38" s="6"/>
      <c r="L38" s="6"/>
      <c r="M38" s="6"/>
      <c r="N38" s="6">
        <f ca="1" t="shared" si="2"/>
        <v>0</v>
      </c>
      <c r="O38" s="6">
        <f ca="1" t="shared" si="3"/>
        <v>0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1"/>
        <v>0</v>
      </c>
      <c r="K39" s="6"/>
      <c r="L39" s="6"/>
      <c r="M39" s="6"/>
      <c r="N39" s="6">
        <f ca="1" t="shared" si="2"/>
        <v>0</v>
      </c>
      <c r="O39" s="6">
        <f ca="1" t="shared" si="3"/>
        <v>0</v>
      </c>
      <c r="P39" s="6"/>
      <c r="Q39" s="6"/>
    </row>
    <row r="40" s="21" customFormat="1" ht="20" customHeight="1" spans="1:17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6"/>
      <c r="J40" s="6">
        <f ca="1" t="shared" si="1"/>
        <v>0</v>
      </c>
      <c r="K40" s="6"/>
      <c r="L40" s="6"/>
      <c r="M40" s="6"/>
      <c r="N40" s="6">
        <f ca="1" t="shared" si="2"/>
        <v>0</v>
      </c>
      <c r="O40" s="6">
        <f ca="1" t="shared" si="3"/>
        <v>0</v>
      </c>
      <c r="P40" s="6"/>
      <c r="Q40" s="6"/>
    </row>
    <row r="41" s="21" customFormat="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1"/>
        <v>0</v>
      </c>
      <c r="K41" s="6"/>
      <c r="L41" s="6"/>
      <c r="M41" s="6"/>
      <c r="N41" s="6">
        <f ca="1" t="shared" si="2"/>
        <v>0</v>
      </c>
      <c r="O41" s="6">
        <f ca="1" t="shared" si="3"/>
        <v>0</v>
      </c>
      <c r="P41" s="6"/>
      <c r="Q41" s="6"/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1"/>
        <v>0</v>
      </c>
      <c r="K42" s="23"/>
      <c r="L42" s="23"/>
      <c r="N42" s="6">
        <f ca="1" t="shared" si="2"/>
        <v>0</v>
      </c>
      <c r="O42" s="6">
        <f ca="1" t="shared" si="3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1"/>
        <v>0</v>
      </c>
      <c r="K43" s="23"/>
      <c r="L43" s="23"/>
      <c r="N43" s="6">
        <f ca="1" t="shared" si="2"/>
        <v>0</v>
      </c>
      <c r="O43" s="6">
        <f ca="1" t="shared" si="3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1"/>
        <v>0</v>
      </c>
      <c r="K44" s="23"/>
      <c r="L44" s="23"/>
      <c r="N44" s="6">
        <f ca="1" t="shared" si="2"/>
        <v>0</v>
      </c>
      <c r="O44" s="6">
        <f ca="1" t="shared" si="3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1"/>
        <v>0</v>
      </c>
      <c r="K45" s="23"/>
      <c r="L45" s="23"/>
      <c r="N45" s="6">
        <f ca="1" t="shared" si="2"/>
        <v>0</v>
      </c>
      <c r="O45" s="6">
        <f ca="1" t="shared" si="3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1"/>
        <v>0</v>
      </c>
      <c r="K46" s="23"/>
      <c r="L46" s="23"/>
      <c r="N46" s="6">
        <f ca="1" t="shared" si="2"/>
        <v>0</v>
      </c>
      <c r="O46" s="6">
        <f ca="1" t="shared" si="3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1"/>
        <v>0</v>
      </c>
      <c r="K47" s="23"/>
      <c r="L47" s="23"/>
      <c r="N47" s="6">
        <f ca="1" t="shared" si="2"/>
        <v>0</v>
      </c>
      <c r="O47" s="6">
        <f ca="1" t="shared" si="3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1"/>
        <v>0</v>
      </c>
      <c r="K48" s="23"/>
      <c r="L48" s="23"/>
      <c r="N48" s="6">
        <f ca="1" t="shared" si="2"/>
        <v>0</v>
      </c>
      <c r="O48" s="6">
        <f ca="1" t="shared" si="3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1"/>
        <v>0</v>
      </c>
      <c r="K49" s="23"/>
      <c r="L49" s="23"/>
      <c r="N49" s="6">
        <f ca="1" t="shared" si="2"/>
        <v>0</v>
      </c>
      <c r="O49" s="6">
        <f ca="1" t="shared" si="3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1"/>
        <v>0</v>
      </c>
      <c r="K50" s="23"/>
      <c r="L50" s="23"/>
      <c r="N50" s="6">
        <f ca="1" t="shared" si="2"/>
        <v>0</v>
      </c>
      <c r="O50" s="6">
        <f ca="1" t="shared" si="3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1"/>
        <v>0</v>
      </c>
      <c r="K51" s="23"/>
      <c r="L51" s="23"/>
      <c r="N51" s="6">
        <f ca="1" t="shared" si="2"/>
        <v>0</v>
      </c>
      <c r="O51" s="6">
        <f ca="1" t="shared" si="3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1"/>
        <v>0</v>
      </c>
      <c r="K52" s="23"/>
      <c r="L52" s="23"/>
      <c r="N52" s="6">
        <f ca="1" t="shared" si="2"/>
        <v>0</v>
      </c>
      <c r="O52" s="6">
        <f ca="1" t="shared" si="3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1"/>
        <v>0</v>
      </c>
      <c r="K53" s="23"/>
      <c r="L53" s="23"/>
      <c r="N53" s="6">
        <f ca="1" t="shared" si="2"/>
        <v>0</v>
      </c>
      <c r="O53" s="6">
        <f ca="1" t="shared" si="3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1"/>
        <v>0</v>
      </c>
      <c r="K54" s="23"/>
      <c r="L54" s="23"/>
      <c r="N54" s="6">
        <f ca="1" t="shared" si="2"/>
        <v>0</v>
      </c>
      <c r="O54" s="6">
        <f ca="1" t="shared" si="3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1"/>
        <v>0</v>
      </c>
      <c r="K55" s="23"/>
      <c r="L55" s="23"/>
      <c r="N55" s="6">
        <f ca="1" t="shared" si="2"/>
        <v>0</v>
      </c>
      <c r="O55" s="6">
        <f ca="1" t="shared" si="3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1"/>
        <v>0</v>
      </c>
      <c r="K56" s="23"/>
      <c r="L56" s="23"/>
      <c r="N56" s="6">
        <f ca="1" t="shared" si="2"/>
        <v>0</v>
      </c>
      <c r="O56" s="6">
        <f ca="1" t="shared" si="3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1"/>
        <v>0</v>
      </c>
      <c r="K57" s="23"/>
      <c r="L57" s="23"/>
      <c r="N57" s="6">
        <f ca="1" t="shared" si="2"/>
        <v>0</v>
      </c>
      <c r="O57" s="6">
        <f ca="1" t="shared" si="3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1"/>
        <v>0</v>
      </c>
      <c r="K58" s="23"/>
      <c r="L58" s="23"/>
      <c r="N58" s="6">
        <f ca="1" t="shared" si="2"/>
        <v>0</v>
      </c>
      <c r="O58" s="6">
        <f ca="1" t="shared" si="3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1"/>
        <v>0</v>
      </c>
      <c r="K59" s="23"/>
      <c r="L59" s="23"/>
      <c r="N59" s="6">
        <f ca="1" t="shared" si="2"/>
        <v>0</v>
      </c>
      <c r="O59" s="6">
        <f ca="1" t="shared" si="3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1"/>
        <v>0</v>
      </c>
      <c r="K60" s="23"/>
      <c r="L60" s="23"/>
      <c r="N60" s="6">
        <f ca="1" t="shared" si="2"/>
        <v>0</v>
      </c>
      <c r="O60" s="6">
        <f ca="1" t="shared" si="3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1"/>
        <v>0</v>
      </c>
      <c r="K61" s="23"/>
      <c r="L61" s="23"/>
      <c r="N61" s="6">
        <f ca="1" t="shared" si="2"/>
        <v>0</v>
      </c>
      <c r="O61" s="6">
        <f ca="1" t="shared" si="3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1"/>
        <v>0</v>
      </c>
      <c r="K62" s="23"/>
      <c r="L62" s="23"/>
      <c r="N62" s="6">
        <f ca="1" t="shared" si="2"/>
        <v>0</v>
      </c>
      <c r="O62" s="6">
        <f ca="1" t="shared" si="3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1"/>
        <v>0</v>
      </c>
      <c r="K63" s="23"/>
      <c r="L63" s="23"/>
      <c r="N63" s="6">
        <f ca="1" t="shared" si="2"/>
        <v>0</v>
      </c>
      <c r="O63" s="6">
        <f ca="1" t="shared" si="3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1"/>
        <v>0</v>
      </c>
      <c r="K64" s="23"/>
      <c r="L64" s="23"/>
      <c r="N64" s="6">
        <f ca="1" t="shared" si="2"/>
        <v>0</v>
      </c>
      <c r="O64" s="6">
        <f ca="1" t="shared" si="3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1"/>
        <v>0</v>
      </c>
      <c r="K65" s="23"/>
      <c r="L65" s="23"/>
      <c r="N65" s="6">
        <f ca="1" t="shared" si="2"/>
        <v>0</v>
      </c>
      <c r="O65" s="6">
        <f ca="1" t="shared" si="3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101" si="7">H66*I66</f>
        <v>0</v>
      </c>
      <c r="K66" s="23"/>
      <c r="L66" s="23"/>
      <c r="N66" s="6">
        <f ca="1" t="shared" ref="N66:N101" si="8">J66-M66+L66</f>
        <v>0</v>
      </c>
      <c r="O66" s="6">
        <f ca="1" t="shared" ref="O66:O101" si="9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7"/>
        <v>0</v>
      </c>
      <c r="K67" s="23"/>
      <c r="L67" s="23"/>
      <c r="N67" s="6">
        <f ca="1" t="shared" si="8"/>
        <v>0</v>
      </c>
      <c r="O67" s="6">
        <f ca="1" t="shared" si="9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7"/>
        <v>0</v>
      </c>
      <c r="K68" s="23"/>
      <c r="L68" s="23"/>
      <c r="N68" s="6">
        <f ca="1" t="shared" si="8"/>
        <v>0</v>
      </c>
      <c r="O68" s="6">
        <f ca="1" t="shared" si="9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7"/>
        <v>0</v>
      </c>
      <c r="K69" s="23"/>
      <c r="L69" s="23"/>
      <c r="N69" s="6">
        <f ca="1" t="shared" si="8"/>
        <v>0</v>
      </c>
      <c r="O69" s="6">
        <f ca="1" t="shared" si="9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7"/>
        <v>0</v>
      </c>
      <c r="K70" s="23"/>
      <c r="L70" s="23"/>
      <c r="N70" s="6">
        <f ca="1" t="shared" si="8"/>
        <v>0</v>
      </c>
      <c r="O70" s="6">
        <f ca="1" t="shared" si="9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7"/>
        <v>0</v>
      </c>
      <c r="K71" s="23"/>
      <c r="L71" s="23"/>
      <c r="N71" s="6">
        <f ca="1" t="shared" si="8"/>
        <v>0</v>
      </c>
      <c r="O71" s="6">
        <f ca="1" t="shared" si="9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7"/>
        <v>0</v>
      </c>
      <c r="K72" s="23"/>
      <c r="L72" s="23"/>
      <c r="N72" s="6">
        <f ca="1" t="shared" si="8"/>
        <v>0</v>
      </c>
      <c r="O72" s="6">
        <f ca="1" t="shared" si="9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7"/>
        <v>0</v>
      </c>
      <c r="K73" s="23"/>
      <c r="L73" s="23"/>
      <c r="N73" s="6">
        <f ca="1" t="shared" si="8"/>
        <v>0</v>
      </c>
      <c r="O73" s="6">
        <f ca="1" t="shared" si="9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7"/>
        <v>0</v>
      </c>
      <c r="K74" s="23"/>
      <c r="L74" s="23"/>
      <c r="N74" s="6">
        <f ca="1" t="shared" si="8"/>
        <v>0</v>
      </c>
      <c r="O74" s="6">
        <f ca="1" t="shared" si="9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7"/>
        <v>0</v>
      </c>
      <c r="K75" s="23"/>
      <c r="L75" s="23"/>
      <c r="N75" s="6">
        <f ca="1" t="shared" si="8"/>
        <v>0</v>
      </c>
      <c r="O75" s="6">
        <f ca="1" t="shared" si="9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7"/>
        <v>0</v>
      </c>
      <c r="K76" s="23"/>
      <c r="L76" s="23"/>
      <c r="N76" s="6">
        <f ca="1" t="shared" si="8"/>
        <v>0</v>
      </c>
      <c r="O76" s="6">
        <f ca="1" t="shared" si="9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7"/>
        <v>0</v>
      </c>
      <c r="K77" s="23"/>
      <c r="L77" s="23"/>
      <c r="N77" s="6">
        <f ca="1" t="shared" si="8"/>
        <v>0</v>
      </c>
      <c r="O77" s="6">
        <f ca="1" t="shared" si="9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7"/>
        <v>0</v>
      </c>
      <c r="K78" s="23"/>
      <c r="L78" s="23"/>
      <c r="N78" s="6">
        <f ca="1" t="shared" si="8"/>
        <v>0</v>
      </c>
      <c r="O78" s="6">
        <f ca="1" t="shared" si="9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7"/>
        <v>0</v>
      </c>
      <c r="K79" s="23"/>
      <c r="L79" s="23"/>
      <c r="N79" s="6">
        <f ca="1" t="shared" si="8"/>
        <v>0</v>
      </c>
      <c r="O79" s="6">
        <f ca="1" t="shared" si="9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7"/>
        <v>0</v>
      </c>
      <c r="K80" s="23"/>
      <c r="L80" s="23"/>
      <c r="N80" s="6">
        <f ca="1" t="shared" si="8"/>
        <v>0</v>
      </c>
      <c r="O80" s="6">
        <f ca="1" t="shared" si="9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7"/>
        <v>0</v>
      </c>
      <c r="K81" s="23"/>
      <c r="L81" s="23"/>
      <c r="N81" s="6">
        <f ca="1" t="shared" si="8"/>
        <v>0</v>
      </c>
      <c r="O81" s="6">
        <f ca="1" t="shared" si="9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7"/>
        <v>0</v>
      </c>
      <c r="K82" s="23"/>
      <c r="L82" s="23"/>
      <c r="N82" s="6">
        <f ca="1" t="shared" si="8"/>
        <v>0</v>
      </c>
      <c r="O82" s="6">
        <f ca="1" t="shared" si="9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7"/>
        <v>0</v>
      </c>
      <c r="K83" s="23"/>
      <c r="L83" s="23"/>
      <c r="N83" s="6">
        <f ca="1" t="shared" si="8"/>
        <v>0</v>
      </c>
      <c r="O83" s="6">
        <f ca="1" t="shared" si="9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7"/>
        <v>0</v>
      </c>
      <c r="K84" s="23"/>
      <c r="L84" s="23"/>
      <c r="N84" s="6">
        <f ca="1" t="shared" si="8"/>
        <v>0</v>
      </c>
      <c r="O84" s="6">
        <f ca="1" t="shared" si="9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7"/>
        <v>0</v>
      </c>
      <c r="K85" s="23"/>
      <c r="L85" s="23"/>
      <c r="N85" s="6">
        <f ca="1" t="shared" si="8"/>
        <v>0</v>
      </c>
      <c r="O85" s="6">
        <f ca="1" t="shared" si="9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7"/>
        <v>0</v>
      </c>
      <c r="K86" s="23"/>
      <c r="L86" s="23"/>
      <c r="N86" s="6">
        <f ca="1" t="shared" si="8"/>
        <v>0</v>
      </c>
      <c r="O86" s="6">
        <f ca="1" t="shared" si="9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7"/>
        <v>0</v>
      </c>
      <c r="K87" s="23"/>
      <c r="L87" s="23"/>
      <c r="N87" s="6">
        <f ca="1" t="shared" si="8"/>
        <v>0</v>
      </c>
      <c r="O87" s="6">
        <f ca="1" t="shared" si="9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7"/>
        <v>0</v>
      </c>
      <c r="K88" s="23"/>
      <c r="L88" s="23"/>
      <c r="N88" s="6">
        <f ca="1" t="shared" si="8"/>
        <v>0</v>
      </c>
      <c r="O88" s="6">
        <f ca="1" t="shared" si="9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7"/>
        <v>0</v>
      </c>
      <c r="K89" s="23"/>
      <c r="L89" s="23"/>
      <c r="N89" s="6">
        <f ca="1" t="shared" si="8"/>
        <v>0</v>
      </c>
      <c r="O89" s="6">
        <f ca="1" t="shared" si="9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7"/>
        <v>0</v>
      </c>
      <c r="K90" s="23"/>
      <c r="L90" s="23"/>
      <c r="N90" s="6">
        <f ca="1" t="shared" si="8"/>
        <v>0</v>
      </c>
      <c r="O90" s="6">
        <f ca="1" t="shared" si="9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7"/>
        <v>0</v>
      </c>
      <c r="K91" s="23"/>
      <c r="L91" s="23"/>
      <c r="N91" s="6">
        <f ca="1" t="shared" si="8"/>
        <v>0</v>
      </c>
      <c r="O91" s="6">
        <f ca="1" t="shared" si="9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7"/>
        <v>0</v>
      </c>
      <c r="K92" s="23"/>
      <c r="L92" s="23"/>
      <c r="N92" s="6">
        <f ca="1" t="shared" si="8"/>
        <v>0</v>
      </c>
      <c r="O92" s="6">
        <f ca="1" t="shared" si="9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7"/>
        <v>0</v>
      </c>
      <c r="K93" s="23"/>
      <c r="L93" s="23"/>
      <c r="N93" s="6">
        <f ca="1" t="shared" si="8"/>
        <v>0</v>
      </c>
      <c r="O93" s="6">
        <f ca="1" t="shared" si="9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7"/>
        <v>0</v>
      </c>
      <c r="K94" s="23"/>
      <c r="L94" s="23"/>
      <c r="N94" s="6">
        <f ca="1" t="shared" si="8"/>
        <v>0</v>
      </c>
      <c r="O94" s="6">
        <f ca="1" t="shared" si="9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7"/>
        <v>0</v>
      </c>
      <c r="K95" s="23"/>
      <c r="L95" s="23"/>
      <c r="N95" s="6">
        <f ca="1" t="shared" si="8"/>
        <v>0</v>
      </c>
      <c r="O95" s="6">
        <f ca="1" t="shared" si="9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7"/>
        <v>0</v>
      </c>
      <c r="K96" s="23"/>
      <c r="L96" s="23"/>
      <c r="N96" s="6">
        <f ca="1" t="shared" si="8"/>
        <v>0</v>
      </c>
      <c r="O96" s="6">
        <f ca="1" t="shared" si="9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7"/>
        <v>0</v>
      </c>
      <c r="K97" s="23"/>
      <c r="L97" s="23"/>
      <c r="N97" s="6">
        <f ca="1" t="shared" si="8"/>
        <v>0</v>
      </c>
      <c r="O97" s="6">
        <f ca="1" t="shared" si="9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7"/>
        <v>0</v>
      </c>
      <c r="K98" s="23"/>
      <c r="L98" s="23"/>
      <c r="N98" s="6">
        <f ca="1" t="shared" si="8"/>
        <v>0</v>
      </c>
      <c r="O98" s="6">
        <f ca="1" t="shared" si="9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7"/>
        <v>0</v>
      </c>
      <c r="K99" s="23"/>
      <c r="L99" s="23"/>
      <c r="N99" s="6">
        <f ca="1" t="shared" si="8"/>
        <v>0</v>
      </c>
      <c r="O99" s="6">
        <f ca="1" t="shared" si="9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7"/>
        <v>0</v>
      </c>
      <c r="K100" s="23"/>
      <c r="L100" s="23"/>
      <c r="N100" s="6">
        <f ca="1" t="shared" si="8"/>
        <v>0</v>
      </c>
      <c r="O100" s="6">
        <f ca="1" t="shared" si="9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7"/>
        <v>0</v>
      </c>
      <c r="K101" s="23"/>
      <c r="L101" s="23"/>
      <c r="N101" s="6">
        <f ca="1" t="shared" si="8"/>
        <v>0</v>
      </c>
      <c r="O101" s="6">
        <f ca="1" t="shared" si="9"/>
        <v>0</v>
      </c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  <row r="180" s="21" customFormat="1" customHeight="1" spans="1:12">
      <c r="A180" s="22"/>
      <c r="B180" s="23"/>
      <c r="C180" s="24"/>
      <c r="D180" s="23"/>
      <c r="E180" s="23"/>
      <c r="F180" s="23"/>
      <c r="G180" s="23"/>
      <c r="H180" s="25"/>
      <c r="I180" s="25"/>
      <c r="J180" s="23"/>
      <c r="K180" s="23"/>
      <c r="L180" s="23"/>
    </row>
    <row r="181" s="21" customFormat="1" customHeight="1" spans="1:12">
      <c r="A181" s="22"/>
      <c r="B181" s="23"/>
      <c r="C181" s="24"/>
      <c r="D181" s="23"/>
      <c r="E181" s="23"/>
      <c r="F181" s="23"/>
      <c r="G181" s="23"/>
      <c r="H181" s="25"/>
      <c r="I181" s="25"/>
      <c r="J181" s="23"/>
      <c r="K181" s="23"/>
      <c r="L181" s="23"/>
    </row>
    <row r="182" s="21" customFormat="1" customHeight="1" spans="1:12">
      <c r="A182" s="22"/>
      <c r="B182" s="23"/>
      <c r="C182" s="24"/>
      <c r="D182" s="23"/>
      <c r="E182" s="23"/>
      <c r="F182" s="23"/>
      <c r="G182" s="23"/>
      <c r="H182" s="25"/>
      <c r="I182" s="25"/>
      <c r="J182" s="23"/>
      <c r="K182" s="23"/>
      <c r="L182" s="23"/>
    </row>
    <row r="183" s="21" customFormat="1" customHeight="1" spans="1:12">
      <c r="A183" s="22"/>
      <c r="B183" s="23"/>
      <c r="C183" s="24"/>
      <c r="D183" s="23"/>
      <c r="E183" s="23"/>
      <c r="F183" s="23"/>
      <c r="G183" s="23"/>
      <c r="H183" s="25"/>
      <c r="I183" s="25"/>
      <c r="J183" s="23"/>
      <c r="K183" s="23"/>
      <c r="L183" s="23"/>
    </row>
    <row r="184" s="21" customFormat="1" customHeight="1" spans="1:12">
      <c r="A184" s="22"/>
      <c r="B184" s="23"/>
      <c r="C184" s="24"/>
      <c r="D184" s="23"/>
      <c r="E184" s="23"/>
      <c r="F184" s="23"/>
      <c r="G184" s="23"/>
      <c r="H184" s="25"/>
      <c r="I184" s="25"/>
      <c r="J184" s="23"/>
      <c r="K184" s="23"/>
      <c r="L184" s="23"/>
    </row>
    <row r="185" s="21" customFormat="1" customHeight="1" spans="1:12">
      <c r="A185" s="22"/>
      <c r="B185" s="23"/>
      <c r="C185" s="24"/>
      <c r="D185" s="23"/>
      <c r="E185" s="23"/>
      <c r="F185" s="23"/>
      <c r="G185" s="23"/>
      <c r="H185" s="25"/>
      <c r="I185" s="25"/>
      <c r="J185" s="23"/>
      <c r="K185" s="23"/>
      <c r="L185" s="23"/>
    </row>
    <row r="186" s="21" customFormat="1" customHeight="1" spans="1:12">
      <c r="A186" s="22"/>
      <c r="B186" s="23"/>
      <c r="C186" s="24"/>
      <c r="D186" s="23"/>
      <c r="E186" s="23"/>
      <c r="F186" s="23"/>
      <c r="G186" s="23"/>
      <c r="H186" s="25"/>
      <c r="I186" s="25"/>
      <c r="J186" s="23"/>
      <c r="K186" s="23"/>
      <c r="L186" s="23"/>
    </row>
    <row r="187" s="21" customFormat="1" customHeight="1" spans="1:12">
      <c r="A187" s="22"/>
      <c r="B187" s="23"/>
      <c r="C187" s="24"/>
      <c r="D187" s="23"/>
      <c r="E187" s="23"/>
      <c r="F187" s="23"/>
      <c r="G187" s="23"/>
      <c r="H187" s="25"/>
      <c r="I187" s="25"/>
      <c r="J187" s="23"/>
      <c r="K187" s="23"/>
      <c r="L187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Q156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.25" customHeight="1"/>
  <cols>
    <col min="1" max="1" width="9" style="31"/>
    <col min="2" max="2" width="15.625" style="32" customWidth="1"/>
    <col min="3" max="3" width="15.625" style="33" customWidth="1"/>
    <col min="4" max="4" width="12.625" style="32" customWidth="1"/>
    <col min="5" max="6" width="14.125" style="32"/>
    <col min="7" max="7" width="9" style="32"/>
    <col min="8" max="8" width="14.125" style="34"/>
    <col min="9" max="9" width="11" style="34" customWidth="1"/>
    <col min="10" max="10" width="9.875" style="32" customWidth="1"/>
    <col min="11" max="12" width="9" style="32"/>
    <col min="13" max="14" width="9" style="30"/>
    <col min="15" max="15" width="14.125" style="30"/>
    <col min="16" max="16384" width="9" style="30"/>
  </cols>
  <sheetData>
    <row r="1" s="30" customFormat="1" ht="40.5" spans="1:17">
      <c r="A1" s="35" t="s">
        <v>0</v>
      </c>
      <c r="B1" s="35" t="s">
        <v>1</v>
      </c>
      <c r="C1" s="2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</row>
    <row r="2" s="30" customFormat="1" ht="20" customHeight="1" spans="1:17">
      <c r="A2" s="36">
        <v>46098</v>
      </c>
      <c r="B2" s="37">
        <v>11</v>
      </c>
      <c r="C2" s="38">
        <f ca="1">SUM(O2:O4)/B2</f>
        <v>1.27765151515152</v>
      </c>
      <c r="D2" s="5" t="s">
        <v>98</v>
      </c>
      <c r="E2" s="5" t="s">
        <v>96</v>
      </c>
      <c r="F2" s="37">
        <v>2200</v>
      </c>
      <c r="G2" s="5" t="s">
        <v>121</v>
      </c>
      <c r="H2" s="37">
        <f ca="1" t="array" ref="H2">INDEX(成本核算表!J:J,MATCH(1,(成本核算表!D:D=E2)*(成本核算表!C:C=G2),0))</f>
        <v>13</v>
      </c>
      <c r="I2" s="37">
        <v>1265</v>
      </c>
      <c r="J2" s="37">
        <f ca="1" t="shared" ref="J2:J34" si="0">H2*I2</f>
        <v>16445</v>
      </c>
      <c r="K2" s="37"/>
      <c r="L2" s="37"/>
      <c r="M2" s="37"/>
      <c r="N2" s="37">
        <f ca="1" t="shared" ref="N2:N34" si="1">J2-M2+L2</f>
        <v>16445</v>
      </c>
      <c r="O2" s="37">
        <f ca="1" t="shared" ref="O2:O34" si="2">N2/3600</f>
        <v>4.56805555555556</v>
      </c>
      <c r="P2" s="37"/>
      <c r="Q2" s="37"/>
    </row>
    <row r="3" s="30" customFormat="1" ht="20" customHeight="1" spans="1:17">
      <c r="A3" s="36">
        <v>46098</v>
      </c>
      <c r="B3" s="37"/>
      <c r="C3" s="38"/>
      <c r="D3" s="5" t="s">
        <v>95</v>
      </c>
      <c r="E3" s="5" t="s">
        <v>96</v>
      </c>
      <c r="F3" s="37">
        <v>2200</v>
      </c>
      <c r="G3" s="5" t="s">
        <v>70</v>
      </c>
      <c r="H3" s="37">
        <f ca="1" t="array" ref="H3">INDEX(成本核算表!J:J,MATCH(1,(成本核算表!D:D=E3)*(成本核算表!C:C=G3),0))</f>
        <v>15</v>
      </c>
      <c r="I3" s="37">
        <v>706</v>
      </c>
      <c r="J3" s="37">
        <f ca="1" t="shared" si="0"/>
        <v>10590</v>
      </c>
      <c r="K3" s="37"/>
      <c r="L3" s="37"/>
      <c r="M3" s="37"/>
      <c r="N3" s="37">
        <f ca="1" t="shared" si="1"/>
        <v>10590</v>
      </c>
      <c r="O3" s="37">
        <f ca="1" t="shared" si="2"/>
        <v>2.94166666666667</v>
      </c>
      <c r="P3" s="37"/>
      <c r="Q3" s="37"/>
    </row>
    <row r="4" s="30" customFormat="1" ht="20" customHeight="1" spans="1:17">
      <c r="A4" s="36">
        <v>46098</v>
      </c>
      <c r="B4" s="37"/>
      <c r="C4" s="38"/>
      <c r="D4" s="5" t="s">
        <v>172</v>
      </c>
      <c r="E4" s="5" t="s">
        <v>173</v>
      </c>
      <c r="F4" s="37">
        <v>33.7</v>
      </c>
      <c r="G4" s="5" t="s">
        <v>174</v>
      </c>
      <c r="H4" s="37">
        <f ca="1" t="array" ref="H4">INDEX(成本核算表!J:J,MATCH(1,(成本核算表!D:D=E4)*(成本核算表!C:C=G4),0))</f>
        <v>20</v>
      </c>
      <c r="I4" s="37">
        <v>728</v>
      </c>
      <c r="J4" s="37">
        <f ca="1" t="shared" si="0"/>
        <v>14560</v>
      </c>
      <c r="K4" s="37"/>
      <c r="L4" s="37">
        <v>9000</v>
      </c>
      <c r="M4" s="37"/>
      <c r="N4" s="37">
        <f ca="1" t="shared" si="1"/>
        <v>23560</v>
      </c>
      <c r="O4" s="37">
        <f ca="1" t="shared" si="2"/>
        <v>6.54444444444444</v>
      </c>
      <c r="P4" s="37"/>
      <c r="Q4" s="5" t="s">
        <v>175</v>
      </c>
    </row>
    <row r="5" s="30" customFormat="1" ht="20" customHeight="1" spans="1:17">
      <c r="A5" s="36">
        <v>46099</v>
      </c>
      <c r="B5" s="37">
        <v>11</v>
      </c>
      <c r="C5" s="38">
        <f ca="1">SUM(O5:O6)/B5</f>
        <v>1.19381313131313</v>
      </c>
      <c r="D5" s="5" t="s">
        <v>98</v>
      </c>
      <c r="E5" s="5" t="s">
        <v>96</v>
      </c>
      <c r="F5" s="37">
        <v>2200</v>
      </c>
      <c r="G5" s="5" t="s">
        <v>121</v>
      </c>
      <c r="H5" s="37">
        <f ca="1" t="array" ref="H5">INDEX(成本核算表!J:J,MATCH(1,(成本核算表!D:D=E5)*(成本核算表!C:C=G5),0))</f>
        <v>13</v>
      </c>
      <c r="I5" s="37">
        <v>1480</v>
      </c>
      <c r="J5" s="37">
        <f ca="1" t="shared" si="0"/>
        <v>19240</v>
      </c>
      <c r="K5" s="37"/>
      <c r="L5" s="37">
        <f>4*3600</f>
        <v>14400</v>
      </c>
      <c r="M5" s="37"/>
      <c r="N5" s="37">
        <f ca="1" t="shared" si="1"/>
        <v>33640</v>
      </c>
      <c r="O5" s="37">
        <f ca="1" t="shared" si="2"/>
        <v>9.34444444444444</v>
      </c>
      <c r="P5" s="37"/>
      <c r="Q5" s="37"/>
    </row>
    <row r="6" s="30" customFormat="1" ht="20" customHeight="1" spans="1:17">
      <c r="A6" s="36">
        <v>46099</v>
      </c>
      <c r="B6" s="37"/>
      <c r="C6" s="38"/>
      <c r="D6" s="5" t="s">
        <v>95</v>
      </c>
      <c r="E6" s="5" t="s">
        <v>96</v>
      </c>
      <c r="F6" s="37">
        <v>2200</v>
      </c>
      <c r="G6" s="5" t="s">
        <v>70</v>
      </c>
      <c r="H6" s="37">
        <f ca="1" t="array" ref="H6">INDEX(成本核算表!J:J,MATCH(1,(成本核算表!D:D=E6)*(成本核算表!C:C=G6),0))</f>
        <v>15</v>
      </c>
      <c r="I6" s="37">
        <v>909</v>
      </c>
      <c r="J6" s="37">
        <f ca="1" t="shared" si="0"/>
        <v>13635</v>
      </c>
      <c r="K6" s="37"/>
      <c r="L6" s="37"/>
      <c r="M6" s="37"/>
      <c r="N6" s="37">
        <f ca="1" t="shared" si="1"/>
        <v>13635</v>
      </c>
      <c r="O6" s="37">
        <f ca="1" t="shared" si="2"/>
        <v>3.7875</v>
      </c>
      <c r="P6" s="37"/>
      <c r="Q6" s="37"/>
    </row>
    <row r="7" s="30" customFormat="1" ht="20" customHeight="1" spans="1:17">
      <c r="A7" s="36">
        <v>46100</v>
      </c>
      <c r="B7" s="37">
        <v>11</v>
      </c>
      <c r="C7" s="38">
        <f ca="1">SUM(O7:O10)/B7</f>
        <v>1.10987373737374</v>
      </c>
      <c r="D7" s="5" t="s">
        <v>98</v>
      </c>
      <c r="E7" s="5" t="s">
        <v>96</v>
      </c>
      <c r="F7" s="37">
        <v>2200</v>
      </c>
      <c r="G7" s="5" t="s">
        <v>121</v>
      </c>
      <c r="H7" s="37">
        <f ca="1" t="array" ref="H7">INDEX(成本核算表!J:J,MATCH(1,(成本核算表!D:D=E7)*(成本核算表!C:C=G7),0))</f>
        <v>13</v>
      </c>
      <c r="I7" s="37">
        <v>1042</v>
      </c>
      <c r="J7" s="37">
        <f ca="1" t="shared" si="0"/>
        <v>13546</v>
      </c>
      <c r="K7" s="37"/>
      <c r="L7" s="37"/>
      <c r="M7" s="37"/>
      <c r="N7" s="37">
        <f ca="1" t="shared" si="1"/>
        <v>13546</v>
      </c>
      <c r="O7" s="37">
        <f ca="1" t="shared" si="2"/>
        <v>3.76277777777778</v>
      </c>
      <c r="P7" s="37"/>
      <c r="Q7" s="37"/>
    </row>
    <row r="8" s="30" customFormat="1" ht="20" customHeight="1" spans="1:17">
      <c r="A8" s="36">
        <v>46100</v>
      </c>
      <c r="B8" s="37"/>
      <c r="C8" s="38"/>
      <c r="D8" s="5" t="s">
        <v>95</v>
      </c>
      <c r="E8" s="5" t="s">
        <v>96</v>
      </c>
      <c r="F8" s="37">
        <v>2200</v>
      </c>
      <c r="G8" s="5" t="s">
        <v>70</v>
      </c>
      <c r="H8" s="37">
        <f ca="1" t="array" ref="H8">INDEX(成本核算表!J:J,MATCH(1,(成本核算表!D:D=E8)*(成本核算表!C:C=G8),0))</f>
        <v>15</v>
      </c>
      <c r="I8" s="37">
        <v>343</v>
      </c>
      <c r="J8" s="37">
        <f ca="1" t="shared" si="0"/>
        <v>5145</v>
      </c>
      <c r="K8" s="37"/>
      <c r="L8" s="37"/>
      <c r="M8" s="37"/>
      <c r="N8" s="37">
        <f ca="1" t="shared" si="1"/>
        <v>5145</v>
      </c>
      <c r="O8" s="37">
        <f ca="1" t="shared" si="2"/>
        <v>1.42916666666667</v>
      </c>
      <c r="P8" s="37"/>
      <c r="Q8" s="37"/>
    </row>
    <row r="9" s="30" customFormat="1" ht="20" customHeight="1" spans="1:17">
      <c r="A9" s="36">
        <v>46100</v>
      </c>
      <c r="B9" s="37"/>
      <c r="C9" s="38"/>
      <c r="D9" s="5" t="s">
        <v>100</v>
      </c>
      <c r="E9" s="5" t="s">
        <v>96</v>
      </c>
      <c r="F9" s="37">
        <v>2400</v>
      </c>
      <c r="G9" s="5" t="s">
        <v>121</v>
      </c>
      <c r="H9" s="37">
        <f ca="1" t="array" ref="H9">INDEX(成本核算表!J:J,MATCH(1,(成本核算表!D:D=E9)*(成本核算表!C:C=G9),0))</f>
        <v>13</v>
      </c>
      <c r="I9" s="37">
        <v>900</v>
      </c>
      <c r="J9" s="37">
        <f ca="1" t="shared" si="0"/>
        <v>11700</v>
      </c>
      <c r="K9" s="37"/>
      <c r="L9" s="37"/>
      <c r="M9" s="37"/>
      <c r="N9" s="37">
        <f ca="1" t="shared" si="1"/>
        <v>11700</v>
      </c>
      <c r="O9" s="37">
        <f ca="1" t="shared" si="2"/>
        <v>3.25</v>
      </c>
      <c r="P9" s="37"/>
      <c r="Q9" s="37"/>
    </row>
    <row r="10" s="30" customFormat="1" ht="20" customHeight="1" spans="1:17">
      <c r="A10" s="36">
        <v>46100</v>
      </c>
      <c r="B10" s="37"/>
      <c r="C10" s="38"/>
      <c r="D10" s="5" t="s">
        <v>99</v>
      </c>
      <c r="E10" s="5" t="s">
        <v>96</v>
      </c>
      <c r="F10" s="37">
        <v>2400</v>
      </c>
      <c r="G10" s="5" t="s">
        <v>70</v>
      </c>
      <c r="H10" s="37">
        <f ca="1" t="array" ref="H10">INDEX(成本核算表!J:J,MATCH(1,(成本核算表!D:D=E10)*(成本核算表!C:C=G10),0))</f>
        <v>15</v>
      </c>
      <c r="I10" s="37">
        <v>904</v>
      </c>
      <c r="J10" s="37">
        <f ca="1" t="shared" si="0"/>
        <v>13560</v>
      </c>
      <c r="K10" s="37"/>
      <c r="L10" s="37"/>
      <c r="M10" s="37"/>
      <c r="N10" s="37">
        <f ca="1" t="shared" si="1"/>
        <v>13560</v>
      </c>
      <c r="O10" s="37">
        <f ca="1" t="shared" si="2"/>
        <v>3.76666666666667</v>
      </c>
      <c r="P10" s="37"/>
      <c r="Q10" s="37"/>
    </row>
    <row r="11" s="30" customFormat="1" ht="20" customHeight="1" spans="1:17">
      <c r="A11" s="36">
        <v>46101</v>
      </c>
      <c r="B11" s="32">
        <v>11</v>
      </c>
      <c r="C11" s="28">
        <f ca="1">SUM(O11)/B11</f>
        <v>1.28787878787879</v>
      </c>
      <c r="D11" s="42" t="s">
        <v>170</v>
      </c>
      <c r="E11" s="42" t="s">
        <v>176</v>
      </c>
      <c r="F11" s="32">
        <v>2380</v>
      </c>
      <c r="G11" s="42" t="s">
        <v>44</v>
      </c>
      <c r="H11" s="37">
        <f ca="1" t="array" ref="H11">INDEX(成本核算表!J:J,MATCH(1,(成本核算表!D:D=E11)*(成本核算表!C:C=G11),0))</f>
        <v>100</v>
      </c>
      <c r="I11" s="37">
        <f>510</f>
        <v>510</v>
      </c>
      <c r="J11" s="37">
        <f ca="1" t="shared" si="0"/>
        <v>51000</v>
      </c>
      <c r="K11" s="32"/>
      <c r="L11" s="32"/>
      <c r="N11" s="37">
        <f ca="1" t="shared" si="1"/>
        <v>51000</v>
      </c>
      <c r="O11" s="37">
        <f ca="1" t="shared" si="2"/>
        <v>14.1666666666667</v>
      </c>
    </row>
    <row r="12" s="30" customFormat="1" ht="20" customHeight="1" spans="1:17">
      <c r="A12" s="36"/>
      <c r="B12" s="32"/>
      <c r="C12" s="33"/>
      <c r="D12" s="32"/>
      <c r="E12" s="32"/>
      <c r="F12" s="32"/>
      <c r="G12" s="32"/>
      <c r="H12" s="37">
        <f ca="1" t="array" ref="H12">INDEX(成本核算表!J:J,MATCH(1,(成本核算表!D:D=E12)*(成本核算表!C:C=G12),0))</f>
        <v>0</v>
      </c>
      <c r="I12" s="37"/>
      <c r="J12" s="37">
        <f ca="1" t="shared" si="0"/>
        <v>0</v>
      </c>
      <c r="K12" s="32"/>
      <c r="L12" s="32"/>
      <c r="N12" s="37">
        <f ca="1" t="shared" si="1"/>
        <v>0</v>
      </c>
      <c r="O12" s="37">
        <f ca="1" t="shared" si="2"/>
        <v>0</v>
      </c>
    </row>
    <row r="13" s="30" customFormat="1" ht="20" customHeight="1" spans="1:17">
      <c r="A13" s="36"/>
      <c r="B13" s="32"/>
      <c r="C13" s="33"/>
      <c r="D13" s="32"/>
      <c r="E13" s="32"/>
      <c r="F13" s="32"/>
      <c r="G13" s="32"/>
      <c r="H13" s="37">
        <f ca="1" t="array" ref="H13">INDEX(成本核算表!J:J,MATCH(1,(成本核算表!D:D=E13)*(成本核算表!C:C=G13),0))</f>
        <v>0</v>
      </c>
      <c r="I13" s="37"/>
      <c r="J13" s="37">
        <f ca="1" t="shared" si="0"/>
        <v>0</v>
      </c>
      <c r="K13" s="32"/>
      <c r="L13" s="32"/>
      <c r="N13" s="37">
        <f ca="1" t="shared" si="1"/>
        <v>0</v>
      </c>
      <c r="O13" s="37">
        <f ca="1" t="shared" si="2"/>
        <v>0</v>
      </c>
    </row>
    <row r="14" s="30" customFormat="1" ht="20" customHeight="1" spans="1:17">
      <c r="A14" s="36"/>
      <c r="B14" s="32"/>
      <c r="C14" s="33"/>
      <c r="D14" s="32"/>
      <c r="E14" s="32"/>
      <c r="F14" s="32"/>
      <c r="G14" s="32"/>
      <c r="H14" s="37">
        <f ca="1" t="array" ref="H14">INDEX(成本核算表!J:J,MATCH(1,(成本核算表!D:D=E14)*(成本核算表!C:C=G14),0))</f>
        <v>0</v>
      </c>
      <c r="I14" s="37"/>
      <c r="J14" s="37">
        <f ca="1" t="shared" si="0"/>
        <v>0</v>
      </c>
      <c r="K14" s="32"/>
      <c r="L14" s="32"/>
      <c r="N14" s="37">
        <f ca="1" t="shared" si="1"/>
        <v>0</v>
      </c>
      <c r="O14" s="37">
        <f ca="1" t="shared" si="2"/>
        <v>0</v>
      </c>
    </row>
    <row r="15" s="30" customFormat="1" ht="20" customHeight="1" spans="1:17">
      <c r="A15" s="36"/>
      <c r="B15" s="32"/>
      <c r="C15" s="33"/>
      <c r="D15" s="32"/>
      <c r="E15" s="32"/>
      <c r="F15" s="32"/>
      <c r="G15" s="32"/>
      <c r="H15" s="37">
        <f ca="1" t="array" ref="H15">INDEX(成本核算表!J:J,MATCH(1,(成本核算表!D:D=E15)*(成本核算表!C:C=G15),0))</f>
        <v>0</v>
      </c>
      <c r="I15" s="37"/>
      <c r="J15" s="37">
        <f ca="1" t="shared" si="0"/>
        <v>0</v>
      </c>
      <c r="K15" s="32"/>
      <c r="L15" s="32"/>
      <c r="N15" s="37">
        <f ca="1" t="shared" si="1"/>
        <v>0</v>
      </c>
      <c r="O15" s="37">
        <f ca="1" t="shared" si="2"/>
        <v>0</v>
      </c>
    </row>
    <row r="16" s="30" customFormat="1" ht="20" customHeight="1" spans="1:17">
      <c r="A16" s="36"/>
      <c r="B16" s="32"/>
      <c r="C16" s="33"/>
      <c r="D16" s="32"/>
      <c r="E16" s="32"/>
      <c r="F16" s="32"/>
      <c r="G16" s="32"/>
      <c r="H16" s="37">
        <f ca="1" t="array" ref="H16">INDEX(成本核算表!J:J,MATCH(1,(成本核算表!D:D=E16)*(成本核算表!C:C=G16),0))</f>
        <v>0</v>
      </c>
      <c r="I16" s="37"/>
      <c r="J16" s="37">
        <f ca="1" t="shared" si="0"/>
        <v>0</v>
      </c>
      <c r="K16" s="32"/>
      <c r="L16" s="32"/>
      <c r="N16" s="37">
        <f ca="1" t="shared" si="1"/>
        <v>0</v>
      </c>
      <c r="O16" s="37">
        <f ca="1" t="shared" si="2"/>
        <v>0</v>
      </c>
    </row>
    <row r="17" s="30" customFormat="1" ht="20" customHeight="1" spans="1:15">
      <c r="A17" s="36"/>
      <c r="B17" s="32"/>
      <c r="C17" s="33"/>
      <c r="D17" s="32"/>
      <c r="E17" s="32"/>
      <c r="F17" s="32"/>
      <c r="G17" s="32"/>
      <c r="H17" s="37">
        <f ca="1" t="array" ref="H17">INDEX(成本核算表!J:J,MATCH(1,(成本核算表!D:D=E17)*(成本核算表!C:C=G17),0))</f>
        <v>0</v>
      </c>
      <c r="I17" s="37"/>
      <c r="J17" s="37">
        <f ca="1" t="shared" si="0"/>
        <v>0</v>
      </c>
      <c r="K17" s="32"/>
      <c r="L17" s="32"/>
      <c r="N17" s="37">
        <f ca="1" t="shared" si="1"/>
        <v>0</v>
      </c>
      <c r="O17" s="37">
        <f ca="1" t="shared" si="2"/>
        <v>0</v>
      </c>
    </row>
    <row r="18" s="30" customFormat="1" ht="20" customHeight="1" spans="1:15">
      <c r="A18" s="36"/>
      <c r="B18" s="32"/>
      <c r="C18" s="33"/>
      <c r="D18" s="32"/>
      <c r="E18" s="32"/>
      <c r="F18" s="32"/>
      <c r="G18" s="32"/>
      <c r="H18" s="37">
        <f ca="1" t="array" ref="H18">INDEX(成本核算表!J:J,MATCH(1,(成本核算表!D:D=E18)*(成本核算表!C:C=G18),0))</f>
        <v>0</v>
      </c>
      <c r="I18" s="37"/>
      <c r="J18" s="37">
        <f ca="1" t="shared" si="0"/>
        <v>0</v>
      </c>
      <c r="K18" s="32"/>
      <c r="L18" s="32"/>
      <c r="N18" s="37">
        <f ca="1" t="shared" si="1"/>
        <v>0</v>
      </c>
      <c r="O18" s="37">
        <f ca="1" t="shared" si="2"/>
        <v>0</v>
      </c>
    </row>
    <row r="19" s="30" customFormat="1" ht="20" customHeight="1" spans="1:15">
      <c r="A19" s="36"/>
      <c r="B19" s="32"/>
      <c r="C19" s="33"/>
      <c r="D19" s="32"/>
      <c r="E19" s="32"/>
      <c r="F19" s="32"/>
      <c r="G19" s="32"/>
      <c r="H19" s="37">
        <f ca="1" t="array" ref="H19">INDEX(成本核算表!J:J,MATCH(1,(成本核算表!D:D=E19)*(成本核算表!C:C=G19),0))</f>
        <v>0</v>
      </c>
      <c r="I19" s="37"/>
      <c r="J19" s="37">
        <f ca="1" t="shared" si="0"/>
        <v>0</v>
      </c>
      <c r="K19" s="32"/>
      <c r="L19" s="32"/>
      <c r="N19" s="37">
        <f ca="1" t="shared" si="1"/>
        <v>0</v>
      </c>
      <c r="O19" s="37">
        <f ca="1" t="shared" si="2"/>
        <v>0</v>
      </c>
    </row>
    <row r="20" s="30" customFormat="1" ht="20" customHeight="1" spans="1:15">
      <c r="A20" s="36"/>
      <c r="B20" s="32"/>
      <c r="C20" s="33"/>
      <c r="D20" s="32"/>
      <c r="E20" s="32"/>
      <c r="F20" s="32"/>
      <c r="G20" s="32"/>
      <c r="H20" s="37">
        <f ca="1" t="array" ref="H20">INDEX(成本核算表!J:J,MATCH(1,(成本核算表!D:D=E20)*(成本核算表!C:C=G20),0))</f>
        <v>0</v>
      </c>
      <c r="I20" s="37"/>
      <c r="J20" s="37">
        <f ca="1" t="shared" si="0"/>
        <v>0</v>
      </c>
      <c r="K20" s="32"/>
      <c r="L20" s="32"/>
      <c r="N20" s="37">
        <f ca="1" t="shared" si="1"/>
        <v>0</v>
      </c>
      <c r="O20" s="37">
        <f ca="1" t="shared" si="2"/>
        <v>0</v>
      </c>
    </row>
    <row r="21" s="30" customFormat="1" ht="20" customHeight="1" spans="1:15">
      <c r="A21" s="36"/>
      <c r="B21" s="32"/>
      <c r="C21" s="33"/>
      <c r="D21" s="32"/>
      <c r="E21" s="32"/>
      <c r="F21" s="32"/>
      <c r="G21" s="32"/>
      <c r="H21" s="37">
        <f ca="1" t="array" ref="H21">INDEX(成本核算表!J:J,MATCH(1,(成本核算表!D:D=E21)*(成本核算表!C:C=G21),0))</f>
        <v>0</v>
      </c>
      <c r="I21" s="37"/>
      <c r="J21" s="37">
        <f ca="1" t="shared" si="0"/>
        <v>0</v>
      </c>
      <c r="K21" s="32"/>
      <c r="L21" s="32"/>
      <c r="N21" s="37">
        <f ca="1" t="shared" si="1"/>
        <v>0</v>
      </c>
      <c r="O21" s="37">
        <f ca="1" t="shared" si="2"/>
        <v>0</v>
      </c>
    </row>
    <row r="22" s="30" customFormat="1" ht="20" customHeight="1" spans="1:15">
      <c r="A22" s="36"/>
      <c r="B22" s="32"/>
      <c r="C22" s="33"/>
      <c r="D22" s="32"/>
      <c r="E22" s="32"/>
      <c r="F22" s="32"/>
      <c r="G22" s="32"/>
      <c r="H22" s="37">
        <f ca="1" t="array" ref="H22">INDEX(成本核算表!J:J,MATCH(1,(成本核算表!D:D=E22)*(成本核算表!C:C=G22),0))</f>
        <v>0</v>
      </c>
      <c r="I22" s="37"/>
      <c r="J22" s="37">
        <f ca="1" t="shared" si="0"/>
        <v>0</v>
      </c>
      <c r="K22" s="32"/>
      <c r="L22" s="32"/>
      <c r="N22" s="37">
        <f ca="1" t="shared" si="1"/>
        <v>0</v>
      </c>
      <c r="O22" s="37">
        <f ca="1" t="shared" si="2"/>
        <v>0</v>
      </c>
    </row>
    <row r="23" s="30" customFormat="1" ht="20" customHeight="1" spans="1:15">
      <c r="A23" s="36"/>
      <c r="B23" s="32"/>
      <c r="C23" s="33"/>
      <c r="D23" s="32"/>
      <c r="E23" s="32"/>
      <c r="F23" s="32"/>
      <c r="G23" s="32"/>
      <c r="H23" s="37">
        <f ca="1" t="array" ref="H23">INDEX(成本核算表!J:J,MATCH(1,(成本核算表!D:D=E23)*(成本核算表!C:C=G23),0))</f>
        <v>0</v>
      </c>
      <c r="I23" s="37"/>
      <c r="J23" s="37">
        <f ca="1" t="shared" si="0"/>
        <v>0</v>
      </c>
      <c r="K23" s="32"/>
      <c r="L23" s="32"/>
      <c r="N23" s="37">
        <f ca="1" t="shared" si="1"/>
        <v>0</v>
      </c>
      <c r="O23" s="37">
        <f ca="1" t="shared" si="2"/>
        <v>0</v>
      </c>
    </row>
    <row r="24" s="30" customFormat="1" ht="20" customHeight="1" spans="1:15">
      <c r="A24" s="36"/>
      <c r="B24" s="32"/>
      <c r="C24" s="33"/>
      <c r="D24" s="32"/>
      <c r="E24" s="32"/>
      <c r="F24" s="32"/>
      <c r="G24" s="32"/>
      <c r="H24" s="37">
        <f ca="1" t="array" ref="H24">INDEX(成本核算表!J:J,MATCH(1,(成本核算表!D:D=E24)*(成本核算表!C:C=G24),0))</f>
        <v>0</v>
      </c>
      <c r="I24" s="37"/>
      <c r="J24" s="37">
        <f ca="1" t="shared" si="0"/>
        <v>0</v>
      </c>
      <c r="K24" s="32"/>
      <c r="L24" s="32"/>
      <c r="N24" s="37">
        <f ca="1" t="shared" si="1"/>
        <v>0</v>
      </c>
      <c r="O24" s="37">
        <f ca="1" t="shared" si="2"/>
        <v>0</v>
      </c>
    </row>
    <row r="25" s="30" customFormat="1" ht="20" customHeight="1" spans="1:15">
      <c r="A25" s="36"/>
      <c r="B25" s="32"/>
      <c r="C25" s="33"/>
      <c r="D25" s="32"/>
      <c r="E25" s="32"/>
      <c r="F25" s="32"/>
      <c r="G25" s="32"/>
      <c r="H25" s="37">
        <f ca="1" t="array" ref="H25">INDEX(成本核算表!J:J,MATCH(1,(成本核算表!D:D=E25)*(成本核算表!C:C=G25),0))</f>
        <v>0</v>
      </c>
      <c r="I25" s="37"/>
      <c r="J25" s="37">
        <f ca="1" t="shared" si="0"/>
        <v>0</v>
      </c>
      <c r="K25" s="32"/>
      <c r="L25" s="32"/>
      <c r="N25" s="37">
        <f ca="1" t="shared" si="1"/>
        <v>0</v>
      </c>
      <c r="O25" s="37">
        <f ca="1" t="shared" si="2"/>
        <v>0</v>
      </c>
    </row>
    <row r="26" s="30" customFormat="1" ht="20" customHeight="1" spans="1:15">
      <c r="A26" s="36"/>
      <c r="B26" s="32"/>
      <c r="C26" s="33"/>
      <c r="D26" s="32"/>
      <c r="E26" s="32"/>
      <c r="F26" s="32"/>
      <c r="G26" s="32"/>
      <c r="H26" s="37">
        <f ca="1" t="array" ref="H26">INDEX(成本核算表!J:J,MATCH(1,(成本核算表!D:D=E26)*(成本核算表!C:C=G26),0))</f>
        <v>0</v>
      </c>
      <c r="I26" s="37"/>
      <c r="J26" s="37">
        <f ca="1" t="shared" si="0"/>
        <v>0</v>
      </c>
      <c r="K26" s="32"/>
      <c r="L26" s="32"/>
      <c r="N26" s="37">
        <f ca="1" t="shared" si="1"/>
        <v>0</v>
      </c>
      <c r="O26" s="37">
        <f ca="1" t="shared" si="2"/>
        <v>0</v>
      </c>
    </row>
    <row r="27" s="30" customFormat="1" ht="20" customHeight="1" spans="1:15">
      <c r="A27" s="36"/>
      <c r="B27" s="32"/>
      <c r="C27" s="33"/>
      <c r="D27" s="32"/>
      <c r="E27" s="32"/>
      <c r="F27" s="32"/>
      <c r="G27" s="32"/>
      <c r="H27" s="37">
        <f ca="1" t="array" ref="H27">INDEX(成本核算表!J:J,MATCH(1,(成本核算表!D:D=E27)*(成本核算表!C:C=G27),0))</f>
        <v>0</v>
      </c>
      <c r="I27" s="37"/>
      <c r="J27" s="37">
        <f ca="1" t="shared" si="0"/>
        <v>0</v>
      </c>
      <c r="K27" s="32"/>
      <c r="L27" s="32"/>
      <c r="N27" s="37">
        <f ca="1" t="shared" si="1"/>
        <v>0</v>
      </c>
      <c r="O27" s="37">
        <f ca="1" t="shared" si="2"/>
        <v>0</v>
      </c>
    </row>
    <row r="28" s="30" customFormat="1" ht="20" customHeight="1" spans="1:15">
      <c r="A28" s="36"/>
      <c r="B28" s="32"/>
      <c r="C28" s="33"/>
      <c r="D28" s="32"/>
      <c r="E28" s="32"/>
      <c r="F28" s="32"/>
      <c r="G28" s="32"/>
      <c r="H28" s="37">
        <f ca="1" t="array" ref="H28">INDEX(成本核算表!J:J,MATCH(1,(成本核算表!D:D=E28)*(成本核算表!C:C=G28),0))</f>
        <v>0</v>
      </c>
      <c r="I28" s="37"/>
      <c r="J28" s="37">
        <f ca="1" t="shared" si="0"/>
        <v>0</v>
      </c>
      <c r="K28" s="32"/>
      <c r="L28" s="32"/>
      <c r="N28" s="37">
        <f ca="1" t="shared" si="1"/>
        <v>0</v>
      </c>
      <c r="O28" s="37">
        <f ca="1" t="shared" si="2"/>
        <v>0</v>
      </c>
    </row>
    <row r="29" s="30" customFormat="1" ht="20" customHeight="1" spans="1:15">
      <c r="A29" s="36"/>
      <c r="B29" s="32"/>
      <c r="C29" s="33"/>
      <c r="D29" s="32"/>
      <c r="E29" s="32"/>
      <c r="F29" s="32"/>
      <c r="G29" s="32"/>
      <c r="H29" s="37">
        <f ca="1" t="array" ref="H29">INDEX(成本核算表!J:J,MATCH(1,(成本核算表!D:D=E29)*(成本核算表!C:C=G29),0))</f>
        <v>0</v>
      </c>
      <c r="I29" s="37"/>
      <c r="J29" s="37">
        <f ca="1" t="shared" si="0"/>
        <v>0</v>
      </c>
      <c r="K29" s="32"/>
      <c r="L29" s="32"/>
      <c r="N29" s="37">
        <f ca="1" t="shared" si="1"/>
        <v>0</v>
      </c>
      <c r="O29" s="37">
        <f ca="1" t="shared" si="2"/>
        <v>0</v>
      </c>
    </row>
    <row r="30" s="30" customFormat="1" ht="20" customHeight="1" spans="1:15">
      <c r="A30" s="36"/>
      <c r="B30" s="32"/>
      <c r="C30" s="33"/>
      <c r="D30" s="32"/>
      <c r="E30" s="32"/>
      <c r="F30" s="32"/>
      <c r="G30" s="32"/>
      <c r="H30" s="37">
        <f ca="1" t="array" ref="H30">INDEX(成本核算表!J:J,MATCH(1,(成本核算表!D:D=E30)*(成本核算表!C:C=G30),0))</f>
        <v>0</v>
      </c>
      <c r="I30" s="37"/>
      <c r="J30" s="37">
        <f ca="1" t="shared" si="0"/>
        <v>0</v>
      </c>
      <c r="K30" s="32"/>
      <c r="L30" s="32"/>
      <c r="N30" s="37">
        <f ca="1" t="shared" si="1"/>
        <v>0</v>
      </c>
      <c r="O30" s="37">
        <f ca="1" t="shared" si="2"/>
        <v>0</v>
      </c>
    </row>
    <row r="31" s="30" customFormat="1" ht="20" customHeight="1" spans="1:15">
      <c r="A31" s="36"/>
      <c r="B31" s="32"/>
      <c r="C31" s="33"/>
      <c r="D31" s="32"/>
      <c r="E31" s="32"/>
      <c r="F31" s="32"/>
      <c r="G31" s="32"/>
      <c r="H31" s="37">
        <f ca="1" t="array" ref="H31">INDEX(成本核算表!J:J,MATCH(1,(成本核算表!D:D=E31)*(成本核算表!C:C=G31),0))</f>
        <v>0</v>
      </c>
      <c r="I31" s="37"/>
      <c r="J31" s="37">
        <f ca="1" t="shared" si="0"/>
        <v>0</v>
      </c>
      <c r="K31" s="32"/>
      <c r="L31" s="32"/>
      <c r="N31" s="37">
        <f ca="1" t="shared" si="1"/>
        <v>0</v>
      </c>
      <c r="O31" s="37">
        <f ca="1" t="shared" si="2"/>
        <v>0</v>
      </c>
    </row>
    <row r="32" s="30" customFormat="1" ht="20" customHeight="1" spans="1:15">
      <c r="A32" s="36"/>
      <c r="B32" s="32"/>
      <c r="C32" s="33"/>
      <c r="D32" s="32"/>
      <c r="E32" s="32"/>
      <c r="F32" s="32"/>
      <c r="G32" s="32"/>
      <c r="H32" s="37">
        <f ca="1" t="array" ref="H32">INDEX(成本核算表!J:J,MATCH(1,(成本核算表!D:D=E32)*(成本核算表!C:C=G32),0))</f>
        <v>0</v>
      </c>
      <c r="I32" s="37"/>
      <c r="J32" s="37">
        <f ca="1" t="shared" si="0"/>
        <v>0</v>
      </c>
      <c r="K32" s="32"/>
      <c r="L32" s="32"/>
      <c r="N32" s="37">
        <f ca="1" t="shared" si="1"/>
        <v>0</v>
      </c>
      <c r="O32" s="37">
        <f ca="1" t="shared" si="2"/>
        <v>0</v>
      </c>
    </row>
    <row r="33" s="30" customFormat="1" ht="20" customHeight="1" spans="1:15">
      <c r="A33" s="36"/>
      <c r="B33" s="32"/>
      <c r="C33" s="33"/>
      <c r="D33" s="32"/>
      <c r="E33" s="32"/>
      <c r="F33" s="32"/>
      <c r="G33" s="32"/>
      <c r="H33" s="37">
        <f ca="1" t="array" ref="H33">INDEX(成本核算表!J:J,MATCH(1,(成本核算表!D:D=E33)*(成本核算表!C:C=G33),0))</f>
        <v>0</v>
      </c>
      <c r="I33" s="37"/>
      <c r="J33" s="37">
        <f ca="1" t="shared" si="0"/>
        <v>0</v>
      </c>
      <c r="K33" s="32"/>
      <c r="L33" s="32"/>
      <c r="N33" s="37">
        <f ca="1" t="shared" si="1"/>
        <v>0</v>
      </c>
      <c r="O33" s="37">
        <f ca="1" t="shared" si="2"/>
        <v>0</v>
      </c>
    </row>
    <row r="34" s="30" customFormat="1" ht="20" customHeight="1" spans="1:15">
      <c r="A34" s="31"/>
      <c r="B34" s="32"/>
      <c r="C34" s="33"/>
      <c r="D34" s="32"/>
      <c r="E34" s="32"/>
      <c r="F34" s="32"/>
      <c r="G34" s="32"/>
      <c r="H34" s="37">
        <f ca="1" t="array" ref="H34">INDEX(成本核算表!J:J,MATCH(1,(成本核算表!D:D=E34)*(成本核算表!C:C=G34),0))</f>
        <v>0</v>
      </c>
      <c r="I34" s="37"/>
      <c r="J34" s="37">
        <f ca="1" t="shared" si="0"/>
        <v>0</v>
      </c>
      <c r="K34" s="32"/>
      <c r="L34" s="32"/>
      <c r="N34" s="37">
        <f ca="1" t="shared" si="1"/>
        <v>0</v>
      </c>
      <c r="O34" s="37">
        <f ca="1" t="shared" si="2"/>
        <v>0</v>
      </c>
    </row>
    <row r="35" s="30" customFormat="1" ht="20" customHeight="1" spans="1:15">
      <c r="A35" s="31"/>
      <c r="B35" s="32"/>
      <c r="C35" s="33"/>
      <c r="D35" s="32"/>
      <c r="E35" s="32"/>
      <c r="F35" s="32"/>
      <c r="G35" s="32"/>
      <c r="H35" s="37">
        <f ca="1" t="array" ref="H35">INDEX(成本核算表!J:J,MATCH(1,(成本核算表!D:D=E35)*(成本核算表!C:C=G35),0))</f>
        <v>0</v>
      </c>
      <c r="I35" s="37"/>
      <c r="J35" s="37">
        <f ca="1" t="shared" ref="J35:J70" si="3">H35*I35</f>
        <v>0</v>
      </c>
      <c r="K35" s="32"/>
      <c r="L35" s="32"/>
      <c r="N35" s="37">
        <f ca="1" t="shared" ref="N35:N70" si="4">J35-M35+L35</f>
        <v>0</v>
      </c>
      <c r="O35" s="37">
        <f ca="1" t="shared" ref="O35:O70" si="5">N35/3600</f>
        <v>0</v>
      </c>
    </row>
    <row r="36" s="30" customFormat="1" ht="20" customHeight="1" spans="1:15">
      <c r="A36" s="31"/>
      <c r="B36" s="32"/>
      <c r="C36" s="33"/>
      <c r="D36" s="32"/>
      <c r="E36" s="32"/>
      <c r="F36" s="32"/>
      <c r="G36" s="32"/>
      <c r="H36" s="37">
        <f ca="1" t="array" ref="H36">INDEX(成本核算表!J:J,MATCH(1,(成本核算表!D:D=E36)*(成本核算表!C:C=G36),0))</f>
        <v>0</v>
      </c>
      <c r="I36" s="37"/>
      <c r="J36" s="37">
        <f ca="1" t="shared" si="3"/>
        <v>0</v>
      </c>
      <c r="K36" s="32"/>
      <c r="L36" s="32"/>
      <c r="N36" s="37">
        <f ca="1" t="shared" si="4"/>
        <v>0</v>
      </c>
      <c r="O36" s="37">
        <f ca="1" t="shared" si="5"/>
        <v>0</v>
      </c>
    </row>
    <row r="37" s="30" customFormat="1" ht="20" customHeight="1" spans="1:15">
      <c r="A37" s="31"/>
      <c r="B37" s="32"/>
      <c r="C37" s="33"/>
      <c r="D37" s="32"/>
      <c r="E37" s="32"/>
      <c r="F37" s="32"/>
      <c r="G37" s="32"/>
      <c r="H37" s="37">
        <f ca="1" t="array" ref="H37">INDEX(成本核算表!J:J,MATCH(1,(成本核算表!D:D=E37)*(成本核算表!C:C=G37),0))</f>
        <v>0</v>
      </c>
      <c r="I37" s="37"/>
      <c r="J37" s="37">
        <f ca="1" t="shared" si="3"/>
        <v>0</v>
      </c>
      <c r="K37" s="32"/>
      <c r="L37" s="32"/>
      <c r="N37" s="37">
        <f ca="1" t="shared" si="4"/>
        <v>0</v>
      </c>
      <c r="O37" s="37">
        <f ca="1" t="shared" si="5"/>
        <v>0</v>
      </c>
    </row>
    <row r="38" s="30" customFormat="1" ht="20" customHeight="1" spans="1:15">
      <c r="A38" s="31"/>
      <c r="B38" s="32"/>
      <c r="C38" s="33"/>
      <c r="D38" s="32"/>
      <c r="E38" s="32"/>
      <c r="F38" s="32"/>
      <c r="G38" s="32"/>
      <c r="H38" s="37">
        <f ca="1" t="array" ref="H38">INDEX(成本核算表!J:J,MATCH(1,(成本核算表!D:D=E38)*(成本核算表!C:C=G38),0))</f>
        <v>0</v>
      </c>
      <c r="I38" s="37"/>
      <c r="J38" s="37">
        <f ca="1" t="shared" si="3"/>
        <v>0</v>
      </c>
      <c r="K38" s="32"/>
      <c r="L38" s="32"/>
      <c r="N38" s="37">
        <f ca="1" t="shared" si="4"/>
        <v>0</v>
      </c>
      <c r="O38" s="37">
        <f ca="1" t="shared" si="5"/>
        <v>0</v>
      </c>
    </row>
    <row r="39" s="30" customFormat="1" ht="20" customHeight="1" spans="1:15">
      <c r="A39" s="31"/>
      <c r="B39" s="32"/>
      <c r="C39" s="33"/>
      <c r="D39" s="32"/>
      <c r="E39" s="32"/>
      <c r="F39" s="32"/>
      <c r="G39" s="32"/>
      <c r="H39" s="37">
        <f ca="1" t="array" ref="H39">INDEX(成本核算表!J:J,MATCH(1,(成本核算表!D:D=E39)*(成本核算表!C:C=G39),0))</f>
        <v>0</v>
      </c>
      <c r="I39" s="37"/>
      <c r="J39" s="37">
        <f ca="1" t="shared" si="3"/>
        <v>0</v>
      </c>
      <c r="K39" s="32"/>
      <c r="L39" s="32"/>
      <c r="N39" s="37">
        <f ca="1" t="shared" si="4"/>
        <v>0</v>
      </c>
      <c r="O39" s="37">
        <f ca="1" t="shared" si="5"/>
        <v>0</v>
      </c>
    </row>
    <row r="40" s="30" customFormat="1" ht="20" customHeight="1" spans="1:15">
      <c r="A40" s="31"/>
      <c r="B40" s="32"/>
      <c r="C40" s="33"/>
      <c r="D40" s="32"/>
      <c r="E40" s="32"/>
      <c r="F40" s="32"/>
      <c r="G40" s="32"/>
      <c r="H40" s="37">
        <f ca="1" t="array" ref="H40">INDEX(成本核算表!J:J,MATCH(1,(成本核算表!D:D=E40)*(成本核算表!C:C=G40),0))</f>
        <v>0</v>
      </c>
      <c r="I40" s="37"/>
      <c r="J40" s="37">
        <f ca="1" t="shared" si="3"/>
        <v>0</v>
      </c>
      <c r="K40" s="32"/>
      <c r="L40" s="32"/>
      <c r="N40" s="37">
        <f ca="1" t="shared" si="4"/>
        <v>0</v>
      </c>
      <c r="O40" s="37">
        <f ca="1" t="shared" si="5"/>
        <v>0</v>
      </c>
    </row>
    <row r="41" s="30" customFormat="1" ht="20" customHeight="1" spans="1:15">
      <c r="A41" s="31"/>
      <c r="B41" s="32"/>
      <c r="C41" s="33"/>
      <c r="D41" s="32"/>
      <c r="E41" s="32"/>
      <c r="F41" s="32"/>
      <c r="G41" s="32"/>
      <c r="H41" s="37">
        <f ca="1" t="array" ref="H41">INDEX(成本核算表!J:J,MATCH(1,(成本核算表!D:D=E41)*(成本核算表!C:C=G41),0))</f>
        <v>0</v>
      </c>
      <c r="I41" s="37"/>
      <c r="J41" s="37">
        <f ca="1" t="shared" si="3"/>
        <v>0</v>
      </c>
      <c r="K41" s="32"/>
      <c r="L41" s="32"/>
      <c r="N41" s="37">
        <f ca="1" t="shared" si="4"/>
        <v>0</v>
      </c>
      <c r="O41" s="37">
        <f ca="1" t="shared" si="5"/>
        <v>0</v>
      </c>
    </row>
    <row r="42" s="30" customFormat="1" ht="20" customHeight="1" spans="1:15">
      <c r="A42" s="31"/>
      <c r="B42" s="32"/>
      <c r="C42" s="33"/>
      <c r="D42" s="32"/>
      <c r="E42" s="32"/>
      <c r="F42" s="32"/>
      <c r="G42" s="32"/>
      <c r="H42" s="37">
        <f ca="1" t="array" ref="H42">INDEX(成本核算表!J:J,MATCH(1,(成本核算表!D:D=E42)*(成本核算表!C:C=G42),0))</f>
        <v>0</v>
      </c>
      <c r="I42" s="37"/>
      <c r="J42" s="37">
        <f ca="1" t="shared" si="3"/>
        <v>0</v>
      </c>
      <c r="K42" s="32"/>
      <c r="L42" s="32"/>
      <c r="N42" s="37">
        <f ca="1" t="shared" si="4"/>
        <v>0</v>
      </c>
      <c r="O42" s="37">
        <f ca="1" t="shared" si="5"/>
        <v>0</v>
      </c>
    </row>
    <row r="43" s="30" customFormat="1" ht="20" customHeight="1" spans="1:15">
      <c r="A43" s="31"/>
      <c r="B43" s="32"/>
      <c r="C43" s="33"/>
      <c r="D43" s="32"/>
      <c r="E43" s="32"/>
      <c r="F43" s="32"/>
      <c r="G43" s="32"/>
      <c r="H43" s="37">
        <f ca="1" t="array" ref="H43">INDEX(成本核算表!J:J,MATCH(1,(成本核算表!D:D=E43)*(成本核算表!C:C=G43),0))</f>
        <v>0</v>
      </c>
      <c r="I43" s="37"/>
      <c r="J43" s="37">
        <f ca="1" t="shared" si="3"/>
        <v>0</v>
      </c>
      <c r="K43" s="32"/>
      <c r="L43" s="32"/>
      <c r="N43" s="37">
        <f ca="1" t="shared" si="4"/>
        <v>0</v>
      </c>
      <c r="O43" s="37">
        <f ca="1" t="shared" si="5"/>
        <v>0</v>
      </c>
    </row>
    <row r="44" s="30" customFormat="1" ht="20" customHeight="1" spans="1:15">
      <c r="A44" s="31"/>
      <c r="B44" s="32"/>
      <c r="C44" s="33"/>
      <c r="D44" s="32"/>
      <c r="E44" s="32"/>
      <c r="F44" s="32"/>
      <c r="G44" s="32"/>
      <c r="H44" s="37">
        <f ca="1" t="array" ref="H44">INDEX(成本核算表!J:J,MATCH(1,(成本核算表!D:D=E44)*(成本核算表!C:C=G44),0))</f>
        <v>0</v>
      </c>
      <c r="I44" s="37"/>
      <c r="J44" s="37">
        <f ca="1" t="shared" si="3"/>
        <v>0</v>
      </c>
      <c r="K44" s="32"/>
      <c r="L44" s="32"/>
      <c r="N44" s="37">
        <f ca="1" t="shared" si="4"/>
        <v>0</v>
      </c>
      <c r="O44" s="37">
        <f ca="1" t="shared" si="5"/>
        <v>0</v>
      </c>
    </row>
    <row r="45" s="30" customFormat="1" ht="20" customHeight="1" spans="1:15">
      <c r="A45" s="31"/>
      <c r="B45" s="32"/>
      <c r="C45" s="33"/>
      <c r="D45" s="32"/>
      <c r="E45" s="32"/>
      <c r="F45" s="32"/>
      <c r="G45" s="32"/>
      <c r="H45" s="37">
        <f ca="1" t="array" ref="H45">INDEX(成本核算表!J:J,MATCH(1,(成本核算表!D:D=E45)*(成本核算表!C:C=G45),0))</f>
        <v>0</v>
      </c>
      <c r="I45" s="37"/>
      <c r="J45" s="37">
        <f ca="1" t="shared" si="3"/>
        <v>0</v>
      </c>
      <c r="K45" s="32"/>
      <c r="L45" s="32"/>
      <c r="N45" s="37">
        <f ca="1" t="shared" si="4"/>
        <v>0</v>
      </c>
      <c r="O45" s="37">
        <f ca="1" t="shared" si="5"/>
        <v>0</v>
      </c>
    </row>
    <row r="46" s="30" customFormat="1" ht="20" customHeight="1" spans="1:15">
      <c r="A46" s="31"/>
      <c r="B46" s="32"/>
      <c r="C46" s="33"/>
      <c r="D46" s="32"/>
      <c r="E46" s="32"/>
      <c r="F46" s="32"/>
      <c r="G46" s="32"/>
      <c r="H46" s="37">
        <f ca="1" t="array" ref="H46">INDEX(成本核算表!J:J,MATCH(1,(成本核算表!D:D=E46)*(成本核算表!C:C=G46),0))</f>
        <v>0</v>
      </c>
      <c r="I46" s="37"/>
      <c r="J46" s="37">
        <f ca="1" t="shared" si="3"/>
        <v>0</v>
      </c>
      <c r="K46" s="32"/>
      <c r="L46" s="32"/>
      <c r="N46" s="37">
        <f ca="1" t="shared" si="4"/>
        <v>0</v>
      </c>
      <c r="O46" s="37">
        <f ca="1" t="shared" si="5"/>
        <v>0</v>
      </c>
    </row>
    <row r="47" s="30" customFormat="1" ht="20" customHeight="1" spans="1:15">
      <c r="A47" s="31"/>
      <c r="B47" s="32"/>
      <c r="C47" s="33"/>
      <c r="D47" s="32"/>
      <c r="E47" s="32"/>
      <c r="F47" s="32"/>
      <c r="G47" s="32"/>
      <c r="H47" s="37">
        <f ca="1" t="array" ref="H47">INDEX(成本核算表!J:J,MATCH(1,(成本核算表!D:D=E47)*(成本核算表!C:C=G47),0))</f>
        <v>0</v>
      </c>
      <c r="I47" s="37"/>
      <c r="J47" s="37">
        <f ca="1" t="shared" si="3"/>
        <v>0</v>
      </c>
      <c r="K47" s="32"/>
      <c r="L47" s="32"/>
      <c r="N47" s="37">
        <f ca="1" t="shared" si="4"/>
        <v>0</v>
      </c>
      <c r="O47" s="37">
        <f ca="1" t="shared" si="5"/>
        <v>0</v>
      </c>
    </row>
    <row r="48" s="30" customFormat="1" ht="20" customHeight="1" spans="1:15">
      <c r="A48" s="31"/>
      <c r="B48" s="32"/>
      <c r="C48" s="33"/>
      <c r="D48" s="32"/>
      <c r="E48" s="32"/>
      <c r="F48" s="32"/>
      <c r="G48" s="32"/>
      <c r="H48" s="37">
        <f ca="1" t="array" ref="H48">INDEX(成本核算表!J:J,MATCH(1,(成本核算表!D:D=E48)*(成本核算表!C:C=G48),0))</f>
        <v>0</v>
      </c>
      <c r="I48" s="37"/>
      <c r="J48" s="37">
        <f ca="1" t="shared" si="3"/>
        <v>0</v>
      </c>
      <c r="K48" s="32"/>
      <c r="L48" s="32"/>
      <c r="N48" s="37">
        <f ca="1" t="shared" si="4"/>
        <v>0</v>
      </c>
      <c r="O48" s="37">
        <f ca="1" t="shared" si="5"/>
        <v>0</v>
      </c>
    </row>
    <row r="49" s="30" customFormat="1" ht="20" customHeight="1" spans="1:15">
      <c r="A49" s="31"/>
      <c r="B49" s="32"/>
      <c r="C49" s="33"/>
      <c r="D49" s="32"/>
      <c r="E49" s="32"/>
      <c r="F49" s="32"/>
      <c r="G49" s="32"/>
      <c r="H49" s="37">
        <f ca="1" t="array" ref="H49">INDEX(成本核算表!J:J,MATCH(1,(成本核算表!D:D=E49)*(成本核算表!C:C=G49),0))</f>
        <v>0</v>
      </c>
      <c r="I49" s="37"/>
      <c r="J49" s="37">
        <f ca="1" t="shared" si="3"/>
        <v>0</v>
      </c>
      <c r="K49" s="32"/>
      <c r="L49" s="32"/>
      <c r="N49" s="37">
        <f ca="1" t="shared" si="4"/>
        <v>0</v>
      </c>
      <c r="O49" s="37">
        <f ca="1" t="shared" si="5"/>
        <v>0</v>
      </c>
    </row>
    <row r="50" s="30" customFormat="1" ht="20" customHeight="1" spans="1:15">
      <c r="A50" s="31"/>
      <c r="B50" s="32"/>
      <c r="C50" s="33"/>
      <c r="D50" s="32"/>
      <c r="E50" s="32"/>
      <c r="F50" s="32"/>
      <c r="G50" s="32"/>
      <c r="H50" s="37">
        <f ca="1" t="array" ref="H50">INDEX(成本核算表!J:J,MATCH(1,(成本核算表!D:D=E50)*(成本核算表!C:C=G50),0))</f>
        <v>0</v>
      </c>
      <c r="I50" s="37"/>
      <c r="J50" s="37">
        <f ca="1" t="shared" si="3"/>
        <v>0</v>
      </c>
      <c r="K50" s="32"/>
      <c r="L50" s="32"/>
      <c r="N50" s="37">
        <f ca="1" t="shared" si="4"/>
        <v>0</v>
      </c>
      <c r="O50" s="37">
        <f ca="1" t="shared" si="5"/>
        <v>0</v>
      </c>
    </row>
    <row r="51" s="30" customFormat="1" ht="20" customHeight="1" spans="1:15">
      <c r="A51" s="31"/>
      <c r="B51" s="32"/>
      <c r="C51" s="33"/>
      <c r="D51" s="32"/>
      <c r="E51" s="32"/>
      <c r="F51" s="32"/>
      <c r="G51" s="32"/>
      <c r="H51" s="37">
        <f ca="1" t="array" ref="H51">INDEX(成本核算表!J:J,MATCH(1,(成本核算表!D:D=E51)*(成本核算表!C:C=G51),0))</f>
        <v>0</v>
      </c>
      <c r="I51" s="37"/>
      <c r="J51" s="37">
        <f ca="1" t="shared" si="3"/>
        <v>0</v>
      </c>
      <c r="K51" s="32"/>
      <c r="L51" s="32"/>
      <c r="N51" s="37">
        <f ca="1" t="shared" si="4"/>
        <v>0</v>
      </c>
      <c r="O51" s="37">
        <f ca="1" t="shared" si="5"/>
        <v>0</v>
      </c>
    </row>
    <row r="52" s="30" customFormat="1" ht="20" customHeight="1" spans="1:15">
      <c r="A52" s="31"/>
      <c r="B52" s="32"/>
      <c r="C52" s="33"/>
      <c r="D52" s="32"/>
      <c r="E52" s="32"/>
      <c r="F52" s="32"/>
      <c r="G52" s="32"/>
      <c r="H52" s="37">
        <f ca="1" t="array" ref="H52">INDEX(成本核算表!J:J,MATCH(1,(成本核算表!D:D=E52)*(成本核算表!C:C=G52),0))</f>
        <v>0</v>
      </c>
      <c r="I52" s="37"/>
      <c r="J52" s="37">
        <f ca="1" t="shared" si="3"/>
        <v>0</v>
      </c>
      <c r="K52" s="32"/>
      <c r="L52" s="32"/>
      <c r="N52" s="37">
        <f ca="1" t="shared" si="4"/>
        <v>0</v>
      </c>
      <c r="O52" s="37">
        <f ca="1" t="shared" si="5"/>
        <v>0</v>
      </c>
    </row>
    <row r="53" s="30" customFormat="1" ht="20" customHeight="1" spans="1:15">
      <c r="A53" s="31"/>
      <c r="B53" s="32"/>
      <c r="C53" s="33"/>
      <c r="D53" s="32"/>
      <c r="E53" s="32"/>
      <c r="F53" s="32"/>
      <c r="G53" s="32"/>
      <c r="H53" s="37">
        <f ca="1" t="array" ref="H53">INDEX(成本核算表!J:J,MATCH(1,(成本核算表!D:D=E53)*(成本核算表!C:C=G53),0))</f>
        <v>0</v>
      </c>
      <c r="I53" s="37"/>
      <c r="J53" s="37">
        <f ca="1" t="shared" si="3"/>
        <v>0</v>
      </c>
      <c r="K53" s="32"/>
      <c r="L53" s="32"/>
      <c r="N53" s="37">
        <f ca="1" t="shared" si="4"/>
        <v>0</v>
      </c>
      <c r="O53" s="37">
        <f ca="1" t="shared" si="5"/>
        <v>0</v>
      </c>
    </row>
    <row r="54" s="30" customFormat="1" ht="20" customHeight="1" spans="1:15">
      <c r="A54" s="31"/>
      <c r="B54" s="32"/>
      <c r="C54" s="33"/>
      <c r="D54" s="32"/>
      <c r="E54" s="32"/>
      <c r="F54" s="32"/>
      <c r="G54" s="32"/>
      <c r="H54" s="37">
        <f ca="1" t="array" ref="H54">INDEX(成本核算表!J:J,MATCH(1,(成本核算表!D:D=E54)*(成本核算表!C:C=G54),0))</f>
        <v>0</v>
      </c>
      <c r="I54" s="37"/>
      <c r="J54" s="37">
        <f ca="1" t="shared" si="3"/>
        <v>0</v>
      </c>
      <c r="K54" s="32"/>
      <c r="L54" s="32"/>
      <c r="N54" s="37">
        <f ca="1" t="shared" si="4"/>
        <v>0</v>
      </c>
      <c r="O54" s="37">
        <f ca="1" t="shared" si="5"/>
        <v>0</v>
      </c>
    </row>
    <row r="55" s="30" customFormat="1" ht="20" customHeight="1" spans="1:15">
      <c r="A55" s="31"/>
      <c r="B55" s="32"/>
      <c r="C55" s="33"/>
      <c r="D55" s="32"/>
      <c r="E55" s="32"/>
      <c r="F55" s="32"/>
      <c r="G55" s="32"/>
      <c r="H55" s="37">
        <f ca="1" t="array" ref="H55">INDEX(成本核算表!J:J,MATCH(1,(成本核算表!D:D=E55)*(成本核算表!C:C=G55),0))</f>
        <v>0</v>
      </c>
      <c r="I55" s="37"/>
      <c r="J55" s="37">
        <f ca="1" t="shared" si="3"/>
        <v>0</v>
      </c>
      <c r="K55" s="32"/>
      <c r="L55" s="32"/>
      <c r="N55" s="37">
        <f ca="1" t="shared" si="4"/>
        <v>0</v>
      </c>
      <c r="O55" s="37">
        <f ca="1" t="shared" si="5"/>
        <v>0</v>
      </c>
    </row>
    <row r="56" s="30" customFormat="1" ht="20" customHeight="1" spans="1:15">
      <c r="A56" s="31"/>
      <c r="B56" s="32"/>
      <c r="C56" s="33"/>
      <c r="D56" s="32"/>
      <c r="E56" s="32"/>
      <c r="F56" s="32"/>
      <c r="G56" s="32"/>
      <c r="H56" s="37">
        <f ca="1" t="array" ref="H56">INDEX(成本核算表!J:J,MATCH(1,(成本核算表!D:D=E56)*(成本核算表!C:C=G56),0))</f>
        <v>0</v>
      </c>
      <c r="I56" s="37"/>
      <c r="J56" s="37">
        <f ca="1" t="shared" si="3"/>
        <v>0</v>
      </c>
      <c r="K56" s="32"/>
      <c r="L56" s="32"/>
      <c r="N56" s="37">
        <f ca="1" t="shared" si="4"/>
        <v>0</v>
      </c>
      <c r="O56" s="37">
        <f ca="1" t="shared" si="5"/>
        <v>0</v>
      </c>
    </row>
    <row r="57" s="30" customFormat="1" ht="20" customHeight="1" spans="1:15">
      <c r="A57" s="31"/>
      <c r="B57" s="32"/>
      <c r="C57" s="33"/>
      <c r="D57" s="32"/>
      <c r="E57" s="32"/>
      <c r="F57" s="32"/>
      <c r="G57" s="32"/>
      <c r="H57" s="37">
        <f ca="1" t="array" ref="H57">INDEX(成本核算表!J:J,MATCH(1,(成本核算表!D:D=E57)*(成本核算表!C:C=G57),0))</f>
        <v>0</v>
      </c>
      <c r="I57" s="37"/>
      <c r="J57" s="37">
        <f ca="1" t="shared" si="3"/>
        <v>0</v>
      </c>
      <c r="K57" s="32"/>
      <c r="L57" s="32"/>
      <c r="N57" s="37">
        <f ca="1" t="shared" si="4"/>
        <v>0</v>
      </c>
      <c r="O57" s="37">
        <f ca="1" t="shared" si="5"/>
        <v>0</v>
      </c>
    </row>
    <row r="58" s="30" customFormat="1" ht="20" customHeight="1" spans="1:15">
      <c r="A58" s="31"/>
      <c r="B58" s="32"/>
      <c r="C58" s="33"/>
      <c r="D58" s="32"/>
      <c r="E58" s="32"/>
      <c r="F58" s="32"/>
      <c r="G58" s="32"/>
      <c r="H58" s="37">
        <f ca="1" t="array" ref="H58">INDEX(成本核算表!J:J,MATCH(1,(成本核算表!D:D=E58)*(成本核算表!C:C=G58),0))</f>
        <v>0</v>
      </c>
      <c r="I58" s="37"/>
      <c r="J58" s="37">
        <f ca="1" t="shared" si="3"/>
        <v>0</v>
      </c>
      <c r="K58" s="32"/>
      <c r="L58" s="32"/>
      <c r="N58" s="37">
        <f ca="1" t="shared" si="4"/>
        <v>0</v>
      </c>
      <c r="O58" s="37">
        <f ca="1" t="shared" si="5"/>
        <v>0</v>
      </c>
    </row>
    <row r="59" s="30" customFormat="1" ht="20" customHeight="1" spans="1:15">
      <c r="A59" s="31"/>
      <c r="B59" s="32"/>
      <c r="C59" s="33"/>
      <c r="D59" s="32"/>
      <c r="E59" s="32"/>
      <c r="F59" s="32"/>
      <c r="G59" s="32"/>
      <c r="H59" s="37">
        <f ca="1" t="array" ref="H59">INDEX(成本核算表!J:J,MATCH(1,(成本核算表!D:D=E59)*(成本核算表!C:C=G59),0))</f>
        <v>0</v>
      </c>
      <c r="I59" s="37"/>
      <c r="J59" s="37">
        <f ca="1" t="shared" si="3"/>
        <v>0</v>
      </c>
      <c r="K59" s="32"/>
      <c r="L59" s="32"/>
      <c r="N59" s="37">
        <f ca="1" t="shared" si="4"/>
        <v>0</v>
      </c>
      <c r="O59" s="37">
        <f ca="1" t="shared" si="5"/>
        <v>0</v>
      </c>
    </row>
    <row r="60" s="30" customFormat="1" ht="20" customHeight="1" spans="1:15">
      <c r="A60" s="31"/>
      <c r="B60" s="32"/>
      <c r="C60" s="33"/>
      <c r="D60" s="32"/>
      <c r="E60" s="32"/>
      <c r="F60" s="32"/>
      <c r="G60" s="32"/>
      <c r="H60" s="37">
        <f ca="1" t="array" ref="H60">INDEX(成本核算表!J:J,MATCH(1,(成本核算表!D:D=E60)*(成本核算表!C:C=G60),0))</f>
        <v>0</v>
      </c>
      <c r="I60" s="37"/>
      <c r="J60" s="37">
        <f ca="1" t="shared" si="3"/>
        <v>0</v>
      </c>
      <c r="K60" s="32"/>
      <c r="L60" s="32"/>
      <c r="N60" s="37">
        <f ca="1" t="shared" si="4"/>
        <v>0</v>
      </c>
      <c r="O60" s="37">
        <f ca="1" t="shared" si="5"/>
        <v>0</v>
      </c>
    </row>
    <row r="61" s="30" customFormat="1" ht="20" customHeight="1" spans="1:15">
      <c r="A61" s="31"/>
      <c r="B61" s="32"/>
      <c r="C61" s="33"/>
      <c r="D61" s="32"/>
      <c r="E61" s="32"/>
      <c r="F61" s="32"/>
      <c r="G61" s="32"/>
      <c r="H61" s="37">
        <f ca="1" t="array" ref="H61">INDEX(成本核算表!J:J,MATCH(1,(成本核算表!D:D=E61)*(成本核算表!C:C=G61),0))</f>
        <v>0</v>
      </c>
      <c r="I61" s="37"/>
      <c r="J61" s="37">
        <f ca="1" t="shared" si="3"/>
        <v>0</v>
      </c>
      <c r="K61" s="32"/>
      <c r="L61" s="32"/>
      <c r="N61" s="37">
        <f ca="1" t="shared" si="4"/>
        <v>0</v>
      </c>
      <c r="O61" s="37">
        <f ca="1" t="shared" si="5"/>
        <v>0</v>
      </c>
    </row>
    <row r="62" s="30" customFormat="1" ht="20" customHeight="1" spans="1:15">
      <c r="A62" s="31"/>
      <c r="B62" s="32"/>
      <c r="C62" s="33"/>
      <c r="D62" s="32"/>
      <c r="E62" s="32"/>
      <c r="F62" s="32"/>
      <c r="G62" s="32"/>
      <c r="H62" s="37">
        <f ca="1" t="array" ref="H62">INDEX(成本核算表!J:J,MATCH(1,(成本核算表!D:D=E62)*(成本核算表!C:C=G62),0))</f>
        <v>0</v>
      </c>
      <c r="I62" s="37"/>
      <c r="J62" s="37">
        <f ca="1" t="shared" si="3"/>
        <v>0</v>
      </c>
      <c r="K62" s="32"/>
      <c r="L62" s="32"/>
      <c r="N62" s="37">
        <f ca="1" t="shared" si="4"/>
        <v>0</v>
      </c>
      <c r="O62" s="37">
        <f ca="1" t="shared" si="5"/>
        <v>0</v>
      </c>
    </row>
    <row r="63" s="30" customFormat="1" ht="20" customHeight="1" spans="1:15">
      <c r="A63" s="31"/>
      <c r="B63" s="32"/>
      <c r="C63" s="33"/>
      <c r="D63" s="32"/>
      <c r="E63" s="32"/>
      <c r="F63" s="32"/>
      <c r="G63" s="32"/>
      <c r="H63" s="37">
        <f ca="1" t="array" ref="H63">INDEX(成本核算表!J:J,MATCH(1,(成本核算表!D:D=E63)*(成本核算表!C:C=G63),0))</f>
        <v>0</v>
      </c>
      <c r="I63" s="37"/>
      <c r="J63" s="37">
        <f ca="1" t="shared" si="3"/>
        <v>0</v>
      </c>
      <c r="K63" s="32"/>
      <c r="L63" s="32"/>
      <c r="N63" s="37">
        <f ca="1" t="shared" si="4"/>
        <v>0</v>
      </c>
      <c r="O63" s="37">
        <f ca="1" t="shared" si="5"/>
        <v>0</v>
      </c>
    </row>
    <row r="64" s="30" customFormat="1" ht="20" customHeight="1" spans="1:15">
      <c r="A64" s="31"/>
      <c r="B64" s="32"/>
      <c r="C64" s="33"/>
      <c r="D64" s="32"/>
      <c r="E64" s="32"/>
      <c r="F64" s="32"/>
      <c r="G64" s="32"/>
      <c r="H64" s="37">
        <f ca="1" t="array" ref="H64">INDEX(成本核算表!J:J,MATCH(1,(成本核算表!D:D=E64)*(成本核算表!C:C=G64),0))</f>
        <v>0</v>
      </c>
      <c r="I64" s="37"/>
      <c r="J64" s="37">
        <f ca="1" t="shared" si="3"/>
        <v>0</v>
      </c>
      <c r="K64" s="32"/>
      <c r="L64" s="32"/>
      <c r="N64" s="37">
        <f ca="1" t="shared" si="4"/>
        <v>0</v>
      </c>
      <c r="O64" s="37">
        <f ca="1" t="shared" si="5"/>
        <v>0</v>
      </c>
    </row>
    <row r="65" s="30" customFormat="1" ht="20" customHeight="1" spans="1:15">
      <c r="A65" s="31"/>
      <c r="B65" s="32"/>
      <c r="C65" s="33"/>
      <c r="D65" s="32"/>
      <c r="E65" s="32"/>
      <c r="F65" s="32"/>
      <c r="G65" s="32"/>
      <c r="H65" s="37">
        <f ca="1" t="array" ref="H65">INDEX(成本核算表!J:J,MATCH(1,(成本核算表!D:D=E65)*(成本核算表!C:C=G65),0))</f>
        <v>0</v>
      </c>
      <c r="I65" s="37"/>
      <c r="J65" s="37">
        <f ca="1" t="shared" si="3"/>
        <v>0</v>
      </c>
      <c r="K65" s="32"/>
      <c r="L65" s="32"/>
      <c r="N65" s="37">
        <f ca="1" t="shared" si="4"/>
        <v>0</v>
      </c>
      <c r="O65" s="37">
        <f ca="1" t="shared" si="5"/>
        <v>0</v>
      </c>
    </row>
    <row r="66" s="30" customFormat="1" ht="20" customHeight="1" spans="1:15">
      <c r="A66" s="31"/>
      <c r="B66" s="32"/>
      <c r="C66" s="33"/>
      <c r="D66" s="32"/>
      <c r="E66" s="32"/>
      <c r="F66" s="32"/>
      <c r="G66" s="32"/>
      <c r="H66" s="37">
        <f ca="1" t="array" ref="H66">INDEX(成本核算表!J:J,MATCH(1,(成本核算表!D:D=E66)*(成本核算表!C:C=G66),0))</f>
        <v>0</v>
      </c>
      <c r="I66" s="37"/>
      <c r="J66" s="37">
        <f ca="1" t="shared" si="3"/>
        <v>0</v>
      </c>
      <c r="K66" s="32"/>
      <c r="L66" s="32"/>
      <c r="N66" s="37">
        <f ca="1" t="shared" si="4"/>
        <v>0</v>
      </c>
      <c r="O66" s="37">
        <f ca="1" t="shared" si="5"/>
        <v>0</v>
      </c>
    </row>
    <row r="67" s="30" customFormat="1" ht="20" customHeight="1" spans="1:15">
      <c r="A67" s="31"/>
      <c r="B67" s="32"/>
      <c r="C67" s="33"/>
      <c r="D67" s="32"/>
      <c r="E67" s="32"/>
      <c r="F67" s="32"/>
      <c r="G67" s="32"/>
      <c r="H67" s="37">
        <f ca="1" t="array" ref="H67">INDEX(成本核算表!J:J,MATCH(1,(成本核算表!D:D=E67)*(成本核算表!C:C=G67),0))</f>
        <v>0</v>
      </c>
      <c r="I67" s="37"/>
      <c r="J67" s="37">
        <f ca="1" t="shared" si="3"/>
        <v>0</v>
      </c>
      <c r="K67" s="32"/>
      <c r="L67" s="32"/>
      <c r="N67" s="37">
        <f ca="1" t="shared" si="4"/>
        <v>0</v>
      </c>
      <c r="O67" s="37">
        <f ca="1" t="shared" si="5"/>
        <v>0</v>
      </c>
    </row>
    <row r="68" s="30" customFormat="1" ht="20" customHeight="1" spans="1:15">
      <c r="A68" s="31"/>
      <c r="B68" s="32"/>
      <c r="C68" s="33"/>
      <c r="D68" s="32"/>
      <c r="E68" s="32"/>
      <c r="F68" s="32"/>
      <c r="G68" s="32"/>
      <c r="H68" s="37">
        <f ca="1" t="array" ref="H68">INDEX(成本核算表!J:J,MATCH(1,(成本核算表!D:D=E68)*(成本核算表!C:C=G68),0))</f>
        <v>0</v>
      </c>
      <c r="I68" s="37"/>
      <c r="J68" s="37">
        <f ca="1" t="shared" si="3"/>
        <v>0</v>
      </c>
      <c r="K68" s="32"/>
      <c r="L68" s="32"/>
      <c r="N68" s="37">
        <f ca="1" t="shared" si="4"/>
        <v>0</v>
      </c>
      <c r="O68" s="37">
        <f ca="1" t="shared" si="5"/>
        <v>0</v>
      </c>
    </row>
    <row r="69" s="30" customFormat="1" ht="20" customHeight="1" spans="1:15">
      <c r="A69" s="31"/>
      <c r="B69" s="32"/>
      <c r="C69" s="33"/>
      <c r="D69" s="32"/>
      <c r="E69" s="32"/>
      <c r="F69" s="32"/>
      <c r="G69" s="32"/>
      <c r="H69" s="37">
        <f ca="1" t="array" ref="H69">INDEX(成本核算表!J:J,MATCH(1,(成本核算表!D:D=E69)*(成本核算表!C:C=G69),0))</f>
        <v>0</v>
      </c>
      <c r="I69" s="37"/>
      <c r="J69" s="37">
        <f ca="1" t="shared" si="3"/>
        <v>0</v>
      </c>
      <c r="K69" s="32"/>
      <c r="L69" s="32"/>
      <c r="N69" s="37">
        <f ca="1" t="shared" si="4"/>
        <v>0</v>
      </c>
      <c r="O69" s="37">
        <f ca="1" t="shared" si="5"/>
        <v>0</v>
      </c>
    </row>
    <row r="70" s="30" customFormat="1" ht="20" customHeight="1" spans="1:15">
      <c r="A70" s="31"/>
      <c r="B70" s="32"/>
      <c r="C70" s="33"/>
      <c r="D70" s="32"/>
      <c r="E70" s="32"/>
      <c r="F70" s="32"/>
      <c r="G70" s="32"/>
      <c r="H70" s="37">
        <f ca="1" t="array" ref="H70">INDEX(成本核算表!J:J,MATCH(1,(成本核算表!D:D=E70)*(成本核算表!C:C=G70),0))</f>
        <v>0</v>
      </c>
      <c r="I70" s="37"/>
      <c r="J70" s="37">
        <f ca="1" t="shared" si="3"/>
        <v>0</v>
      </c>
      <c r="K70" s="32"/>
      <c r="L70" s="32"/>
      <c r="N70" s="37">
        <f ca="1" t="shared" si="4"/>
        <v>0</v>
      </c>
      <c r="O70" s="37">
        <f ca="1" t="shared" si="5"/>
        <v>0</v>
      </c>
    </row>
    <row r="71" s="30" customFormat="1" customHeight="1" spans="1:15">
      <c r="A71" s="31"/>
      <c r="B71" s="32"/>
      <c r="C71" s="33"/>
      <c r="D71" s="32"/>
      <c r="E71" s="32"/>
      <c r="F71" s="32"/>
      <c r="G71" s="32"/>
      <c r="H71" s="34"/>
      <c r="I71" s="34"/>
      <c r="J71" s="32"/>
      <c r="K71" s="32"/>
      <c r="L71" s="32"/>
    </row>
    <row r="72" s="30" customFormat="1" customHeight="1" spans="1:15">
      <c r="A72" s="31"/>
      <c r="B72" s="32"/>
      <c r="C72" s="33"/>
      <c r="D72" s="32"/>
      <c r="E72" s="32"/>
      <c r="F72" s="32"/>
      <c r="G72" s="32"/>
      <c r="H72" s="34"/>
      <c r="I72" s="34"/>
      <c r="J72" s="32"/>
      <c r="K72" s="32"/>
      <c r="L72" s="32"/>
    </row>
    <row r="73" s="30" customFormat="1" customHeight="1" spans="1:15">
      <c r="A73" s="31"/>
      <c r="B73" s="32"/>
      <c r="C73" s="33"/>
      <c r="D73" s="32"/>
      <c r="E73" s="32"/>
      <c r="F73" s="32"/>
      <c r="G73" s="32"/>
      <c r="H73" s="34"/>
      <c r="I73" s="34"/>
      <c r="J73" s="32"/>
      <c r="K73" s="32"/>
      <c r="L73" s="32"/>
    </row>
    <row r="74" s="30" customFormat="1" customHeight="1" spans="1:15">
      <c r="A74" s="31"/>
      <c r="B74" s="32"/>
      <c r="C74" s="33"/>
      <c r="D74" s="32"/>
      <c r="E74" s="32"/>
      <c r="F74" s="32"/>
      <c r="G74" s="32"/>
      <c r="H74" s="34"/>
      <c r="I74" s="34"/>
      <c r="J74" s="32"/>
      <c r="K74" s="32"/>
      <c r="L74" s="32"/>
    </row>
    <row r="75" s="30" customFormat="1" customHeight="1" spans="1:15">
      <c r="A75" s="31"/>
      <c r="B75" s="32"/>
      <c r="C75" s="33"/>
      <c r="D75" s="32"/>
      <c r="E75" s="32"/>
      <c r="F75" s="32"/>
      <c r="G75" s="32"/>
      <c r="H75" s="34"/>
      <c r="I75" s="34"/>
      <c r="J75" s="32"/>
      <c r="K75" s="32"/>
      <c r="L75" s="32"/>
    </row>
    <row r="76" s="30" customFormat="1" customHeight="1" spans="1:15">
      <c r="A76" s="31"/>
      <c r="B76" s="32"/>
      <c r="C76" s="33"/>
      <c r="D76" s="32"/>
      <c r="E76" s="32"/>
      <c r="F76" s="32"/>
      <c r="G76" s="32"/>
      <c r="H76" s="34"/>
      <c r="I76" s="34"/>
      <c r="J76" s="32"/>
      <c r="K76" s="32"/>
      <c r="L76" s="32"/>
    </row>
    <row r="77" s="30" customFormat="1" customHeight="1" spans="1:15">
      <c r="A77" s="31"/>
      <c r="B77" s="32"/>
      <c r="C77" s="33"/>
      <c r="D77" s="32"/>
      <c r="E77" s="32"/>
      <c r="F77" s="32"/>
      <c r="G77" s="32"/>
      <c r="H77" s="34"/>
      <c r="I77" s="34"/>
      <c r="J77" s="32"/>
      <c r="K77" s="32"/>
      <c r="L77" s="32"/>
    </row>
    <row r="78" s="30" customFormat="1" customHeight="1" spans="1:15">
      <c r="A78" s="31"/>
      <c r="B78" s="32"/>
      <c r="C78" s="33"/>
      <c r="D78" s="32"/>
      <c r="E78" s="32"/>
      <c r="F78" s="32"/>
      <c r="G78" s="32"/>
      <c r="H78" s="34"/>
      <c r="I78" s="34"/>
      <c r="J78" s="32"/>
      <c r="K78" s="32"/>
      <c r="L78" s="32"/>
    </row>
    <row r="79" s="30" customFormat="1" customHeight="1" spans="1:15">
      <c r="A79" s="31"/>
      <c r="B79" s="32"/>
      <c r="C79" s="33"/>
      <c r="D79" s="32"/>
      <c r="E79" s="32"/>
      <c r="F79" s="32"/>
      <c r="G79" s="32"/>
      <c r="H79" s="34"/>
      <c r="I79" s="34"/>
      <c r="J79" s="32"/>
      <c r="K79" s="32"/>
      <c r="L79" s="32"/>
    </row>
    <row r="80" s="30" customFormat="1" customHeight="1" spans="1:15">
      <c r="A80" s="31"/>
      <c r="B80" s="32"/>
      <c r="C80" s="33"/>
      <c r="D80" s="32"/>
      <c r="E80" s="32"/>
      <c r="F80" s="32"/>
      <c r="G80" s="32"/>
      <c r="H80" s="34"/>
      <c r="I80" s="34"/>
      <c r="J80" s="32"/>
      <c r="K80" s="32"/>
      <c r="L80" s="32"/>
    </row>
    <row r="81" s="30" customFormat="1" customHeight="1" spans="1:12">
      <c r="A81" s="31"/>
      <c r="B81" s="32"/>
      <c r="C81" s="33"/>
      <c r="D81" s="32"/>
      <c r="E81" s="32"/>
      <c r="F81" s="32"/>
      <c r="G81" s="32"/>
      <c r="H81" s="34"/>
      <c r="I81" s="34"/>
      <c r="J81" s="32"/>
      <c r="K81" s="32"/>
      <c r="L81" s="32"/>
    </row>
    <row r="82" s="30" customFormat="1" customHeight="1" spans="1:12">
      <c r="A82" s="31"/>
      <c r="B82" s="32"/>
      <c r="C82" s="33"/>
      <c r="D82" s="32"/>
      <c r="E82" s="32"/>
      <c r="F82" s="32"/>
      <c r="G82" s="32"/>
      <c r="H82" s="34"/>
      <c r="I82" s="34"/>
      <c r="J82" s="32"/>
      <c r="K82" s="32"/>
      <c r="L82" s="32"/>
    </row>
    <row r="83" s="30" customFormat="1" customHeight="1" spans="1:12">
      <c r="A83" s="31"/>
      <c r="B83" s="32"/>
      <c r="C83" s="33"/>
      <c r="D83" s="32"/>
      <c r="E83" s="32"/>
      <c r="F83" s="32"/>
      <c r="G83" s="32"/>
      <c r="H83" s="34"/>
      <c r="I83" s="34"/>
      <c r="J83" s="32"/>
      <c r="K83" s="32"/>
      <c r="L83" s="32"/>
    </row>
    <row r="84" s="30" customFormat="1" customHeight="1" spans="1:12">
      <c r="A84" s="31"/>
      <c r="B84" s="32"/>
      <c r="C84" s="33"/>
      <c r="D84" s="32"/>
      <c r="E84" s="32"/>
      <c r="F84" s="32"/>
      <c r="G84" s="32"/>
      <c r="H84" s="34"/>
      <c r="I84" s="34"/>
      <c r="J84" s="32"/>
      <c r="K84" s="32"/>
      <c r="L84" s="32"/>
    </row>
    <row r="85" s="30" customFormat="1" customHeight="1" spans="1:12">
      <c r="A85" s="31"/>
      <c r="B85" s="32"/>
      <c r="C85" s="33"/>
      <c r="D85" s="32"/>
      <c r="E85" s="32"/>
      <c r="F85" s="32"/>
      <c r="G85" s="32"/>
      <c r="H85" s="34"/>
      <c r="I85" s="34"/>
      <c r="J85" s="32"/>
      <c r="K85" s="32"/>
      <c r="L85" s="32"/>
    </row>
    <row r="86" s="30" customFormat="1" customHeight="1" spans="1:12">
      <c r="A86" s="31"/>
      <c r="B86" s="32"/>
      <c r="C86" s="33"/>
      <c r="D86" s="32"/>
      <c r="E86" s="32"/>
      <c r="F86" s="32"/>
      <c r="G86" s="32"/>
      <c r="H86" s="34"/>
      <c r="I86" s="34"/>
      <c r="J86" s="32"/>
      <c r="K86" s="32"/>
      <c r="L86" s="32"/>
    </row>
    <row r="87" s="30" customFormat="1" customHeight="1" spans="1:12">
      <c r="A87" s="31"/>
      <c r="B87" s="32"/>
      <c r="C87" s="33"/>
      <c r="D87" s="32"/>
      <c r="E87" s="32"/>
      <c r="F87" s="32"/>
      <c r="G87" s="32"/>
      <c r="H87" s="34"/>
      <c r="I87" s="34"/>
      <c r="J87" s="32"/>
      <c r="K87" s="32"/>
      <c r="L87" s="32"/>
    </row>
    <row r="88" s="30" customFormat="1" customHeight="1" spans="1:12">
      <c r="A88" s="31"/>
      <c r="B88" s="32"/>
      <c r="C88" s="33"/>
      <c r="D88" s="32"/>
      <c r="E88" s="32"/>
      <c r="F88" s="32"/>
      <c r="G88" s="32"/>
      <c r="H88" s="34"/>
      <c r="I88" s="34"/>
      <c r="J88" s="32"/>
      <c r="K88" s="32"/>
      <c r="L88" s="32"/>
    </row>
    <row r="89" s="30" customFormat="1" customHeight="1" spans="1:12">
      <c r="A89" s="31"/>
      <c r="B89" s="32"/>
      <c r="C89" s="33"/>
      <c r="D89" s="32"/>
      <c r="E89" s="32"/>
      <c r="F89" s="32"/>
      <c r="G89" s="32"/>
      <c r="H89" s="34"/>
      <c r="I89" s="34"/>
      <c r="J89" s="32"/>
      <c r="K89" s="32"/>
      <c r="L89" s="32"/>
    </row>
    <row r="90" s="30" customFormat="1" customHeight="1" spans="1:12">
      <c r="A90" s="31"/>
      <c r="B90" s="32"/>
      <c r="C90" s="33"/>
      <c r="D90" s="32"/>
      <c r="E90" s="32"/>
      <c r="F90" s="32"/>
      <c r="G90" s="32"/>
      <c r="H90" s="34"/>
      <c r="I90" s="34"/>
      <c r="J90" s="32"/>
      <c r="K90" s="32"/>
      <c r="L90" s="32"/>
    </row>
    <row r="91" s="30" customFormat="1" customHeight="1" spans="1:12">
      <c r="A91" s="31"/>
      <c r="B91" s="32"/>
      <c r="C91" s="33"/>
      <c r="D91" s="32"/>
      <c r="E91" s="32"/>
      <c r="F91" s="32"/>
      <c r="G91" s="32"/>
      <c r="H91" s="34"/>
      <c r="I91" s="34"/>
      <c r="J91" s="32"/>
      <c r="K91" s="32"/>
      <c r="L91" s="32"/>
    </row>
    <row r="92" s="30" customFormat="1" customHeight="1" spans="1:12">
      <c r="A92" s="31"/>
      <c r="B92" s="32"/>
      <c r="C92" s="33"/>
      <c r="D92" s="32"/>
      <c r="E92" s="32"/>
      <c r="F92" s="32"/>
      <c r="G92" s="32"/>
      <c r="H92" s="34"/>
      <c r="I92" s="34"/>
      <c r="J92" s="32"/>
      <c r="K92" s="32"/>
      <c r="L92" s="32"/>
    </row>
    <row r="93" s="30" customFormat="1" customHeight="1" spans="1:12">
      <c r="A93" s="31"/>
      <c r="B93" s="32"/>
      <c r="C93" s="33"/>
      <c r="D93" s="32"/>
      <c r="E93" s="32"/>
      <c r="F93" s="32"/>
      <c r="G93" s="32"/>
      <c r="H93" s="34"/>
      <c r="I93" s="34"/>
      <c r="J93" s="32"/>
      <c r="K93" s="32"/>
      <c r="L93" s="32"/>
    </row>
    <row r="94" s="30" customFormat="1" customHeight="1" spans="1:12">
      <c r="A94" s="31"/>
      <c r="B94" s="32"/>
      <c r="C94" s="33"/>
      <c r="D94" s="32"/>
      <c r="E94" s="32"/>
      <c r="F94" s="32"/>
      <c r="G94" s="32"/>
      <c r="H94" s="34"/>
      <c r="I94" s="34"/>
      <c r="J94" s="32"/>
      <c r="K94" s="32"/>
      <c r="L94" s="32"/>
    </row>
    <row r="95" s="30" customFormat="1" customHeight="1" spans="1:12">
      <c r="A95" s="31"/>
      <c r="B95" s="32"/>
      <c r="C95" s="33"/>
      <c r="D95" s="32"/>
      <c r="E95" s="32"/>
      <c r="F95" s="32"/>
      <c r="G95" s="32"/>
      <c r="H95" s="34"/>
      <c r="I95" s="34"/>
      <c r="J95" s="32"/>
      <c r="K95" s="32"/>
      <c r="L95" s="32"/>
    </row>
    <row r="96" s="30" customFormat="1" customHeight="1" spans="1:12">
      <c r="A96" s="31"/>
      <c r="B96" s="32"/>
      <c r="C96" s="33"/>
      <c r="D96" s="32"/>
      <c r="E96" s="32"/>
      <c r="F96" s="32"/>
      <c r="G96" s="32"/>
      <c r="H96" s="34"/>
      <c r="I96" s="34"/>
      <c r="J96" s="32"/>
      <c r="K96" s="32"/>
      <c r="L96" s="32"/>
    </row>
    <row r="97" s="30" customFormat="1" customHeight="1" spans="1:12">
      <c r="A97" s="31"/>
      <c r="B97" s="32"/>
      <c r="C97" s="33"/>
      <c r="D97" s="32"/>
      <c r="E97" s="32"/>
      <c r="F97" s="32"/>
      <c r="G97" s="32"/>
      <c r="H97" s="34"/>
      <c r="I97" s="34"/>
      <c r="J97" s="32"/>
      <c r="K97" s="32"/>
      <c r="L97" s="32"/>
    </row>
    <row r="98" s="30" customFormat="1" customHeight="1" spans="1:12">
      <c r="A98" s="31"/>
      <c r="B98" s="32"/>
      <c r="C98" s="33"/>
      <c r="D98" s="32"/>
      <c r="E98" s="32"/>
      <c r="F98" s="32"/>
      <c r="G98" s="32"/>
      <c r="H98" s="34"/>
      <c r="I98" s="34"/>
      <c r="J98" s="32"/>
      <c r="K98" s="32"/>
      <c r="L98" s="32"/>
    </row>
    <row r="99" s="30" customFormat="1" customHeight="1" spans="1:12">
      <c r="A99" s="31"/>
      <c r="B99" s="32"/>
      <c r="C99" s="33"/>
      <c r="D99" s="32"/>
      <c r="E99" s="32"/>
      <c r="F99" s="32"/>
      <c r="G99" s="32"/>
      <c r="H99" s="34"/>
      <c r="I99" s="34"/>
      <c r="J99" s="32"/>
      <c r="K99" s="32"/>
      <c r="L99" s="32"/>
    </row>
    <row r="100" s="30" customFormat="1" customHeight="1" spans="1:12">
      <c r="A100" s="31"/>
      <c r="B100" s="32"/>
      <c r="C100" s="33"/>
      <c r="D100" s="32"/>
      <c r="E100" s="32"/>
      <c r="F100" s="32"/>
      <c r="G100" s="32"/>
      <c r="H100" s="34"/>
      <c r="I100" s="34"/>
      <c r="J100" s="32"/>
      <c r="K100" s="32"/>
      <c r="L100" s="32"/>
    </row>
    <row r="101" s="30" customFormat="1" customHeight="1" spans="1:12">
      <c r="A101" s="31"/>
      <c r="B101" s="32"/>
      <c r="C101" s="33"/>
      <c r="D101" s="32"/>
      <c r="E101" s="32"/>
      <c r="F101" s="32"/>
      <c r="G101" s="32"/>
      <c r="H101" s="34"/>
      <c r="I101" s="34"/>
      <c r="J101" s="32"/>
      <c r="K101" s="32"/>
      <c r="L101" s="32"/>
    </row>
    <row r="102" s="30" customFormat="1" customHeight="1" spans="1:12">
      <c r="A102" s="31"/>
      <c r="B102" s="32"/>
      <c r="C102" s="33"/>
      <c r="D102" s="32"/>
      <c r="E102" s="32"/>
      <c r="F102" s="32"/>
      <c r="G102" s="32"/>
      <c r="H102" s="34"/>
      <c r="I102" s="34"/>
      <c r="J102" s="32"/>
      <c r="K102" s="32"/>
      <c r="L102" s="32"/>
    </row>
    <row r="103" s="30" customFormat="1" customHeight="1" spans="1:12">
      <c r="A103" s="31"/>
      <c r="B103" s="32"/>
      <c r="C103" s="33"/>
      <c r="D103" s="32"/>
      <c r="E103" s="32"/>
      <c r="F103" s="32"/>
      <c r="G103" s="32"/>
      <c r="H103" s="34"/>
      <c r="I103" s="34"/>
      <c r="J103" s="32"/>
      <c r="K103" s="32"/>
      <c r="L103" s="32"/>
    </row>
    <row r="104" s="30" customFormat="1" customHeight="1" spans="1:12">
      <c r="A104" s="31"/>
      <c r="B104" s="32"/>
      <c r="C104" s="33"/>
      <c r="D104" s="32"/>
      <c r="E104" s="32"/>
      <c r="F104" s="32"/>
      <c r="G104" s="32"/>
      <c r="H104" s="34"/>
      <c r="I104" s="34"/>
      <c r="J104" s="32"/>
      <c r="K104" s="32"/>
      <c r="L104" s="32"/>
    </row>
    <row r="105" s="30" customFormat="1" customHeight="1" spans="1:12">
      <c r="A105" s="31"/>
      <c r="B105" s="32"/>
      <c r="C105" s="33"/>
      <c r="D105" s="32"/>
      <c r="E105" s="32"/>
      <c r="F105" s="32"/>
      <c r="G105" s="32"/>
      <c r="H105" s="34"/>
      <c r="I105" s="34"/>
      <c r="J105" s="32"/>
      <c r="K105" s="32"/>
      <c r="L105" s="32"/>
    </row>
    <row r="106" s="30" customFormat="1" customHeight="1" spans="1:12">
      <c r="A106" s="31"/>
      <c r="B106" s="32"/>
      <c r="C106" s="33"/>
      <c r="D106" s="32"/>
      <c r="E106" s="32"/>
      <c r="F106" s="32"/>
      <c r="G106" s="32"/>
      <c r="H106" s="34"/>
      <c r="I106" s="34"/>
      <c r="J106" s="32"/>
      <c r="K106" s="32"/>
      <c r="L106" s="32"/>
    </row>
    <row r="107" s="30" customFormat="1" customHeight="1" spans="1:12">
      <c r="A107" s="31"/>
      <c r="B107" s="32"/>
      <c r="C107" s="33"/>
      <c r="D107" s="32"/>
      <c r="E107" s="32"/>
      <c r="F107" s="32"/>
      <c r="G107" s="32"/>
      <c r="H107" s="34"/>
      <c r="I107" s="34"/>
      <c r="J107" s="32"/>
      <c r="K107" s="32"/>
      <c r="L107" s="32"/>
    </row>
    <row r="108" s="30" customFormat="1" customHeight="1" spans="1:12">
      <c r="A108" s="31"/>
      <c r="B108" s="32"/>
      <c r="C108" s="33"/>
      <c r="D108" s="32"/>
      <c r="E108" s="32"/>
      <c r="F108" s="32"/>
      <c r="G108" s="32"/>
      <c r="H108" s="34"/>
      <c r="I108" s="34"/>
      <c r="J108" s="32"/>
      <c r="K108" s="32"/>
      <c r="L108" s="32"/>
    </row>
    <row r="109" s="30" customFormat="1" customHeight="1" spans="1:12">
      <c r="A109" s="31"/>
      <c r="B109" s="32"/>
      <c r="C109" s="33"/>
      <c r="D109" s="32"/>
      <c r="E109" s="32"/>
      <c r="F109" s="32"/>
      <c r="G109" s="32"/>
      <c r="H109" s="34"/>
      <c r="I109" s="34"/>
      <c r="J109" s="32"/>
      <c r="K109" s="32"/>
      <c r="L109" s="32"/>
    </row>
    <row r="110" s="30" customFormat="1" customHeight="1" spans="1:12">
      <c r="A110" s="31"/>
      <c r="B110" s="32"/>
      <c r="C110" s="33"/>
      <c r="D110" s="32"/>
      <c r="E110" s="32"/>
      <c r="F110" s="32"/>
      <c r="G110" s="32"/>
      <c r="H110" s="34"/>
      <c r="I110" s="34"/>
      <c r="J110" s="32"/>
      <c r="K110" s="32"/>
      <c r="L110" s="32"/>
    </row>
    <row r="111" s="30" customFormat="1" customHeight="1" spans="1:12">
      <c r="A111" s="31"/>
      <c r="B111" s="32"/>
      <c r="C111" s="33"/>
      <c r="D111" s="32"/>
      <c r="E111" s="32"/>
      <c r="F111" s="32"/>
      <c r="G111" s="32"/>
      <c r="H111" s="34"/>
      <c r="I111" s="34"/>
      <c r="J111" s="32"/>
      <c r="K111" s="32"/>
      <c r="L111" s="32"/>
    </row>
    <row r="112" s="30" customFormat="1" customHeight="1" spans="1:12">
      <c r="A112" s="31"/>
      <c r="B112" s="32"/>
      <c r="C112" s="33"/>
      <c r="D112" s="32"/>
      <c r="E112" s="32"/>
      <c r="F112" s="32"/>
      <c r="G112" s="32"/>
      <c r="H112" s="34"/>
      <c r="I112" s="34"/>
      <c r="J112" s="32"/>
      <c r="K112" s="32"/>
      <c r="L112" s="32"/>
    </row>
    <row r="113" s="30" customFormat="1" customHeight="1" spans="1:12">
      <c r="A113" s="31"/>
      <c r="B113" s="32"/>
      <c r="C113" s="33"/>
      <c r="D113" s="32"/>
      <c r="E113" s="32"/>
      <c r="F113" s="32"/>
      <c r="G113" s="32"/>
      <c r="H113" s="34"/>
      <c r="I113" s="34"/>
      <c r="J113" s="32"/>
      <c r="K113" s="32"/>
      <c r="L113" s="32"/>
    </row>
    <row r="114" s="30" customFormat="1" customHeight="1" spans="1:12">
      <c r="A114" s="31"/>
      <c r="B114" s="32"/>
      <c r="C114" s="33"/>
      <c r="D114" s="32"/>
      <c r="E114" s="32"/>
      <c r="F114" s="32"/>
      <c r="G114" s="32"/>
      <c r="H114" s="34"/>
      <c r="I114" s="34"/>
      <c r="J114" s="32"/>
      <c r="K114" s="32"/>
      <c r="L114" s="32"/>
    </row>
    <row r="115" s="30" customFormat="1" customHeight="1" spans="1:12">
      <c r="A115" s="31"/>
      <c r="B115" s="32"/>
      <c r="C115" s="33"/>
      <c r="D115" s="32"/>
      <c r="E115" s="32"/>
      <c r="F115" s="32"/>
      <c r="G115" s="32"/>
      <c r="H115" s="34"/>
      <c r="I115" s="34"/>
      <c r="J115" s="32"/>
      <c r="K115" s="32"/>
      <c r="L115" s="32"/>
    </row>
    <row r="116" s="30" customFormat="1" customHeight="1" spans="1:12">
      <c r="A116" s="31"/>
      <c r="B116" s="32"/>
      <c r="C116" s="33"/>
      <c r="D116" s="32"/>
      <c r="E116" s="32"/>
      <c r="F116" s="32"/>
      <c r="G116" s="32"/>
      <c r="H116" s="34"/>
      <c r="I116" s="34"/>
      <c r="J116" s="32"/>
      <c r="K116" s="32"/>
      <c r="L116" s="32"/>
    </row>
    <row r="117" s="30" customFormat="1" customHeight="1" spans="1:12">
      <c r="A117" s="31"/>
      <c r="B117" s="32"/>
      <c r="C117" s="33"/>
      <c r="D117" s="32"/>
      <c r="E117" s="32"/>
      <c r="F117" s="32"/>
      <c r="G117" s="32"/>
      <c r="H117" s="34"/>
      <c r="I117" s="34"/>
      <c r="J117" s="32"/>
      <c r="K117" s="32"/>
      <c r="L117" s="32"/>
    </row>
    <row r="118" s="30" customFormat="1" customHeight="1" spans="1:12">
      <c r="A118" s="31"/>
      <c r="B118" s="32"/>
      <c r="C118" s="33"/>
      <c r="D118" s="32"/>
      <c r="E118" s="32"/>
      <c r="F118" s="32"/>
      <c r="G118" s="32"/>
      <c r="H118" s="34"/>
      <c r="I118" s="34"/>
      <c r="J118" s="32"/>
      <c r="K118" s="32"/>
      <c r="L118" s="32"/>
    </row>
    <row r="119" s="30" customFormat="1" customHeight="1" spans="1:12">
      <c r="A119" s="31"/>
      <c r="B119" s="32"/>
      <c r="C119" s="33"/>
      <c r="D119" s="32"/>
      <c r="E119" s="32"/>
      <c r="F119" s="32"/>
      <c r="G119" s="32"/>
      <c r="H119" s="34"/>
      <c r="I119" s="34"/>
      <c r="J119" s="32"/>
      <c r="K119" s="32"/>
      <c r="L119" s="32"/>
    </row>
    <row r="120" s="30" customFormat="1" customHeight="1" spans="1:12">
      <c r="A120" s="31"/>
      <c r="B120" s="32"/>
      <c r="C120" s="33"/>
      <c r="D120" s="32"/>
      <c r="E120" s="32"/>
      <c r="F120" s="32"/>
      <c r="G120" s="32"/>
      <c r="H120" s="34"/>
      <c r="I120" s="34"/>
      <c r="J120" s="32"/>
      <c r="K120" s="32"/>
      <c r="L120" s="32"/>
    </row>
    <row r="121" s="30" customFormat="1" customHeight="1" spans="1:12">
      <c r="A121" s="31"/>
      <c r="B121" s="32"/>
      <c r="C121" s="33"/>
      <c r="D121" s="32"/>
      <c r="E121" s="32"/>
      <c r="F121" s="32"/>
      <c r="G121" s="32"/>
      <c r="H121" s="34"/>
      <c r="I121" s="34"/>
      <c r="J121" s="32"/>
      <c r="K121" s="32"/>
      <c r="L121" s="32"/>
    </row>
    <row r="122" s="30" customFormat="1" customHeight="1" spans="1:12">
      <c r="A122" s="31"/>
      <c r="B122" s="32"/>
      <c r="C122" s="33"/>
      <c r="D122" s="32"/>
      <c r="E122" s="32"/>
      <c r="F122" s="32"/>
      <c r="G122" s="32"/>
      <c r="H122" s="34"/>
      <c r="I122" s="34"/>
      <c r="J122" s="32"/>
      <c r="K122" s="32"/>
      <c r="L122" s="32"/>
    </row>
    <row r="123" s="30" customFormat="1" customHeight="1" spans="1:12">
      <c r="A123" s="31"/>
      <c r="B123" s="32"/>
      <c r="C123" s="33"/>
      <c r="D123" s="32"/>
      <c r="E123" s="32"/>
      <c r="F123" s="32"/>
      <c r="G123" s="32"/>
      <c r="H123" s="34"/>
      <c r="I123" s="34"/>
      <c r="J123" s="32"/>
      <c r="K123" s="32"/>
      <c r="L123" s="32"/>
    </row>
    <row r="124" s="30" customFormat="1" customHeight="1" spans="1:12">
      <c r="A124" s="31"/>
      <c r="B124" s="32"/>
      <c r="C124" s="33"/>
      <c r="D124" s="32"/>
      <c r="E124" s="32"/>
      <c r="F124" s="32"/>
      <c r="G124" s="32"/>
      <c r="H124" s="34"/>
      <c r="I124" s="34"/>
      <c r="J124" s="32"/>
      <c r="K124" s="32"/>
      <c r="L124" s="32"/>
    </row>
    <row r="125" s="30" customFormat="1" customHeight="1" spans="1:12">
      <c r="A125" s="31"/>
      <c r="B125" s="32"/>
      <c r="C125" s="33"/>
      <c r="D125" s="32"/>
      <c r="E125" s="32"/>
      <c r="F125" s="32"/>
      <c r="G125" s="32"/>
      <c r="H125" s="34"/>
      <c r="I125" s="34"/>
      <c r="J125" s="32"/>
      <c r="K125" s="32"/>
      <c r="L125" s="32"/>
    </row>
    <row r="126" s="30" customFormat="1" customHeight="1" spans="1:12">
      <c r="A126" s="31"/>
      <c r="B126" s="32"/>
      <c r="C126" s="33"/>
      <c r="D126" s="32"/>
      <c r="E126" s="32"/>
      <c r="F126" s="32"/>
      <c r="G126" s="32"/>
      <c r="H126" s="34"/>
      <c r="I126" s="34"/>
      <c r="J126" s="32"/>
      <c r="K126" s="32"/>
      <c r="L126" s="32"/>
    </row>
    <row r="127" s="30" customFormat="1" customHeight="1" spans="1:12">
      <c r="A127" s="31"/>
      <c r="B127" s="32"/>
      <c r="C127" s="33"/>
      <c r="D127" s="32"/>
      <c r="E127" s="32"/>
      <c r="F127" s="32"/>
      <c r="G127" s="32"/>
      <c r="H127" s="34"/>
      <c r="I127" s="34"/>
      <c r="J127" s="32"/>
      <c r="K127" s="32"/>
      <c r="L127" s="32"/>
    </row>
    <row r="128" s="30" customFormat="1" customHeight="1" spans="1:12">
      <c r="A128" s="31"/>
      <c r="B128" s="32"/>
      <c r="C128" s="33"/>
      <c r="D128" s="32"/>
      <c r="E128" s="32"/>
      <c r="F128" s="32"/>
      <c r="G128" s="32"/>
      <c r="H128" s="34"/>
      <c r="I128" s="34"/>
      <c r="J128" s="32"/>
      <c r="K128" s="32"/>
      <c r="L128" s="32"/>
    </row>
    <row r="129" s="30" customFormat="1" customHeight="1" spans="1:12">
      <c r="A129" s="31"/>
      <c r="B129" s="32"/>
      <c r="C129" s="33"/>
      <c r="D129" s="32"/>
      <c r="E129" s="32"/>
      <c r="F129" s="32"/>
      <c r="G129" s="32"/>
      <c r="H129" s="34"/>
      <c r="I129" s="34"/>
      <c r="J129" s="32"/>
      <c r="K129" s="32"/>
      <c r="L129" s="32"/>
    </row>
    <row r="130" s="30" customFormat="1" customHeight="1" spans="1:12">
      <c r="A130" s="31"/>
      <c r="B130" s="32"/>
      <c r="C130" s="33"/>
      <c r="D130" s="32"/>
      <c r="E130" s="32"/>
      <c r="F130" s="32"/>
      <c r="G130" s="32"/>
      <c r="H130" s="34"/>
      <c r="I130" s="34"/>
      <c r="J130" s="32"/>
      <c r="K130" s="32"/>
      <c r="L130" s="32"/>
    </row>
    <row r="131" s="30" customFormat="1" customHeight="1" spans="1:12">
      <c r="A131" s="31"/>
      <c r="B131" s="32"/>
      <c r="C131" s="33"/>
      <c r="D131" s="32"/>
      <c r="E131" s="32"/>
      <c r="F131" s="32"/>
      <c r="G131" s="32"/>
      <c r="H131" s="34"/>
      <c r="I131" s="34"/>
      <c r="J131" s="32"/>
      <c r="K131" s="32"/>
      <c r="L131" s="32"/>
    </row>
    <row r="132" s="30" customFormat="1" customHeight="1" spans="1:12">
      <c r="A132" s="31"/>
      <c r="B132" s="32"/>
      <c r="C132" s="33"/>
      <c r="D132" s="32"/>
      <c r="E132" s="32"/>
      <c r="F132" s="32"/>
      <c r="G132" s="32"/>
      <c r="H132" s="34"/>
      <c r="I132" s="34"/>
      <c r="J132" s="32"/>
      <c r="K132" s="32"/>
      <c r="L132" s="32"/>
    </row>
    <row r="133" s="30" customFormat="1" customHeight="1" spans="1:12">
      <c r="A133" s="31"/>
      <c r="B133" s="32"/>
      <c r="C133" s="33"/>
      <c r="D133" s="32"/>
      <c r="E133" s="32"/>
      <c r="F133" s="32"/>
      <c r="G133" s="32"/>
      <c r="H133" s="34"/>
      <c r="I133" s="34"/>
      <c r="J133" s="32"/>
      <c r="K133" s="32"/>
      <c r="L133" s="32"/>
    </row>
    <row r="134" s="30" customFormat="1" customHeight="1" spans="1:12">
      <c r="A134" s="31"/>
      <c r="B134" s="32"/>
      <c r="C134" s="33"/>
      <c r="D134" s="32"/>
      <c r="E134" s="32"/>
      <c r="F134" s="32"/>
      <c r="G134" s="32"/>
      <c r="H134" s="34"/>
      <c r="I134" s="34"/>
      <c r="J134" s="32"/>
      <c r="K134" s="32"/>
      <c r="L134" s="32"/>
    </row>
    <row r="135" s="30" customFormat="1" customHeight="1" spans="1:12">
      <c r="A135" s="31"/>
      <c r="B135" s="32"/>
      <c r="C135" s="33"/>
      <c r="D135" s="32"/>
      <c r="E135" s="32"/>
      <c r="F135" s="32"/>
      <c r="G135" s="32"/>
      <c r="H135" s="34"/>
      <c r="I135" s="34"/>
      <c r="J135" s="32"/>
      <c r="K135" s="32"/>
      <c r="L135" s="32"/>
    </row>
    <row r="136" s="30" customFormat="1" customHeight="1" spans="1:12">
      <c r="A136" s="31"/>
      <c r="B136" s="32"/>
      <c r="C136" s="33"/>
      <c r="D136" s="32"/>
      <c r="E136" s="32"/>
      <c r="F136" s="32"/>
      <c r="G136" s="32"/>
      <c r="H136" s="34"/>
      <c r="I136" s="34"/>
      <c r="J136" s="32"/>
      <c r="K136" s="32"/>
      <c r="L136" s="32"/>
    </row>
    <row r="137" s="30" customFormat="1" customHeight="1" spans="1:12">
      <c r="A137" s="31"/>
      <c r="B137" s="32"/>
      <c r="C137" s="33"/>
      <c r="D137" s="32"/>
      <c r="E137" s="32"/>
      <c r="F137" s="32"/>
      <c r="G137" s="32"/>
      <c r="H137" s="34"/>
      <c r="I137" s="34"/>
      <c r="J137" s="32"/>
      <c r="K137" s="32"/>
      <c r="L137" s="32"/>
    </row>
    <row r="138" s="30" customFormat="1" customHeight="1" spans="1:12">
      <c r="A138" s="31"/>
      <c r="B138" s="32"/>
      <c r="C138" s="33"/>
      <c r="D138" s="32"/>
      <c r="E138" s="32"/>
      <c r="F138" s="32"/>
      <c r="G138" s="32"/>
      <c r="H138" s="34"/>
      <c r="I138" s="34"/>
      <c r="J138" s="32"/>
      <c r="K138" s="32"/>
      <c r="L138" s="32"/>
    </row>
    <row r="139" s="30" customFormat="1" customHeight="1" spans="1:12">
      <c r="A139" s="31"/>
      <c r="B139" s="32"/>
      <c r="C139" s="33"/>
      <c r="D139" s="32"/>
      <c r="E139" s="32"/>
      <c r="F139" s="32"/>
      <c r="G139" s="32"/>
      <c r="H139" s="34"/>
      <c r="I139" s="34"/>
      <c r="J139" s="32"/>
      <c r="K139" s="32"/>
      <c r="L139" s="32"/>
    </row>
    <row r="140" s="30" customFormat="1" customHeight="1" spans="1:12">
      <c r="A140" s="31"/>
      <c r="B140" s="32"/>
      <c r="C140" s="33"/>
      <c r="D140" s="32"/>
      <c r="E140" s="32"/>
      <c r="F140" s="32"/>
      <c r="G140" s="32"/>
      <c r="H140" s="34"/>
      <c r="I140" s="34"/>
      <c r="J140" s="32"/>
      <c r="K140" s="32"/>
      <c r="L140" s="32"/>
    </row>
    <row r="141" s="30" customFormat="1" customHeight="1" spans="1:12">
      <c r="A141" s="31"/>
      <c r="B141" s="32"/>
      <c r="C141" s="33"/>
      <c r="D141" s="32"/>
      <c r="E141" s="32"/>
      <c r="F141" s="32"/>
      <c r="G141" s="32"/>
      <c r="H141" s="34"/>
      <c r="I141" s="34"/>
      <c r="J141" s="32"/>
      <c r="K141" s="32"/>
      <c r="L141" s="32"/>
    </row>
    <row r="142" s="30" customFormat="1" customHeight="1" spans="1:12">
      <c r="A142" s="31"/>
      <c r="B142" s="32"/>
      <c r="C142" s="33"/>
      <c r="D142" s="32"/>
      <c r="E142" s="32"/>
      <c r="F142" s="32"/>
      <c r="G142" s="32"/>
      <c r="H142" s="34"/>
      <c r="I142" s="34"/>
      <c r="J142" s="32"/>
      <c r="K142" s="32"/>
      <c r="L142" s="32"/>
    </row>
    <row r="143" s="30" customFormat="1" customHeight="1" spans="1:12">
      <c r="A143" s="31"/>
      <c r="B143" s="32"/>
      <c r="C143" s="33"/>
      <c r="D143" s="32"/>
      <c r="E143" s="32"/>
      <c r="F143" s="32"/>
      <c r="G143" s="32"/>
      <c r="H143" s="34"/>
      <c r="I143" s="34"/>
      <c r="J143" s="32"/>
      <c r="K143" s="32"/>
      <c r="L143" s="32"/>
    </row>
    <row r="144" s="30" customFormat="1" customHeight="1" spans="1:12">
      <c r="A144" s="31"/>
      <c r="B144" s="32"/>
      <c r="C144" s="33"/>
      <c r="D144" s="32"/>
      <c r="E144" s="32"/>
      <c r="F144" s="32"/>
      <c r="G144" s="32"/>
      <c r="H144" s="34"/>
      <c r="I144" s="34"/>
      <c r="J144" s="32"/>
      <c r="K144" s="32"/>
      <c r="L144" s="32"/>
    </row>
    <row r="145" s="30" customFormat="1" customHeight="1" spans="1:12">
      <c r="A145" s="31"/>
      <c r="B145" s="32"/>
      <c r="C145" s="33"/>
      <c r="D145" s="32"/>
      <c r="E145" s="32"/>
      <c r="F145" s="32"/>
      <c r="G145" s="32"/>
      <c r="H145" s="34"/>
      <c r="I145" s="34"/>
      <c r="J145" s="32"/>
      <c r="K145" s="32"/>
      <c r="L145" s="32"/>
    </row>
    <row r="146" s="30" customFormat="1" customHeight="1" spans="1:12">
      <c r="A146" s="31"/>
      <c r="B146" s="32"/>
      <c r="C146" s="33"/>
      <c r="D146" s="32"/>
      <c r="E146" s="32"/>
      <c r="F146" s="32"/>
      <c r="G146" s="32"/>
      <c r="H146" s="34"/>
      <c r="I146" s="34"/>
      <c r="J146" s="32"/>
      <c r="K146" s="32"/>
      <c r="L146" s="32"/>
    </row>
    <row r="147" s="30" customFormat="1" customHeight="1" spans="1:12">
      <c r="A147" s="31"/>
      <c r="B147" s="32"/>
      <c r="C147" s="33"/>
      <c r="D147" s="32"/>
      <c r="E147" s="32"/>
      <c r="F147" s="32"/>
      <c r="G147" s="32"/>
      <c r="H147" s="34"/>
      <c r="I147" s="34"/>
      <c r="J147" s="32"/>
      <c r="K147" s="32"/>
      <c r="L147" s="32"/>
    </row>
    <row r="148" s="30" customFormat="1" customHeight="1" spans="1:12">
      <c r="A148" s="31"/>
      <c r="B148" s="32"/>
      <c r="C148" s="33"/>
      <c r="D148" s="32"/>
      <c r="E148" s="32"/>
      <c r="F148" s="32"/>
      <c r="G148" s="32"/>
      <c r="H148" s="34"/>
      <c r="I148" s="34"/>
      <c r="J148" s="32"/>
      <c r="K148" s="32"/>
      <c r="L148" s="32"/>
    </row>
    <row r="149" s="30" customFormat="1" customHeight="1" spans="1:12">
      <c r="A149" s="31"/>
      <c r="B149" s="32"/>
      <c r="C149" s="33"/>
      <c r="D149" s="32"/>
      <c r="E149" s="32"/>
      <c r="F149" s="32"/>
      <c r="G149" s="32"/>
      <c r="H149" s="34"/>
      <c r="I149" s="34"/>
      <c r="J149" s="32"/>
      <c r="K149" s="32"/>
      <c r="L149" s="32"/>
    </row>
    <row r="150" s="30" customFormat="1" customHeight="1" spans="1:12">
      <c r="A150" s="31"/>
      <c r="B150" s="32"/>
      <c r="C150" s="33"/>
      <c r="D150" s="32"/>
      <c r="E150" s="32"/>
      <c r="F150" s="32"/>
      <c r="G150" s="32"/>
      <c r="H150" s="34"/>
      <c r="I150" s="34"/>
      <c r="J150" s="32"/>
      <c r="K150" s="32"/>
      <c r="L150" s="32"/>
    </row>
    <row r="151" s="30" customFormat="1" customHeight="1" spans="1:12">
      <c r="A151" s="31"/>
      <c r="B151" s="32"/>
      <c r="C151" s="33"/>
      <c r="D151" s="32"/>
      <c r="E151" s="32"/>
      <c r="F151" s="32"/>
      <c r="G151" s="32"/>
      <c r="H151" s="34"/>
      <c r="I151" s="34"/>
      <c r="J151" s="32"/>
      <c r="K151" s="32"/>
      <c r="L151" s="32"/>
    </row>
    <row r="152" s="30" customFormat="1" customHeight="1" spans="1:12">
      <c r="A152" s="31"/>
      <c r="B152" s="32"/>
      <c r="C152" s="33"/>
      <c r="D152" s="32"/>
      <c r="E152" s="32"/>
      <c r="F152" s="32"/>
      <c r="G152" s="32"/>
      <c r="H152" s="34"/>
      <c r="I152" s="34"/>
      <c r="J152" s="32"/>
      <c r="K152" s="32"/>
      <c r="L152" s="32"/>
    </row>
    <row r="153" s="30" customFormat="1" customHeight="1" spans="1:12">
      <c r="A153" s="31"/>
      <c r="B153" s="32"/>
      <c r="C153" s="33"/>
      <c r="D153" s="32"/>
      <c r="E153" s="32"/>
      <c r="F153" s="32"/>
      <c r="G153" s="32"/>
      <c r="H153" s="34"/>
      <c r="I153" s="34"/>
      <c r="J153" s="32"/>
      <c r="K153" s="32"/>
      <c r="L153" s="32"/>
    </row>
    <row r="154" s="30" customFormat="1" customHeight="1" spans="1:12">
      <c r="A154" s="31"/>
      <c r="B154" s="32"/>
      <c r="C154" s="33"/>
      <c r="D154" s="32"/>
      <c r="E154" s="32"/>
      <c r="F154" s="32"/>
      <c r="G154" s="32"/>
      <c r="H154" s="34"/>
      <c r="I154" s="34"/>
      <c r="J154" s="32"/>
      <c r="K154" s="32"/>
      <c r="L154" s="32"/>
    </row>
    <row r="155" s="30" customFormat="1" customHeight="1" spans="1:12">
      <c r="A155" s="31"/>
      <c r="B155" s="32"/>
      <c r="C155" s="33"/>
      <c r="D155" s="32"/>
      <c r="E155" s="32"/>
      <c r="F155" s="32"/>
      <c r="G155" s="32"/>
      <c r="H155" s="34"/>
      <c r="I155" s="34"/>
      <c r="J155" s="32"/>
      <c r="K155" s="32"/>
      <c r="L155" s="32"/>
    </row>
    <row r="156" s="30" customFormat="1" customHeight="1" spans="1:12">
      <c r="A156" s="31"/>
      <c r="B156" s="32"/>
      <c r="C156" s="33"/>
      <c r="D156" s="32"/>
      <c r="E156" s="32"/>
      <c r="F156" s="32"/>
      <c r="G156" s="32"/>
      <c r="H156" s="34"/>
      <c r="I156" s="34"/>
      <c r="J156" s="32"/>
      <c r="K156" s="32"/>
      <c r="L156" s="32"/>
    </row>
  </sheetData>
  <sheetCalcPr fullCalcOnLoad="1"/>
  <pageMargins left="0.75" right="0.75" top="1" bottom="1" header="0.51" footer="0.51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Q154"/>
  <sheetViews>
    <sheetView workbookViewId="0">
      <pane ySplit="1" topLeftCell="A3" activePane="bottomLeft" state="frozen"/>
      <selection/>
      <selection pane="bottomLeft" activeCell="C2" sqref="C2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4" width="9" style="21"/>
    <col min="15" max="15" width="12.625" style="21"/>
    <col min="16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46098</v>
      </c>
      <c r="B2" s="6">
        <v>11</v>
      </c>
      <c r="C2" s="28">
        <f ca="1" t="shared" ref="C2:C6" si="0">SUM(O2:O2)/B2</f>
        <v>1.13636363636364</v>
      </c>
      <c r="D2" s="5" t="s">
        <v>105</v>
      </c>
      <c r="E2" s="5" t="s">
        <v>104</v>
      </c>
      <c r="F2" s="6">
        <v>2296.8</v>
      </c>
      <c r="G2" s="5" t="s">
        <v>22</v>
      </c>
      <c r="H2" s="6">
        <f ca="1" t="array" ref="H2">INDEX(成本核算表!J:J,MATCH(1,(成本核算表!D:D=E2)*(成本核算表!C:C=G2),0))</f>
        <v>600</v>
      </c>
      <c r="I2" s="6">
        <v>75</v>
      </c>
      <c r="J2" s="6">
        <f ca="1">H2*I2</f>
        <v>45000</v>
      </c>
      <c r="K2" s="6"/>
      <c r="L2" s="6"/>
      <c r="M2" s="6"/>
      <c r="N2" s="6">
        <f ca="1">J2-M2+L2</f>
        <v>45000</v>
      </c>
      <c r="O2" s="6">
        <f ca="1">N2/3600</f>
        <v>12.5</v>
      </c>
      <c r="P2" s="6"/>
      <c r="Q2" s="6"/>
    </row>
    <row r="3" s="21" customFormat="1" ht="20" customHeight="1" spans="1:17">
      <c r="A3" s="27">
        <v>46099</v>
      </c>
      <c r="B3" s="6">
        <v>11</v>
      </c>
      <c r="C3" s="28">
        <f ca="1">SUM(O3:O4)/B3</f>
        <v>0.893939393939394</v>
      </c>
      <c r="D3" s="5" t="s">
        <v>77</v>
      </c>
      <c r="E3" s="5" t="s">
        <v>78</v>
      </c>
      <c r="F3" s="6">
        <v>1960</v>
      </c>
      <c r="G3" s="5" t="s">
        <v>132</v>
      </c>
      <c r="H3" s="6">
        <f ca="1" t="array" ref="H3">INDEX(成本核算表!J:J,MATCH(1,(成本核算表!D:D=E3)*(成本核算表!C:C=G3),0))</f>
        <v>30</v>
      </c>
      <c r="I3" s="6">
        <v>200</v>
      </c>
      <c r="J3" s="6">
        <f ca="1" t="shared" ref="J3:J63" si="1">H3*I3</f>
        <v>6000</v>
      </c>
      <c r="K3" s="6"/>
      <c r="L3" s="6">
        <v>14400</v>
      </c>
      <c r="M3" s="6"/>
      <c r="N3" s="6">
        <f ca="1" t="shared" ref="N3:N63" si="2">J3-M3+L3</f>
        <v>20400</v>
      </c>
      <c r="O3" s="6">
        <f ca="1" t="shared" ref="O3:O63" si="3">N3/3600</f>
        <v>5.66666666666667</v>
      </c>
      <c r="P3" s="6"/>
      <c r="Q3" s="5" t="s">
        <v>133</v>
      </c>
    </row>
    <row r="4" s="21" customFormat="1" ht="20" customHeight="1" spans="1:17">
      <c r="A4" s="27">
        <v>46099</v>
      </c>
      <c r="B4" s="6"/>
      <c r="C4" s="28"/>
      <c r="D4" s="5" t="s">
        <v>84</v>
      </c>
      <c r="E4" s="5" t="s">
        <v>78</v>
      </c>
      <c r="F4" s="6">
        <v>780</v>
      </c>
      <c r="G4" s="5" t="s">
        <v>132</v>
      </c>
      <c r="H4" s="6">
        <f ca="1" t="array" ref="H4">INDEX(成本核算表!J:J,MATCH(1,(成本核算表!D:D=E4)*(成本核算表!C:C=G4),0))</f>
        <v>30</v>
      </c>
      <c r="I4" s="6">
        <v>500</v>
      </c>
      <c r="J4" s="6">
        <f ca="1" t="shared" si="1"/>
        <v>15000</v>
      </c>
      <c r="K4" s="6"/>
      <c r="L4" s="6"/>
      <c r="M4" s="6"/>
      <c r="N4" s="6">
        <f ca="1" t="shared" si="2"/>
        <v>15000</v>
      </c>
      <c r="O4" s="6">
        <f ca="1" t="shared" si="3"/>
        <v>4.16666666666667</v>
      </c>
      <c r="P4" s="6"/>
      <c r="Q4" s="6"/>
    </row>
    <row r="5" s="21" customFormat="1" ht="20" customHeight="1" spans="1:17">
      <c r="A5" s="27">
        <v>46100</v>
      </c>
      <c r="B5" s="6">
        <v>11</v>
      </c>
      <c r="C5" s="28">
        <f ca="1" t="shared" si="0"/>
        <v>1.00606060606061</v>
      </c>
      <c r="D5" s="5" t="s">
        <v>177</v>
      </c>
      <c r="E5" s="5" t="s">
        <v>178</v>
      </c>
      <c r="F5" s="6">
        <v>2440</v>
      </c>
      <c r="G5" s="5" t="s">
        <v>44</v>
      </c>
      <c r="H5" s="6">
        <f ca="1" t="array" ref="H5">INDEX(成本核算表!J:J,MATCH(1,(成本核算表!D:D=E5)*(成本核算表!C:C=G5),0))</f>
        <v>240</v>
      </c>
      <c r="I5" s="6">
        <v>34</v>
      </c>
      <c r="J5" s="6">
        <f ca="1" t="shared" si="1"/>
        <v>8160</v>
      </c>
      <c r="K5" s="6"/>
      <c r="L5" s="6">
        <v>31680</v>
      </c>
      <c r="M5" s="6"/>
      <c r="N5" s="6">
        <f ca="1" t="shared" si="2"/>
        <v>39840</v>
      </c>
      <c r="O5" s="6">
        <f ca="1" t="shared" si="3"/>
        <v>11.0666666666667</v>
      </c>
      <c r="P5" s="6"/>
      <c r="Q5" s="5" t="s">
        <v>175</v>
      </c>
    </row>
    <row r="6" s="21" customFormat="1" ht="20" customHeight="1" spans="1:17">
      <c r="A6" s="27">
        <v>46101</v>
      </c>
      <c r="B6" s="6">
        <v>11</v>
      </c>
      <c r="C6" s="28">
        <f ca="1" t="shared" si="0"/>
        <v>1.13939393939394</v>
      </c>
      <c r="D6" s="5" t="s">
        <v>177</v>
      </c>
      <c r="E6" s="5" t="s">
        <v>178</v>
      </c>
      <c r="F6" s="6">
        <v>2440</v>
      </c>
      <c r="G6" s="5" t="s">
        <v>44</v>
      </c>
      <c r="H6" s="6">
        <f ca="1" t="array" ref="H6">INDEX(成本核算表!J:J,MATCH(1,(成本核算表!D:D=E6)*(成本核算表!C:C=G6),0))</f>
        <v>240</v>
      </c>
      <c r="I6" s="6">
        <v>190</v>
      </c>
      <c r="J6" s="6">
        <f ca="1" t="shared" si="1"/>
        <v>45600</v>
      </c>
      <c r="K6" s="6">
        <v>2</v>
      </c>
      <c r="L6" s="6"/>
      <c r="M6" s="6">
        <f ca="1">K6*H6</f>
        <v>480</v>
      </c>
      <c r="N6" s="6">
        <f ca="1" t="shared" si="2"/>
        <v>45120</v>
      </c>
      <c r="O6" s="6">
        <f ca="1" t="shared" si="3"/>
        <v>12.5333333333333</v>
      </c>
      <c r="P6" s="6"/>
      <c r="Q6" s="6"/>
    </row>
    <row r="7" s="21" customFormat="1" ht="20" customHeight="1" spans="1:17">
      <c r="A7" s="6"/>
      <c r="B7" s="6"/>
      <c r="C7" s="28"/>
      <c r="D7" s="6"/>
      <c r="E7" s="6"/>
      <c r="F7" s="6"/>
      <c r="G7" s="6"/>
      <c r="H7" s="6">
        <f ca="1" t="array" ref="H7">INDEX(成本核算表!J:J,MATCH(1,(成本核算表!D:D=E7)*(成本核算表!C:C=G7),0))</f>
        <v>0</v>
      </c>
      <c r="I7" s="6"/>
      <c r="J7" s="6">
        <f ca="1" t="shared" si="1"/>
        <v>0</v>
      </c>
      <c r="K7" s="6"/>
      <c r="L7" s="6"/>
      <c r="M7" s="6"/>
      <c r="N7" s="6">
        <f ca="1" t="shared" si="2"/>
        <v>0</v>
      </c>
      <c r="O7" s="6">
        <f ca="1" t="shared" si="3"/>
        <v>0</v>
      </c>
      <c r="P7" s="6"/>
      <c r="Q7" s="6"/>
    </row>
    <row r="8" s="21" customFormat="1" ht="20" customHeight="1" spans="1:17">
      <c r="A8" s="6"/>
      <c r="B8" s="6"/>
      <c r="C8" s="28"/>
      <c r="D8" s="6"/>
      <c r="E8" s="6"/>
      <c r="F8" s="6"/>
      <c r="G8" s="6"/>
      <c r="H8" s="6">
        <f ca="1" t="array" ref="H8">INDEX(成本核算表!J:J,MATCH(1,(成本核算表!D:D=E8)*(成本核算表!C:C=G8),0))</f>
        <v>0</v>
      </c>
      <c r="I8" s="6"/>
      <c r="J8" s="6">
        <f ca="1" t="shared" si="1"/>
        <v>0</v>
      </c>
      <c r="K8" s="6"/>
      <c r="L8" s="6"/>
      <c r="M8" s="6"/>
      <c r="N8" s="6">
        <f ca="1" t="shared" si="2"/>
        <v>0</v>
      </c>
      <c r="O8" s="6">
        <f ca="1" t="shared" si="3"/>
        <v>0</v>
      </c>
      <c r="P8" s="6"/>
      <c r="Q8" s="6"/>
    </row>
    <row r="9" s="21" customFormat="1" ht="20" customHeight="1" spans="1:17">
      <c r="A9" s="22"/>
      <c r="B9" s="23"/>
      <c r="C9" s="24"/>
      <c r="D9" s="23"/>
      <c r="E9" s="23"/>
      <c r="F9" s="23"/>
      <c r="G9" s="23"/>
      <c r="H9" s="6">
        <f ca="1" t="array" ref="H9">INDEX(成本核算表!J:J,MATCH(1,(成本核算表!D:D=E9)*(成本核算表!C:C=G9),0))</f>
        <v>0</v>
      </c>
      <c r="I9" s="6"/>
      <c r="J9" s="6">
        <f ca="1" t="shared" si="1"/>
        <v>0</v>
      </c>
      <c r="K9" s="23"/>
      <c r="L9" s="23"/>
      <c r="N9" s="6">
        <f ca="1" t="shared" si="2"/>
        <v>0</v>
      </c>
      <c r="O9" s="6">
        <f ca="1" t="shared" si="3"/>
        <v>0</v>
      </c>
    </row>
    <row r="10" s="21" customFormat="1" ht="20" customHeight="1" spans="1:17">
      <c r="A10" s="22"/>
      <c r="B10" s="23"/>
      <c r="C10" s="24"/>
      <c r="D10" s="23"/>
      <c r="E10" s="23"/>
      <c r="F10" s="23"/>
      <c r="G10" s="23"/>
      <c r="H10" s="6">
        <f ca="1" t="array" ref="H10">INDEX(成本核算表!J:J,MATCH(1,(成本核算表!D:D=E10)*(成本核算表!C:C=G10),0))</f>
        <v>0</v>
      </c>
      <c r="I10" s="6"/>
      <c r="J10" s="6">
        <f ca="1" t="shared" si="1"/>
        <v>0</v>
      </c>
      <c r="K10" s="23"/>
      <c r="L10" s="23"/>
      <c r="N10" s="6">
        <f ca="1" t="shared" si="2"/>
        <v>0</v>
      </c>
      <c r="O10" s="6">
        <f ca="1" t="shared" si="3"/>
        <v>0</v>
      </c>
    </row>
    <row r="11" s="21" customFormat="1" ht="20" customHeight="1" spans="1:17">
      <c r="A11" s="22"/>
      <c r="B11" s="23"/>
      <c r="C11" s="24"/>
      <c r="D11" s="23"/>
      <c r="E11" s="23"/>
      <c r="F11" s="23"/>
      <c r="G11" s="23"/>
      <c r="H11" s="6">
        <f ca="1" t="array" ref="H11">INDEX(成本核算表!J:J,MATCH(1,(成本核算表!D:D=E11)*(成本核算表!C:C=G11),0))</f>
        <v>0</v>
      </c>
      <c r="I11" s="6"/>
      <c r="J11" s="6">
        <f ca="1" t="shared" si="1"/>
        <v>0</v>
      </c>
      <c r="K11" s="23"/>
      <c r="L11" s="23"/>
      <c r="N11" s="6">
        <f ca="1" t="shared" si="2"/>
        <v>0</v>
      </c>
      <c r="O11" s="6">
        <f ca="1" t="shared" si="3"/>
        <v>0</v>
      </c>
    </row>
    <row r="12" s="21" customFormat="1" ht="20" customHeight="1" spans="1:17">
      <c r="A12" s="22"/>
      <c r="B12" s="23"/>
      <c r="C12" s="24"/>
      <c r="D12" s="23"/>
      <c r="E12" s="23"/>
      <c r="F12" s="23"/>
      <c r="G12" s="23"/>
      <c r="H12" s="6">
        <f ca="1" t="array" ref="H12">INDEX(成本核算表!J:J,MATCH(1,(成本核算表!D:D=E12)*(成本核算表!C:C=G12),0))</f>
        <v>0</v>
      </c>
      <c r="I12" s="6"/>
      <c r="J12" s="6">
        <f ca="1" t="shared" si="1"/>
        <v>0</v>
      </c>
      <c r="K12" s="23"/>
      <c r="L12" s="23"/>
      <c r="N12" s="6">
        <f ca="1" t="shared" si="2"/>
        <v>0</v>
      </c>
      <c r="O12" s="6">
        <f ca="1" t="shared" si="3"/>
        <v>0</v>
      </c>
    </row>
    <row r="13" s="21" customFormat="1" ht="20" customHeight="1" spans="1:17">
      <c r="A13" s="22"/>
      <c r="B13" s="23"/>
      <c r="C13" s="24"/>
      <c r="D13" s="23"/>
      <c r="E13" s="23"/>
      <c r="F13" s="23"/>
      <c r="G13" s="23"/>
      <c r="H13" s="6">
        <f ca="1" t="array" ref="H13">INDEX(成本核算表!J:J,MATCH(1,(成本核算表!D:D=E13)*(成本核算表!C:C=G13),0))</f>
        <v>0</v>
      </c>
      <c r="I13" s="6"/>
      <c r="J13" s="6">
        <f ca="1" t="shared" si="1"/>
        <v>0</v>
      </c>
      <c r="K13" s="23"/>
      <c r="L13" s="23"/>
      <c r="N13" s="6">
        <f ca="1" t="shared" si="2"/>
        <v>0</v>
      </c>
      <c r="O13" s="6">
        <f ca="1" t="shared" si="3"/>
        <v>0</v>
      </c>
    </row>
    <row r="14" s="21" customFormat="1" ht="20" customHeight="1" spans="1:17">
      <c r="A14" s="22"/>
      <c r="B14" s="23"/>
      <c r="C14" s="24"/>
      <c r="D14" s="23"/>
      <c r="E14" s="23"/>
      <c r="F14" s="23"/>
      <c r="G14" s="23"/>
      <c r="H14" s="6">
        <f ca="1" t="array" ref="H14">INDEX(成本核算表!J:J,MATCH(1,(成本核算表!D:D=E14)*(成本核算表!C:C=G14),0))</f>
        <v>0</v>
      </c>
      <c r="I14" s="6"/>
      <c r="J14" s="6">
        <f ca="1" t="shared" si="1"/>
        <v>0</v>
      </c>
      <c r="K14" s="23"/>
      <c r="L14" s="23"/>
      <c r="N14" s="6">
        <f ca="1" t="shared" si="2"/>
        <v>0</v>
      </c>
      <c r="O14" s="6">
        <f ca="1" t="shared" si="3"/>
        <v>0</v>
      </c>
    </row>
    <row r="15" s="21" customFormat="1" ht="20" customHeight="1" spans="1:17">
      <c r="A15" s="22"/>
      <c r="B15" s="23"/>
      <c r="C15" s="24"/>
      <c r="D15" s="23"/>
      <c r="E15" s="23"/>
      <c r="F15" s="23"/>
      <c r="G15" s="23"/>
      <c r="H15" s="6">
        <f ca="1" t="array" ref="H15">INDEX(成本核算表!J:J,MATCH(1,(成本核算表!D:D=E15)*(成本核算表!C:C=G15),0))</f>
        <v>0</v>
      </c>
      <c r="I15" s="6"/>
      <c r="J15" s="6">
        <f ca="1" t="shared" si="1"/>
        <v>0</v>
      </c>
      <c r="K15" s="23"/>
      <c r="L15" s="23"/>
      <c r="N15" s="6">
        <f ca="1" t="shared" si="2"/>
        <v>0</v>
      </c>
      <c r="O15" s="6">
        <f ca="1" t="shared" si="3"/>
        <v>0</v>
      </c>
    </row>
    <row r="16" s="21" customFormat="1" ht="20" customHeight="1" spans="1:17">
      <c r="A16" s="22"/>
      <c r="B16" s="23"/>
      <c r="C16" s="24"/>
      <c r="D16" s="23"/>
      <c r="E16" s="23"/>
      <c r="F16" s="23"/>
      <c r="G16" s="23"/>
      <c r="H16" s="6">
        <f ca="1" t="array" ref="H16">INDEX(成本核算表!J:J,MATCH(1,(成本核算表!D:D=E16)*(成本核算表!C:C=G16),0))</f>
        <v>0</v>
      </c>
      <c r="I16" s="6"/>
      <c r="J16" s="6">
        <f ca="1" t="shared" si="1"/>
        <v>0</v>
      </c>
      <c r="K16" s="23"/>
      <c r="L16" s="23"/>
      <c r="N16" s="6">
        <f ca="1" t="shared" si="2"/>
        <v>0</v>
      </c>
      <c r="O16" s="6">
        <f ca="1" t="shared" si="3"/>
        <v>0</v>
      </c>
    </row>
    <row r="17" s="21" customFormat="1" ht="20" customHeight="1" spans="1:15">
      <c r="A17" s="22"/>
      <c r="B17" s="23"/>
      <c r="C17" s="24"/>
      <c r="D17" s="23"/>
      <c r="E17" s="23"/>
      <c r="F17" s="23"/>
      <c r="G17" s="23"/>
      <c r="H17" s="6">
        <f ca="1" t="array" ref="H17">INDEX(成本核算表!J:J,MATCH(1,(成本核算表!D:D=E17)*(成本核算表!C:C=G17),0))</f>
        <v>0</v>
      </c>
      <c r="I17" s="6"/>
      <c r="J17" s="6">
        <f ca="1" t="shared" si="1"/>
        <v>0</v>
      </c>
      <c r="K17" s="23"/>
      <c r="L17" s="23"/>
      <c r="N17" s="6">
        <f ca="1" t="shared" si="2"/>
        <v>0</v>
      </c>
      <c r="O17" s="6">
        <f ca="1" t="shared" si="3"/>
        <v>0</v>
      </c>
    </row>
    <row r="18" s="21" customFormat="1" ht="20" customHeight="1" spans="1:15">
      <c r="A18" s="22"/>
      <c r="B18" s="23"/>
      <c r="C18" s="24"/>
      <c r="D18" s="23"/>
      <c r="E18" s="23"/>
      <c r="F18" s="23"/>
      <c r="G18" s="23"/>
      <c r="H18" s="6">
        <f ca="1" t="array" ref="H18">INDEX(成本核算表!J:J,MATCH(1,(成本核算表!D:D=E18)*(成本核算表!C:C=G18),0))</f>
        <v>0</v>
      </c>
      <c r="I18" s="6"/>
      <c r="J18" s="6">
        <f ca="1" t="shared" si="1"/>
        <v>0</v>
      </c>
      <c r="K18" s="23"/>
      <c r="L18" s="23"/>
      <c r="N18" s="6">
        <f ca="1" t="shared" si="2"/>
        <v>0</v>
      </c>
      <c r="O18" s="6">
        <f ca="1" t="shared" si="3"/>
        <v>0</v>
      </c>
    </row>
    <row r="19" s="21" customFormat="1" ht="20" customHeight="1" spans="1:15">
      <c r="A19" s="22"/>
      <c r="B19" s="23"/>
      <c r="C19" s="24"/>
      <c r="D19" s="23"/>
      <c r="E19" s="23"/>
      <c r="F19" s="23"/>
      <c r="G19" s="23"/>
      <c r="H19" s="6">
        <f ca="1" t="array" ref="H19">INDEX(成本核算表!J:J,MATCH(1,(成本核算表!D:D=E19)*(成本核算表!C:C=G19),0))</f>
        <v>0</v>
      </c>
      <c r="I19" s="6"/>
      <c r="J19" s="6">
        <f ca="1" t="shared" si="1"/>
        <v>0</v>
      </c>
      <c r="K19" s="23"/>
      <c r="L19" s="23"/>
      <c r="N19" s="6">
        <f ca="1" t="shared" si="2"/>
        <v>0</v>
      </c>
      <c r="O19" s="6">
        <f ca="1" t="shared" si="3"/>
        <v>0</v>
      </c>
    </row>
    <row r="20" s="21" customFormat="1" ht="20" customHeight="1" spans="1:15">
      <c r="A20" s="22"/>
      <c r="B20" s="23"/>
      <c r="C20" s="24"/>
      <c r="D20" s="23"/>
      <c r="E20" s="23"/>
      <c r="F20" s="23"/>
      <c r="G20" s="23"/>
      <c r="H20" s="6">
        <f ca="1" t="array" ref="H20">INDEX(成本核算表!J:J,MATCH(1,(成本核算表!D:D=E20)*(成本核算表!C:C=G20),0))</f>
        <v>0</v>
      </c>
      <c r="I20" s="6"/>
      <c r="J20" s="6">
        <f ca="1" t="shared" si="1"/>
        <v>0</v>
      </c>
      <c r="K20" s="23"/>
      <c r="L20" s="23"/>
      <c r="N20" s="6">
        <f ca="1" t="shared" si="2"/>
        <v>0</v>
      </c>
      <c r="O20" s="6">
        <f ca="1" t="shared" si="3"/>
        <v>0</v>
      </c>
    </row>
    <row r="21" s="21" customFormat="1" ht="20" customHeight="1" spans="1:15">
      <c r="A21" s="22"/>
      <c r="B21" s="23"/>
      <c r="C21" s="24"/>
      <c r="D21" s="23"/>
      <c r="E21" s="23"/>
      <c r="F21" s="23"/>
      <c r="G21" s="23"/>
      <c r="H21" s="6">
        <f ca="1" t="array" ref="H21">INDEX(成本核算表!J:J,MATCH(1,(成本核算表!D:D=E21)*(成本核算表!C:C=G21),0))</f>
        <v>0</v>
      </c>
      <c r="I21" s="6"/>
      <c r="J21" s="6">
        <f ca="1" t="shared" si="1"/>
        <v>0</v>
      </c>
      <c r="K21" s="23"/>
      <c r="L21" s="23"/>
      <c r="N21" s="6">
        <f ca="1" t="shared" si="2"/>
        <v>0</v>
      </c>
      <c r="O21" s="6">
        <f ca="1" t="shared" si="3"/>
        <v>0</v>
      </c>
    </row>
    <row r="22" s="21" customFormat="1" ht="20" customHeight="1" spans="1:15">
      <c r="A22" s="22"/>
      <c r="B22" s="23"/>
      <c r="C22" s="24"/>
      <c r="D22" s="23"/>
      <c r="E22" s="23"/>
      <c r="F22" s="23"/>
      <c r="G22" s="23"/>
      <c r="H22" s="6">
        <f ca="1" t="array" ref="H22">INDEX(成本核算表!J:J,MATCH(1,(成本核算表!D:D=E22)*(成本核算表!C:C=G22),0))</f>
        <v>0</v>
      </c>
      <c r="I22" s="6"/>
      <c r="J22" s="6">
        <f ca="1" t="shared" si="1"/>
        <v>0</v>
      </c>
      <c r="K22" s="23"/>
      <c r="L22" s="23"/>
      <c r="N22" s="6">
        <f ca="1" t="shared" si="2"/>
        <v>0</v>
      </c>
      <c r="O22" s="6">
        <f ca="1" t="shared" si="3"/>
        <v>0</v>
      </c>
    </row>
    <row r="23" s="21" customFormat="1" ht="20" customHeight="1" spans="1:15">
      <c r="A23" s="22"/>
      <c r="B23" s="23"/>
      <c r="C23" s="24"/>
      <c r="D23" s="23"/>
      <c r="E23" s="23"/>
      <c r="F23" s="23"/>
      <c r="G23" s="23"/>
      <c r="H23" s="6">
        <f ca="1" t="array" ref="H23">INDEX(成本核算表!J:J,MATCH(1,(成本核算表!D:D=E23)*(成本核算表!C:C=G23),0))</f>
        <v>0</v>
      </c>
      <c r="I23" s="6"/>
      <c r="J23" s="6">
        <f ca="1" t="shared" si="1"/>
        <v>0</v>
      </c>
      <c r="K23" s="23"/>
      <c r="L23" s="23"/>
      <c r="N23" s="6">
        <f ca="1" t="shared" si="2"/>
        <v>0</v>
      </c>
      <c r="O23" s="6">
        <f ca="1" t="shared" si="3"/>
        <v>0</v>
      </c>
    </row>
    <row r="24" s="21" customFormat="1" ht="20" customHeight="1" spans="1:15">
      <c r="A24" s="22"/>
      <c r="B24" s="23"/>
      <c r="C24" s="24"/>
      <c r="D24" s="23"/>
      <c r="E24" s="23"/>
      <c r="F24" s="23"/>
      <c r="G24" s="23"/>
      <c r="H24" s="6">
        <f ca="1" t="array" ref="H24">INDEX(成本核算表!J:J,MATCH(1,(成本核算表!D:D=E24)*(成本核算表!C:C=G24),0))</f>
        <v>0</v>
      </c>
      <c r="I24" s="6"/>
      <c r="J24" s="6">
        <f ca="1" t="shared" si="1"/>
        <v>0</v>
      </c>
      <c r="K24" s="23"/>
      <c r="L24" s="23"/>
      <c r="N24" s="6">
        <f ca="1" t="shared" si="2"/>
        <v>0</v>
      </c>
      <c r="O24" s="6">
        <f ca="1" t="shared" si="3"/>
        <v>0</v>
      </c>
    </row>
    <row r="25" s="21" customFormat="1" ht="20" customHeight="1" spans="1:15">
      <c r="A25" s="22"/>
      <c r="B25" s="23"/>
      <c r="C25" s="24"/>
      <c r="D25" s="23"/>
      <c r="E25" s="23"/>
      <c r="F25" s="23"/>
      <c r="G25" s="23"/>
      <c r="H25" s="6">
        <f ca="1" t="array" ref="H25">INDEX(成本核算表!J:J,MATCH(1,(成本核算表!D:D=E25)*(成本核算表!C:C=G25),0))</f>
        <v>0</v>
      </c>
      <c r="I25" s="6"/>
      <c r="J25" s="6">
        <f ca="1" t="shared" si="1"/>
        <v>0</v>
      </c>
      <c r="K25" s="23"/>
      <c r="L25" s="23"/>
      <c r="N25" s="6">
        <f ca="1" t="shared" si="2"/>
        <v>0</v>
      </c>
      <c r="O25" s="6">
        <f ca="1" t="shared" si="3"/>
        <v>0</v>
      </c>
    </row>
    <row r="26" s="21" customFormat="1" ht="20" customHeight="1" spans="1:15">
      <c r="A26" s="22"/>
      <c r="B26" s="23"/>
      <c r="C26" s="24"/>
      <c r="D26" s="23"/>
      <c r="E26" s="23"/>
      <c r="F26" s="23"/>
      <c r="G26" s="23"/>
      <c r="H26" s="6">
        <f ca="1" t="array" ref="H26">INDEX(成本核算表!J:J,MATCH(1,(成本核算表!D:D=E26)*(成本核算表!C:C=G26),0))</f>
        <v>0</v>
      </c>
      <c r="I26" s="6"/>
      <c r="J26" s="6">
        <f ca="1" t="shared" si="1"/>
        <v>0</v>
      </c>
      <c r="K26" s="23"/>
      <c r="L26" s="23"/>
      <c r="N26" s="6">
        <f ca="1" t="shared" si="2"/>
        <v>0</v>
      </c>
      <c r="O26" s="6">
        <f ca="1" t="shared" si="3"/>
        <v>0</v>
      </c>
    </row>
    <row r="27" s="21" customFormat="1" ht="20" customHeight="1" spans="1:15">
      <c r="A27" s="22"/>
      <c r="B27" s="23"/>
      <c r="C27" s="24"/>
      <c r="D27" s="23"/>
      <c r="E27" s="23"/>
      <c r="F27" s="23"/>
      <c r="G27" s="23"/>
      <c r="H27" s="6">
        <f ca="1" t="array" ref="H27">INDEX(成本核算表!J:J,MATCH(1,(成本核算表!D:D=E27)*(成本核算表!C:C=G27),0))</f>
        <v>0</v>
      </c>
      <c r="I27" s="6"/>
      <c r="J27" s="6">
        <f ca="1" t="shared" si="1"/>
        <v>0</v>
      </c>
      <c r="K27" s="23"/>
      <c r="L27" s="23"/>
      <c r="N27" s="6">
        <f ca="1" t="shared" si="2"/>
        <v>0</v>
      </c>
      <c r="O27" s="6">
        <f ca="1" t="shared" si="3"/>
        <v>0</v>
      </c>
    </row>
    <row r="28" s="21" customFormat="1" ht="20" customHeight="1" spans="1:15">
      <c r="A28" s="22"/>
      <c r="B28" s="23"/>
      <c r="C28" s="24"/>
      <c r="D28" s="23"/>
      <c r="E28" s="23"/>
      <c r="F28" s="23"/>
      <c r="G28" s="23"/>
      <c r="H28" s="6">
        <f ca="1" t="array" ref="H28">INDEX(成本核算表!J:J,MATCH(1,(成本核算表!D:D=E28)*(成本核算表!C:C=G28),0))</f>
        <v>0</v>
      </c>
      <c r="I28" s="6"/>
      <c r="J28" s="6">
        <f ca="1" t="shared" si="1"/>
        <v>0</v>
      </c>
      <c r="K28" s="23"/>
      <c r="L28" s="23"/>
      <c r="N28" s="6">
        <f ca="1" t="shared" si="2"/>
        <v>0</v>
      </c>
      <c r="O28" s="6">
        <f ca="1" t="shared" si="3"/>
        <v>0</v>
      </c>
    </row>
    <row r="29" s="21" customFormat="1" ht="20" customHeight="1" spans="1:15">
      <c r="A29" s="22"/>
      <c r="B29" s="23"/>
      <c r="C29" s="24"/>
      <c r="D29" s="23"/>
      <c r="E29" s="23"/>
      <c r="F29" s="23"/>
      <c r="G29" s="23"/>
      <c r="H29" s="6">
        <f ca="1" t="array" ref="H29">INDEX(成本核算表!J:J,MATCH(1,(成本核算表!D:D=E29)*(成本核算表!C:C=G29),0))</f>
        <v>0</v>
      </c>
      <c r="I29" s="6"/>
      <c r="J29" s="6">
        <f ca="1" t="shared" si="1"/>
        <v>0</v>
      </c>
      <c r="K29" s="23"/>
      <c r="L29" s="23"/>
      <c r="N29" s="6">
        <f ca="1" t="shared" si="2"/>
        <v>0</v>
      </c>
      <c r="O29" s="6">
        <f ca="1" t="shared" si="3"/>
        <v>0</v>
      </c>
    </row>
    <row r="30" s="21" customFormat="1" ht="20" customHeight="1" spans="1:15">
      <c r="A30" s="22"/>
      <c r="B30" s="23"/>
      <c r="C30" s="24"/>
      <c r="D30" s="23"/>
      <c r="E30" s="23"/>
      <c r="F30" s="23"/>
      <c r="G30" s="23"/>
      <c r="H30" s="6">
        <f ca="1" t="array" ref="H30">INDEX(成本核算表!J:J,MATCH(1,(成本核算表!D:D=E30)*(成本核算表!C:C=G30),0))</f>
        <v>0</v>
      </c>
      <c r="I30" s="6"/>
      <c r="J30" s="6">
        <f ca="1" t="shared" si="1"/>
        <v>0</v>
      </c>
      <c r="K30" s="23"/>
      <c r="L30" s="23"/>
      <c r="N30" s="6">
        <f ca="1" t="shared" si="2"/>
        <v>0</v>
      </c>
      <c r="O30" s="6">
        <f ca="1" t="shared" si="3"/>
        <v>0</v>
      </c>
    </row>
    <row r="31" s="21" customFormat="1" ht="20" customHeight="1" spans="1:15">
      <c r="A31" s="22"/>
      <c r="B31" s="23"/>
      <c r="C31" s="24"/>
      <c r="D31" s="23"/>
      <c r="E31" s="23"/>
      <c r="F31" s="23"/>
      <c r="G31" s="23"/>
      <c r="H31" s="6">
        <f ca="1" t="array" ref="H31">INDEX(成本核算表!J:J,MATCH(1,(成本核算表!D:D=E31)*(成本核算表!C:C=G31),0))</f>
        <v>0</v>
      </c>
      <c r="I31" s="6"/>
      <c r="J31" s="6">
        <f ca="1" t="shared" si="1"/>
        <v>0</v>
      </c>
      <c r="K31" s="23"/>
      <c r="L31" s="23"/>
      <c r="N31" s="6">
        <f ca="1" t="shared" si="2"/>
        <v>0</v>
      </c>
      <c r="O31" s="6">
        <f ca="1" t="shared" si="3"/>
        <v>0</v>
      </c>
    </row>
    <row r="32" s="21" customFormat="1" ht="20" customHeight="1" spans="1:15">
      <c r="A32" s="22"/>
      <c r="B32" s="23"/>
      <c r="C32" s="24"/>
      <c r="D32" s="23"/>
      <c r="E32" s="23"/>
      <c r="F32" s="23"/>
      <c r="G32" s="23"/>
      <c r="H32" s="6">
        <f ca="1" t="array" ref="H32">INDEX(成本核算表!J:J,MATCH(1,(成本核算表!D:D=E32)*(成本核算表!C:C=G32),0))</f>
        <v>0</v>
      </c>
      <c r="I32" s="6"/>
      <c r="J32" s="6">
        <f ca="1" t="shared" si="1"/>
        <v>0</v>
      </c>
      <c r="K32" s="23"/>
      <c r="L32" s="23"/>
      <c r="N32" s="6">
        <f ca="1" t="shared" si="2"/>
        <v>0</v>
      </c>
      <c r="O32" s="6">
        <f ca="1" t="shared" si="3"/>
        <v>0</v>
      </c>
    </row>
    <row r="33" s="21" customFormat="1" ht="20" customHeight="1" spans="1:15">
      <c r="A33" s="22"/>
      <c r="B33" s="23"/>
      <c r="C33" s="24"/>
      <c r="D33" s="23"/>
      <c r="E33" s="23"/>
      <c r="F33" s="23"/>
      <c r="G33" s="23"/>
      <c r="H33" s="6">
        <f ca="1" t="array" ref="H33">INDEX(成本核算表!J:J,MATCH(1,(成本核算表!D:D=E33)*(成本核算表!C:C=G33),0))</f>
        <v>0</v>
      </c>
      <c r="I33" s="6"/>
      <c r="J33" s="6">
        <f ca="1" t="shared" si="1"/>
        <v>0</v>
      </c>
      <c r="K33" s="23"/>
      <c r="L33" s="23"/>
      <c r="N33" s="6">
        <f ca="1" t="shared" si="2"/>
        <v>0</v>
      </c>
      <c r="O33" s="6">
        <f ca="1" t="shared" si="3"/>
        <v>0</v>
      </c>
    </row>
    <row r="34" s="21" customFormat="1" ht="20" customHeight="1" spans="1:15">
      <c r="A34" s="22"/>
      <c r="B34" s="23"/>
      <c r="C34" s="24"/>
      <c r="D34" s="23"/>
      <c r="E34" s="23"/>
      <c r="F34" s="23"/>
      <c r="G34" s="23"/>
      <c r="H34" s="6">
        <f ca="1" t="array" ref="H34">INDEX(成本核算表!J:J,MATCH(1,(成本核算表!D:D=E34)*(成本核算表!C:C=G34),0))</f>
        <v>0</v>
      </c>
      <c r="I34" s="6"/>
      <c r="J34" s="6">
        <f ca="1" t="shared" si="1"/>
        <v>0</v>
      </c>
      <c r="K34" s="23"/>
      <c r="L34" s="23"/>
      <c r="N34" s="6">
        <f ca="1" t="shared" si="2"/>
        <v>0</v>
      </c>
      <c r="O34" s="6">
        <f ca="1" t="shared" si="3"/>
        <v>0</v>
      </c>
    </row>
    <row r="35" s="21" customFormat="1" ht="20" customHeight="1" spans="1:15">
      <c r="A35" s="22"/>
      <c r="B35" s="23"/>
      <c r="C35" s="24"/>
      <c r="D35" s="23"/>
      <c r="E35" s="23"/>
      <c r="F35" s="23"/>
      <c r="G35" s="23"/>
      <c r="H35" s="6">
        <f ca="1" t="array" ref="H35">INDEX(成本核算表!J:J,MATCH(1,(成本核算表!D:D=E35)*(成本核算表!C:C=G35),0))</f>
        <v>0</v>
      </c>
      <c r="I35" s="6"/>
      <c r="J35" s="6">
        <f ca="1" t="shared" si="1"/>
        <v>0</v>
      </c>
      <c r="K35" s="23"/>
      <c r="L35" s="23"/>
      <c r="N35" s="6">
        <f ca="1" t="shared" si="2"/>
        <v>0</v>
      </c>
      <c r="O35" s="6">
        <f ca="1" t="shared" si="3"/>
        <v>0</v>
      </c>
    </row>
    <row r="36" s="21" customFormat="1" ht="20" customHeight="1" spans="1:15">
      <c r="A36" s="22"/>
      <c r="B36" s="23"/>
      <c r="C36" s="24"/>
      <c r="D36" s="23"/>
      <c r="E36" s="23"/>
      <c r="F36" s="23"/>
      <c r="G36" s="23"/>
      <c r="H36" s="6">
        <f ca="1" t="array" ref="H36">INDEX(成本核算表!J:J,MATCH(1,(成本核算表!D:D=E36)*(成本核算表!C:C=G36),0))</f>
        <v>0</v>
      </c>
      <c r="I36" s="6"/>
      <c r="J36" s="6">
        <f ca="1" t="shared" si="1"/>
        <v>0</v>
      </c>
      <c r="K36" s="23"/>
      <c r="L36" s="23"/>
      <c r="N36" s="6">
        <f ca="1" t="shared" si="2"/>
        <v>0</v>
      </c>
      <c r="O36" s="6">
        <f ca="1" t="shared" si="3"/>
        <v>0</v>
      </c>
    </row>
    <row r="37" s="21" customFormat="1" ht="20" customHeight="1" spans="1:15">
      <c r="A37" s="22"/>
      <c r="B37" s="23"/>
      <c r="C37" s="24"/>
      <c r="D37" s="23"/>
      <c r="E37" s="23"/>
      <c r="F37" s="23"/>
      <c r="G37" s="23"/>
      <c r="H37" s="6">
        <f ca="1" t="array" ref="H37">INDEX(成本核算表!J:J,MATCH(1,(成本核算表!D:D=E37)*(成本核算表!C:C=G37),0))</f>
        <v>0</v>
      </c>
      <c r="I37" s="6"/>
      <c r="J37" s="6">
        <f ca="1" t="shared" si="1"/>
        <v>0</v>
      </c>
      <c r="K37" s="23"/>
      <c r="L37" s="23"/>
      <c r="N37" s="6">
        <f ca="1" t="shared" si="2"/>
        <v>0</v>
      </c>
      <c r="O37" s="6">
        <f ca="1" t="shared" si="3"/>
        <v>0</v>
      </c>
    </row>
    <row r="38" s="21" customFormat="1" ht="20" customHeight="1" spans="1:15">
      <c r="A38" s="22"/>
      <c r="B38" s="23"/>
      <c r="C38" s="24"/>
      <c r="D38" s="23"/>
      <c r="E38" s="23"/>
      <c r="F38" s="23"/>
      <c r="G38" s="23"/>
      <c r="H38" s="6">
        <f ca="1" t="array" ref="H38">INDEX(成本核算表!J:J,MATCH(1,(成本核算表!D:D=E38)*(成本核算表!C:C=G38),0))</f>
        <v>0</v>
      </c>
      <c r="I38" s="6"/>
      <c r="J38" s="6">
        <f ca="1" t="shared" si="1"/>
        <v>0</v>
      </c>
      <c r="K38" s="23"/>
      <c r="L38" s="23"/>
      <c r="N38" s="6">
        <f ca="1" t="shared" si="2"/>
        <v>0</v>
      </c>
      <c r="O38" s="6">
        <f ca="1" t="shared" si="3"/>
        <v>0</v>
      </c>
    </row>
    <row r="39" s="21" customFormat="1" ht="20" customHeight="1" spans="1:15">
      <c r="A39" s="22"/>
      <c r="B39" s="23"/>
      <c r="C39" s="24"/>
      <c r="D39" s="23"/>
      <c r="E39" s="23"/>
      <c r="F39" s="23"/>
      <c r="G39" s="23"/>
      <c r="H39" s="6">
        <f ca="1" t="array" ref="H39">INDEX(成本核算表!J:J,MATCH(1,(成本核算表!D:D=E39)*(成本核算表!C:C=G39),0))</f>
        <v>0</v>
      </c>
      <c r="I39" s="6"/>
      <c r="J39" s="6">
        <f ca="1" t="shared" si="1"/>
        <v>0</v>
      </c>
      <c r="K39" s="23"/>
      <c r="L39" s="23"/>
      <c r="N39" s="6">
        <f ca="1" t="shared" si="2"/>
        <v>0</v>
      </c>
      <c r="O39" s="6">
        <f ca="1" t="shared" si="3"/>
        <v>0</v>
      </c>
    </row>
    <row r="40" s="21" customFormat="1" ht="20" customHeight="1" spans="1:15">
      <c r="A40" s="22"/>
      <c r="B40" s="23"/>
      <c r="C40" s="24"/>
      <c r="D40" s="23"/>
      <c r="E40" s="23"/>
      <c r="F40" s="23"/>
      <c r="G40" s="23"/>
      <c r="H40" s="6">
        <f ca="1" t="array" ref="H40">INDEX(成本核算表!J:J,MATCH(1,(成本核算表!D:D=E40)*(成本核算表!C:C=G40),0))</f>
        <v>0</v>
      </c>
      <c r="I40" s="6"/>
      <c r="J40" s="6">
        <f ca="1" t="shared" si="1"/>
        <v>0</v>
      </c>
      <c r="K40" s="23"/>
      <c r="L40" s="23"/>
      <c r="N40" s="6">
        <f ca="1" t="shared" si="2"/>
        <v>0</v>
      </c>
      <c r="O40" s="6">
        <f ca="1" t="shared" si="3"/>
        <v>0</v>
      </c>
    </row>
    <row r="41" s="21" customFormat="1" ht="20" customHeight="1" spans="1:15">
      <c r="A41" s="22"/>
      <c r="B41" s="23"/>
      <c r="C41" s="24"/>
      <c r="D41" s="23"/>
      <c r="E41" s="23"/>
      <c r="F41" s="23"/>
      <c r="G41" s="23"/>
      <c r="H41" s="6">
        <f ca="1" t="array" ref="H41">INDEX(成本核算表!J:J,MATCH(1,(成本核算表!D:D=E41)*(成本核算表!C:C=G41),0))</f>
        <v>0</v>
      </c>
      <c r="I41" s="6"/>
      <c r="J41" s="6">
        <f ca="1" t="shared" si="1"/>
        <v>0</v>
      </c>
      <c r="K41" s="23"/>
      <c r="L41" s="23"/>
      <c r="N41" s="6">
        <f ca="1" t="shared" si="2"/>
        <v>0</v>
      </c>
      <c r="O41" s="6">
        <f ca="1" t="shared" si="3"/>
        <v>0</v>
      </c>
    </row>
    <row r="42" s="21" customFormat="1" ht="20" customHeight="1" spans="1:15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1"/>
        <v>0</v>
      </c>
      <c r="K42" s="23"/>
      <c r="L42" s="23"/>
      <c r="N42" s="6">
        <f ca="1" t="shared" si="2"/>
        <v>0</v>
      </c>
      <c r="O42" s="6">
        <f ca="1" t="shared" si="3"/>
        <v>0</v>
      </c>
    </row>
    <row r="43" s="21" customFormat="1" ht="20" customHeight="1" spans="1:15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1"/>
        <v>0</v>
      </c>
      <c r="K43" s="23"/>
      <c r="L43" s="23"/>
      <c r="N43" s="6">
        <f ca="1" t="shared" si="2"/>
        <v>0</v>
      </c>
      <c r="O43" s="6">
        <f ca="1" t="shared" si="3"/>
        <v>0</v>
      </c>
    </row>
    <row r="44" s="21" customFormat="1" ht="20" customHeight="1" spans="1:15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1"/>
        <v>0</v>
      </c>
      <c r="K44" s="23"/>
      <c r="L44" s="23"/>
      <c r="N44" s="6">
        <f ca="1" t="shared" si="2"/>
        <v>0</v>
      </c>
      <c r="O44" s="6">
        <f ca="1" t="shared" si="3"/>
        <v>0</v>
      </c>
    </row>
    <row r="45" s="21" customFormat="1" ht="20" customHeight="1" spans="1:15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1"/>
        <v>0</v>
      </c>
      <c r="K45" s="23"/>
      <c r="L45" s="23"/>
      <c r="N45" s="6">
        <f ca="1" t="shared" si="2"/>
        <v>0</v>
      </c>
      <c r="O45" s="6">
        <f ca="1" t="shared" si="3"/>
        <v>0</v>
      </c>
    </row>
    <row r="46" s="21" customFormat="1" ht="20" customHeight="1" spans="1:15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1"/>
        <v>0</v>
      </c>
      <c r="K46" s="23"/>
      <c r="L46" s="23"/>
      <c r="N46" s="6">
        <f ca="1" t="shared" si="2"/>
        <v>0</v>
      </c>
      <c r="O46" s="6">
        <f ca="1" t="shared" si="3"/>
        <v>0</v>
      </c>
    </row>
    <row r="47" s="21" customFormat="1" ht="20" customHeight="1" spans="1:15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1"/>
        <v>0</v>
      </c>
      <c r="K47" s="23"/>
      <c r="L47" s="23"/>
      <c r="N47" s="6">
        <f ca="1" t="shared" si="2"/>
        <v>0</v>
      </c>
      <c r="O47" s="6">
        <f ca="1" t="shared" si="3"/>
        <v>0</v>
      </c>
    </row>
    <row r="48" s="21" customFormat="1" ht="20" customHeight="1" spans="1:15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1"/>
        <v>0</v>
      </c>
      <c r="K48" s="23"/>
      <c r="L48" s="23"/>
      <c r="N48" s="6">
        <f ca="1" t="shared" si="2"/>
        <v>0</v>
      </c>
      <c r="O48" s="6">
        <f ca="1" t="shared" si="3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1"/>
        <v>0</v>
      </c>
      <c r="K49" s="23"/>
      <c r="L49" s="23"/>
      <c r="N49" s="6">
        <f ca="1" t="shared" si="2"/>
        <v>0</v>
      </c>
      <c r="O49" s="6">
        <f ca="1" t="shared" si="3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1"/>
        <v>0</v>
      </c>
      <c r="K50" s="23"/>
      <c r="L50" s="23"/>
      <c r="N50" s="6">
        <f ca="1" t="shared" si="2"/>
        <v>0</v>
      </c>
      <c r="O50" s="6">
        <f ca="1" t="shared" si="3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1"/>
        <v>0</v>
      </c>
      <c r="K51" s="23"/>
      <c r="L51" s="23"/>
      <c r="N51" s="6">
        <f ca="1" t="shared" si="2"/>
        <v>0</v>
      </c>
      <c r="O51" s="6">
        <f ca="1" t="shared" si="3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1"/>
        <v>0</v>
      </c>
      <c r="K52" s="23"/>
      <c r="L52" s="23"/>
      <c r="N52" s="6">
        <f ca="1" t="shared" si="2"/>
        <v>0</v>
      </c>
      <c r="O52" s="6">
        <f ca="1" t="shared" si="3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1"/>
        <v>0</v>
      </c>
      <c r="K53" s="23"/>
      <c r="L53" s="23"/>
      <c r="N53" s="6">
        <f ca="1" t="shared" si="2"/>
        <v>0</v>
      </c>
      <c r="O53" s="6">
        <f ca="1" t="shared" si="3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1"/>
        <v>0</v>
      </c>
      <c r="K54" s="23"/>
      <c r="L54" s="23"/>
      <c r="N54" s="6">
        <f ca="1" t="shared" si="2"/>
        <v>0</v>
      </c>
      <c r="O54" s="6">
        <f ca="1" t="shared" si="3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1"/>
        <v>0</v>
      </c>
      <c r="K55" s="23"/>
      <c r="L55" s="23"/>
      <c r="N55" s="6">
        <f ca="1" t="shared" si="2"/>
        <v>0</v>
      </c>
      <c r="O55" s="6">
        <f ca="1" t="shared" si="3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1"/>
        <v>0</v>
      </c>
      <c r="K56" s="23"/>
      <c r="L56" s="23"/>
      <c r="N56" s="6">
        <f ca="1" t="shared" si="2"/>
        <v>0</v>
      </c>
      <c r="O56" s="6">
        <f ca="1" t="shared" si="3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1"/>
        <v>0</v>
      </c>
      <c r="K57" s="23"/>
      <c r="L57" s="23"/>
      <c r="N57" s="6">
        <f ca="1" t="shared" si="2"/>
        <v>0</v>
      </c>
      <c r="O57" s="6">
        <f ca="1" t="shared" si="3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1"/>
        <v>0</v>
      </c>
      <c r="K58" s="23"/>
      <c r="L58" s="23"/>
      <c r="N58" s="6">
        <f ca="1" t="shared" si="2"/>
        <v>0</v>
      </c>
      <c r="O58" s="6">
        <f ca="1" t="shared" si="3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1"/>
        <v>0</v>
      </c>
      <c r="K59" s="23"/>
      <c r="L59" s="23"/>
      <c r="N59" s="6">
        <f ca="1" t="shared" si="2"/>
        <v>0</v>
      </c>
      <c r="O59" s="6">
        <f ca="1" t="shared" si="3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1"/>
        <v>0</v>
      </c>
      <c r="K60" s="23"/>
      <c r="L60" s="23"/>
      <c r="N60" s="6">
        <f ca="1" t="shared" si="2"/>
        <v>0</v>
      </c>
      <c r="O60" s="6">
        <f ca="1" t="shared" si="3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1"/>
        <v>0</v>
      </c>
      <c r="K61" s="23"/>
      <c r="L61" s="23"/>
      <c r="N61" s="6">
        <f ca="1" t="shared" si="2"/>
        <v>0</v>
      </c>
      <c r="O61" s="6">
        <f ca="1" t="shared" si="3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1"/>
        <v>0</v>
      </c>
      <c r="K62" s="23"/>
      <c r="L62" s="23"/>
      <c r="N62" s="6">
        <f ca="1" t="shared" si="2"/>
        <v>0</v>
      </c>
      <c r="O62" s="6">
        <f ca="1" t="shared" si="3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1"/>
        <v>0</v>
      </c>
      <c r="K63" s="23"/>
      <c r="L63" s="23"/>
      <c r="N63" s="6">
        <f ca="1" t="shared" si="2"/>
        <v>0</v>
      </c>
      <c r="O63" s="6">
        <f ca="1" t="shared" si="3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ref="J64:J68" si="4">H64*I64</f>
        <v>0</v>
      </c>
      <c r="K64" s="23"/>
      <c r="L64" s="23"/>
      <c r="N64" s="6">
        <f ca="1" t="shared" ref="N64:N68" si="5">J64-M64+L64</f>
        <v>0</v>
      </c>
      <c r="O64" s="6">
        <f ca="1" t="shared" ref="O64:O68" si="6">N64/3600</f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4"/>
        <v>0</v>
      </c>
      <c r="K65" s="23"/>
      <c r="L65" s="23"/>
      <c r="N65" s="6">
        <f ca="1" t="shared" si="5"/>
        <v>0</v>
      </c>
      <c r="O65" s="6">
        <f ca="1" t="shared" si="6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si="4"/>
        <v>0</v>
      </c>
      <c r="K66" s="23"/>
      <c r="L66" s="23"/>
      <c r="N66" s="6">
        <f ca="1" t="shared" si="5"/>
        <v>0</v>
      </c>
      <c r="O66" s="6">
        <f ca="1" t="shared" si="6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4"/>
        <v>0</v>
      </c>
      <c r="K67" s="23"/>
      <c r="L67" s="23"/>
      <c r="N67" s="6">
        <f ca="1" t="shared" si="5"/>
        <v>0</v>
      </c>
      <c r="O67" s="6">
        <f ca="1" t="shared" si="6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4"/>
        <v>0</v>
      </c>
      <c r="K68" s="23"/>
      <c r="L68" s="23"/>
      <c r="N68" s="6">
        <f ca="1" t="shared" si="5"/>
        <v>0</v>
      </c>
      <c r="O68" s="6">
        <f ca="1" t="shared" si="6"/>
        <v>0</v>
      </c>
    </row>
    <row r="69" s="21" customFormat="1" customHeight="1" spans="1:15">
      <c r="A69" s="22"/>
      <c r="B69" s="23"/>
      <c r="C69" s="24"/>
      <c r="D69" s="23"/>
      <c r="E69" s="23"/>
      <c r="F69" s="23"/>
      <c r="G69" s="23"/>
      <c r="H69" s="25"/>
      <c r="I69" s="25"/>
      <c r="J69" s="23"/>
      <c r="K69" s="23"/>
      <c r="L69" s="23"/>
    </row>
    <row r="70" s="21" customFormat="1" customHeight="1" spans="1:15">
      <c r="A70" s="22"/>
      <c r="B70" s="23"/>
      <c r="C70" s="24"/>
      <c r="D70" s="23"/>
      <c r="E70" s="23"/>
      <c r="F70" s="23"/>
      <c r="G70" s="23"/>
      <c r="H70" s="25"/>
      <c r="I70" s="25"/>
      <c r="J70" s="23"/>
      <c r="K70" s="23"/>
      <c r="L70" s="23"/>
    </row>
    <row r="71" s="21" customFormat="1" customHeight="1" spans="1:15">
      <c r="A71" s="22"/>
      <c r="B71" s="23"/>
      <c r="C71" s="24"/>
      <c r="D71" s="23"/>
      <c r="E71" s="23"/>
      <c r="F71" s="23"/>
      <c r="G71" s="23"/>
      <c r="H71" s="25"/>
      <c r="I71" s="25"/>
      <c r="J71" s="23"/>
      <c r="K71" s="23"/>
      <c r="L71" s="23"/>
    </row>
    <row r="72" s="21" customFormat="1" customHeight="1" spans="1:15">
      <c r="A72" s="22"/>
      <c r="B72" s="23"/>
      <c r="C72" s="24"/>
      <c r="D72" s="23"/>
      <c r="E72" s="23"/>
      <c r="F72" s="23"/>
      <c r="G72" s="23"/>
      <c r="H72" s="25"/>
      <c r="I72" s="25"/>
      <c r="J72" s="23"/>
      <c r="K72" s="23"/>
      <c r="L72" s="23"/>
    </row>
    <row r="73" s="21" customFormat="1" customHeight="1" spans="1:15">
      <c r="A73" s="22"/>
      <c r="B73" s="23"/>
      <c r="C73" s="24"/>
      <c r="D73" s="23"/>
      <c r="E73" s="23"/>
      <c r="F73" s="23"/>
      <c r="G73" s="23"/>
      <c r="H73" s="25"/>
      <c r="I73" s="25"/>
      <c r="J73" s="23"/>
      <c r="K73" s="23"/>
      <c r="L73" s="23"/>
    </row>
    <row r="74" s="21" customFormat="1" customHeight="1" spans="1:15">
      <c r="A74" s="22"/>
      <c r="B74" s="23"/>
      <c r="C74" s="24"/>
      <c r="D74" s="23"/>
      <c r="E74" s="23"/>
      <c r="F74" s="23"/>
      <c r="G74" s="23"/>
      <c r="H74" s="25"/>
      <c r="I74" s="25"/>
      <c r="J74" s="23"/>
      <c r="K74" s="23"/>
      <c r="L74" s="23"/>
    </row>
    <row r="75" s="21" customFormat="1" customHeight="1" spans="1:15">
      <c r="A75" s="22"/>
      <c r="B75" s="23"/>
      <c r="C75" s="24"/>
      <c r="D75" s="23"/>
      <c r="E75" s="23"/>
      <c r="F75" s="23"/>
      <c r="G75" s="23"/>
      <c r="H75" s="25"/>
      <c r="I75" s="25"/>
      <c r="J75" s="23"/>
      <c r="K75" s="23"/>
      <c r="L75" s="23"/>
    </row>
    <row r="76" s="21" customFormat="1" customHeight="1" spans="1:15">
      <c r="A76" s="22"/>
      <c r="B76" s="23"/>
      <c r="C76" s="24"/>
      <c r="D76" s="23"/>
      <c r="E76" s="23"/>
      <c r="F76" s="23"/>
      <c r="G76" s="23"/>
      <c r="H76" s="25"/>
      <c r="I76" s="25"/>
      <c r="J76" s="23"/>
      <c r="K76" s="23"/>
      <c r="L76" s="23"/>
    </row>
    <row r="77" s="21" customFormat="1" customHeight="1" spans="1:15">
      <c r="A77" s="22"/>
      <c r="B77" s="23"/>
      <c r="C77" s="24"/>
      <c r="D77" s="23"/>
      <c r="E77" s="23"/>
      <c r="F77" s="23"/>
      <c r="G77" s="23"/>
      <c r="H77" s="25"/>
      <c r="I77" s="25"/>
      <c r="J77" s="23"/>
      <c r="K77" s="23"/>
      <c r="L77" s="23"/>
    </row>
    <row r="78" s="21" customFormat="1" customHeight="1" spans="1:15">
      <c r="A78" s="22"/>
      <c r="B78" s="23"/>
      <c r="C78" s="24"/>
      <c r="D78" s="23"/>
      <c r="E78" s="23"/>
      <c r="F78" s="23"/>
      <c r="G78" s="23"/>
      <c r="H78" s="25"/>
      <c r="I78" s="25"/>
      <c r="J78" s="23"/>
      <c r="K78" s="23"/>
      <c r="L78" s="23"/>
    </row>
    <row r="79" s="21" customFormat="1" customHeight="1" spans="1:15">
      <c r="A79" s="22"/>
      <c r="B79" s="23"/>
      <c r="C79" s="24"/>
      <c r="D79" s="23"/>
      <c r="E79" s="23"/>
      <c r="F79" s="23"/>
      <c r="G79" s="23"/>
      <c r="H79" s="25"/>
      <c r="I79" s="25"/>
      <c r="J79" s="23"/>
      <c r="K79" s="23"/>
      <c r="L79" s="23"/>
    </row>
    <row r="80" s="21" customFormat="1" customHeight="1" spans="1:15">
      <c r="A80" s="22"/>
      <c r="B80" s="23"/>
      <c r="C80" s="24"/>
      <c r="D80" s="23"/>
      <c r="E80" s="23"/>
      <c r="F80" s="23"/>
      <c r="G80" s="23"/>
      <c r="H80" s="25"/>
      <c r="I80" s="25"/>
      <c r="J80" s="23"/>
      <c r="K80" s="23"/>
      <c r="L80" s="23"/>
    </row>
    <row r="81" s="21" customFormat="1" customHeight="1" spans="1:12">
      <c r="A81" s="22"/>
      <c r="B81" s="23"/>
      <c r="C81" s="24"/>
      <c r="D81" s="23"/>
      <c r="E81" s="23"/>
      <c r="F81" s="23"/>
      <c r="G81" s="23"/>
      <c r="H81" s="25"/>
      <c r="I81" s="25"/>
      <c r="J81" s="23"/>
      <c r="K81" s="23"/>
      <c r="L81" s="23"/>
    </row>
    <row r="82" s="21" customFormat="1" customHeight="1" spans="1:12">
      <c r="A82" s="22"/>
      <c r="B82" s="23"/>
      <c r="C82" s="24"/>
      <c r="D82" s="23"/>
      <c r="E82" s="23"/>
      <c r="F82" s="23"/>
      <c r="G82" s="23"/>
      <c r="H82" s="25"/>
      <c r="I82" s="25"/>
      <c r="J82" s="23"/>
      <c r="K82" s="23"/>
      <c r="L82" s="23"/>
    </row>
    <row r="83" s="21" customFormat="1" customHeight="1" spans="1:12">
      <c r="A83" s="22"/>
      <c r="B83" s="23"/>
      <c r="C83" s="24"/>
      <c r="D83" s="23"/>
      <c r="E83" s="23"/>
      <c r="F83" s="23"/>
      <c r="G83" s="23"/>
      <c r="H83" s="25"/>
      <c r="I83" s="25"/>
      <c r="J83" s="23"/>
      <c r="K83" s="23"/>
      <c r="L83" s="23"/>
    </row>
    <row r="84" s="21" customFormat="1" customHeight="1" spans="1:12">
      <c r="A84" s="22"/>
      <c r="B84" s="23"/>
      <c r="C84" s="24"/>
      <c r="D84" s="23"/>
      <c r="E84" s="23"/>
      <c r="F84" s="23"/>
      <c r="G84" s="23"/>
      <c r="H84" s="25"/>
      <c r="I84" s="25"/>
      <c r="J84" s="23"/>
      <c r="K84" s="23"/>
      <c r="L84" s="23"/>
    </row>
    <row r="85" s="21" customFormat="1" customHeight="1" spans="1:12">
      <c r="A85" s="22"/>
      <c r="B85" s="23"/>
      <c r="C85" s="24"/>
      <c r="D85" s="23"/>
      <c r="E85" s="23"/>
      <c r="F85" s="23"/>
      <c r="G85" s="23"/>
      <c r="H85" s="25"/>
      <c r="I85" s="25"/>
      <c r="J85" s="23"/>
      <c r="K85" s="23"/>
      <c r="L85" s="23"/>
    </row>
    <row r="86" s="21" customFormat="1" customHeight="1" spans="1:12">
      <c r="A86" s="22"/>
      <c r="B86" s="23"/>
      <c r="C86" s="24"/>
      <c r="D86" s="23"/>
      <c r="E86" s="23"/>
      <c r="F86" s="23"/>
      <c r="G86" s="23"/>
      <c r="H86" s="25"/>
      <c r="I86" s="25"/>
      <c r="J86" s="23"/>
      <c r="K86" s="23"/>
      <c r="L86" s="23"/>
    </row>
    <row r="87" s="21" customFormat="1" customHeight="1" spans="1:12">
      <c r="A87" s="22"/>
      <c r="B87" s="23"/>
      <c r="C87" s="24"/>
      <c r="D87" s="23"/>
      <c r="E87" s="23"/>
      <c r="F87" s="23"/>
      <c r="G87" s="23"/>
      <c r="H87" s="25"/>
      <c r="I87" s="25"/>
      <c r="J87" s="23"/>
      <c r="K87" s="23"/>
      <c r="L87" s="23"/>
    </row>
    <row r="88" s="21" customFormat="1" customHeight="1" spans="1:12">
      <c r="A88" s="22"/>
      <c r="B88" s="23"/>
      <c r="C88" s="24"/>
      <c r="D88" s="23"/>
      <c r="E88" s="23"/>
      <c r="F88" s="23"/>
      <c r="G88" s="23"/>
      <c r="H88" s="25"/>
      <c r="I88" s="25"/>
      <c r="J88" s="23"/>
      <c r="K88" s="23"/>
      <c r="L88" s="23"/>
    </row>
    <row r="89" s="21" customFormat="1" customHeight="1" spans="1:12">
      <c r="A89" s="22"/>
      <c r="B89" s="23"/>
      <c r="C89" s="24"/>
      <c r="D89" s="23"/>
      <c r="E89" s="23"/>
      <c r="F89" s="23"/>
      <c r="G89" s="23"/>
      <c r="H89" s="25"/>
      <c r="I89" s="25"/>
      <c r="J89" s="23"/>
      <c r="K89" s="23"/>
      <c r="L89" s="23"/>
    </row>
    <row r="90" s="21" customFormat="1" customHeight="1" spans="1:12">
      <c r="A90" s="22"/>
      <c r="B90" s="23"/>
      <c r="C90" s="24"/>
      <c r="D90" s="23"/>
      <c r="E90" s="23"/>
      <c r="F90" s="23"/>
      <c r="G90" s="23"/>
      <c r="H90" s="25"/>
      <c r="I90" s="25"/>
      <c r="J90" s="23"/>
      <c r="K90" s="23"/>
      <c r="L90" s="23"/>
    </row>
    <row r="91" s="21" customFormat="1" customHeight="1" spans="1:12">
      <c r="A91" s="22"/>
      <c r="B91" s="23"/>
      <c r="C91" s="24"/>
      <c r="D91" s="23"/>
      <c r="E91" s="23"/>
      <c r="F91" s="23"/>
      <c r="G91" s="23"/>
      <c r="H91" s="25"/>
      <c r="I91" s="25"/>
      <c r="J91" s="23"/>
      <c r="K91" s="23"/>
      <c r="L91" s="23"/>
    </row>
    <row r="92" s="21" customFormat="1" customHeight="1" spans="1:12">
      <c r="A92" s="22"/>
      <c r="B92" s="23"/>
      <c r="C92" s="24"/>
      <c r="D92" s="23"/>
      <c r="E92" s="23"/>
      <c r="F92" s="23"/>
      <c r="G92" s="23"/>
      <c r="H92" s="25"/>
      <c r="I92" s="25"/>
      <c r="J92" s="23"/>
      <c r="K92" s="23"/>
      <c r="L92" s="23"/>
    </row>
    <row r="93" s="21" customFormat="1" customHeight="1" spans="1:12">
      <c r="A93" s="22"/>
      <c r="B93" s="23"/>
      <c r="C93" s="24"/>
      <c r="D93" s="23"/>
      <c r="E93" s="23"/>
      <c r="F93" s="23"/>
      <c r="G93" s="23"/>
      <c r="H93" s="25"/>
      <c r="I93" s="25"/>
      <c r="J93" s="23"/>
      <c r="K93" s="23"/>
      <c r="L93" s="23"/>
    </row>
    <row r="94" s="21" customFormat="1" customHeight="1" spans="1:12">
      <c r="A94" s="22"/>
      <c r="B94" s="23"/>
      <c r="C94" s="24"/>
      <c r="D94" s="23"/>
      <c r="E94" s="23"/>
      <c r="F94" s="23"/>
      <c r="G94" s="23"/>
      <c r="H94" s="25"/>
      <c r="I94" s="25"/>
      <c r="J94" s="23"/>
      <c r="K94" s="23"/>
      <c r="L94" s="23"/>
    </row>
    <row r="95" s="21" customFormat="1" customHeight="1" spans="1:12">
      <c r="A95" s="22"/>
      <c r="B95" s="23"/>
      <c r="C95" s="24"/>
      <c r="D95" s="23"/>
      <c r="E95" s="23"/>
      <c r="F95" s="23"/>
      <c r="G95" s="23"/>
      <c r="H95" s="25"/>
      <c r="I95" s="25"/>
      <c r="J95" s="23"/>
      <c r="K95" s="23"/>
      <c r="L95" s="23"/>
    </row>
    <row r="96" s="21" customFormat="1" customHeight="1" spans="1:12">
      <c r="A96" s="22"/>
      <c r="B96" s="23"/>
      <c r="C96" s="24"/>
      <c r="D96" s="23"/>
      <c r="E96" s="23"/>
      <c r="F96" s="23"/>
      <c r="G96" s="23"/>
      <c r="H96" s="25"/>
      <c r="I96" s="25"/>
      <c r="J96" s="23"/>
      <c r="K96" s="23"/>
      <c r="L96" s="23"/>
    </row>
    <row r="97" s="21" customFormat="1" customHeight="1" spans="1:12">
      <c r="A97" s="22"/>
      <c r="B97" s="23"/>
      <c r="C97" s="24"/>
      <c r="D97" s="23"/>
      <c r="E97" s="23"/>
      <c r="F97" s="23"/>
      <c r="G97" s="23"/>
      <c r="H97" s="25"/>
      <c r="I97" s="25"/>
      <c r="J97" s="23"/>
      <c r="K97" s="23"/>
      <c r="L97" s="23"/>
    </row>
    <row r="98" s="21" customFormat="1" customHeight="1" spans="1:12">
      <c r="A98" s="22"/>
      <c r="B98" s="23"/>
      <c r="C98" s="24"/>
      <c r="D98" s="23"/>
      <c r="E98" s="23"/>
      <c r="F98" s="23"/>
      <c r="G98" s="23"/>
      <c r="H98" s="25"/>
      <c r="I98" s="25"/>
      <c r="J98" s="23"/>
      <c r="K98" s="23"/>
      <c r="L98" s="23"/>
    </row>
    <row r="99" s="21" customFormat="1" customHeight="1" spans="1:12">
      <c r="A99" s="22"/>
      <c r="B99" s="23"/>
      <c r="C99" s="24"/>
      <c r="D99" s="23"/>
      <c r="E99" s="23"/>
      <c r="F99" s="23"/>
      <c r="G99" s="23"/>
      <c r="H99" s="25"/>
      <c r="I99" s="25"/>
      <c r="J99" s="23"/>
      <c r="K99" s="23"/>
      <c r="L99" s="23"/>
    </row>
    <row r="100" s="21" customFormat="1" customHeight="1" spans="1:12">
      <c r="A100" s="22"/>
      <c r="B100" s="23"/>
      <c r="C100" s="24"/>
      <c r="D100" s="23"/>
      <c r="E100" s="23"/>
      <c r="F100" s="23"/>
      <c r="G100" s="23"/>
      <c r="H100" s="25"/>
      <c r="I100" s="25"/>
      <c r="J100" s="23"/>
      <c r="K100" s="23"/>
      <c r="L100" s="23"/>
    </row>
    <row r="101" s="21" customFormat="1" customHeight="1" spans="1:12">
      <c r="A101" s="22"/>
      <c r="B101" s="23"/>
      <c r="C101" s="24"/>
      <c r="D101" s="23"/>
      <c r="E101" s="23"/>
      <c r="F101" s="23"/>
      <c r="G101" s="23"/>
      <c r="H101" s="25"/>
      <c r="I101" s="25"/>
      <c r="J101" s="23"/>
      <c r="K101" s="23"/>
      <c r="L101" s="23"/>
    </row>
    <row r="102" s="21" customFormat="1" customHeight="1" spans="1:12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2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2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2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2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2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2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2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2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2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2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Q240"/>
  <sheetViews>
    <sheetView topLeftCell="C1" workbookViewId="0">
      <pane ySplit="1" topLeftCell="A3" activePane="bottomLeft" state="frozen"/>
      <selection/>
      <selection pane="bottomLeft" activeCell="C3" sqref="C3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9.5</v>
      </c>
      <c r="C2" s="28">
        <f ca="1">O2/B2</f>
        <v>1.02105263157895</v>
      </c>
      <c r="D2" s="6" t="s">
        <v>179</v>
      </c>
      <c r="E2" s="6" t="s">
        <v>180</v>
      </c>
      <c r="F2" s="6">
        <v>34.93</v>
      </c>
      <c r="G2" s="6" t="s">
        <v>181</v>
      </c>
      <c r="H2" s="6">
        <f ca="1" t="array" ref="H2">INDEX(成本核算表!J:J,MATCH(1,(成本核算表!D:D=E2)*(成本核算表!C:C=G2),0))</f>
        <v>18</v>
      </c>
      <c r="I2" s="6">
        <f>3880/2</f>
        <v>1940</v>
      </c>
      <c r="J2" s="6">
        <f ca="1" t="shared" ref="J2:J65" si="0">H2*I2</f>
        <v>34920</v>
      </c>
      <c r="K2" s="6"/>
      <c r="L2" s="6"/>
      <c r="M2" s="6"/>
      <c r="N2" s="6">
        <f ca="1" t="shared" ref="N2:N65" si="1">J2-M2+L2</f>
        <v>34920</v>
      </c>
      <c r="O2" s="6">
        <f ca="1" t="shared" ref="O2:O65" si="2">N2/3600</f>
        <v>9.7</v>
      </c>
      <c r="P2" s="6"/>
      <c r="Q2" s="6"/>
    </row>
    <row r="3" s="21" customFormat="1" ht="20" customHeight="1" spans="1:17">
      <c r="A3" s="27">
        <v>46083</v>
      </c>
      <c r="B3" s="6">
        <v>9.5</v>
      </c>
      <c r="C3" s="28">
        <f ca="1" t="shared" ref="C3:C8" si="3">SUM(O3:O4)/B3</f>
        <v>1.24350877192982</v>
      </c>
      <c r="D3" s="6" t="s">
        <v>179</v>
      </c>
      <c r="E3" s="6" t="s">
        <v>180</v>
      </c>
      <c r="F3" s="6">
        <v>34.93</v>
      </c>
      <c r="G3" s="6" t="s">
        <v>181</v>
      </c>
      <c r="H3" s="6">
        <f ca="1" t="array" ref="H3">INDEX(成本核算表!J:J,MATCH(1,(成本核算表!D:D=E3)*(成本核算表!C:C=G3),0))</f>
        <v>18</v>
      </c>
      <c r="I3" s="6">
        <v>746</v>
      </c>
      <c r="J3" s="6">
        <f ca="1" t="shared" si="0"/>
        <v>13428</v>
      </c>
      <c r="K3" s="6"/>
      <c r="L3" s="6"/>
      <c r="M3" s="6"/>
      <c r="N3" s="6">
        <f ca="1" t="shared" si="1"/>
        <v>13428</v>
      </c>
      <c r="O3" s="6">
        <f ca="1" t="shared" si="2"/>
        <v>3.73</v>
      </c>
      <c r="P3" s="6"/>
      <c r="Q3" s="6"/>
    </row>
    <row r="4" s="21" customFormat="1" ht="20" customHeight="1" spans="1:17">
      <c r="A4" s="27">
        <v>46083</v>
      </c>
      <c r="B4" s="6"/>
      <c r="C4" s="28"/>
      <c r="D4" s="5" t="s">
        <v>107</v>
      </c>
      <c r="E4" s="5" t="s">
        <v>108</v>
      </c>
      <c r="F4" s="6">
        <v>260</v>
      </c>
      <c r="G4" s="5" t="s">
        <v>182</v>
      </c>
      <c r="H4" s="6">
        <f ca="1" t="array" ref="H4">INDEX(成本核算表!J:J,MATCH(1,(成本核算表!D:D=E4)*(成本核算表!C:C=G4),0))</f>
        <v>15</v>
      </c>
      <c r="I4" s="6">
        <v>1940</v>
      </c>
      <c r="J4" s="6">
        <f ca="1" t="shared" si="0"/>
        <v>29100</v>
      </c>
      <c r="K4" s="6"/>
      <c r="L4" s="6"/>
      <c r="M4" s="6"/>
      <c r="N4" s="6">
        <f ca="1" t="shared" si="1"/>
        <v>29100</v>
      </c>
      <c r="O4" s="6">
        <f ca="1" t="shared" si="2"/>
        <v>8.08333333333333</v>
      </c>
      <c r="P4" s="6"/>
      <c r="Q4" s="6"/>
    </row>
    <row r="5" s="21" customFormat="1" ht="20" customHeight="1" spans="1:17">
      <c r="A5" s="15">
        <v>46084</v>
      </c>
      <c r="B5" s="6">
        <v>9.5</v>
      </c>
      <c r="C5" s="28">
        <f ca="1">O5/B5</f>
        <v>1.13377192982456</v>
      </c>
      <c r="D5" s="5" t="s">
        <v>107</v>
      </c>
      <c r="E5" s="5" t="s">
        <v>108</v>
      </c>
      <c r="F5" s="6">
        <v>260</v>
      </c>
      <c r="G5" s="5" t="s">
        <v>182</v>
      </c>
      <c r="H5" s="6">
        <f ca="1" t="array" ref="H5">INDEX(成本核算表!J:J,MATCH(1,(成本核算表!D:D=E5)*(成本核算表!C:C=G5),0))</f>
        <v>15</v>
      </c>
      <c r="I5" s="6">
        <v>2585</v>
      </c>
      <c r="J5" s="6">
        <f ca="1" t="shared" si="0"/>
        <v>38775</v>
      </c>
      <c r="K5" s="6"/>
      <c r="L5" s="6"/>
      <c r="M5" s="6"/>
      <c r="N5" s="6">
        <f ca="1" t="shared" si="1"/>
        <v>38775</v>
      </c>
      <c r="O5" s="6">
        <f ca="1" t="shared" si="2"/>
        <v>10.7708333333333</v>
      </c>
      <c r="P5" s="6"/>
      <c r="Q5" s="6"/>
    </row>
    <row r="6" s="21" customFormat="1" ht="20" customHeight="1" spans="1:17">
      <c r="A6" s="27">
        <v>46085</v>
      </c>
      <c r="B6" s="6">
        <v>9.5</v>
      </c>
      <c r="C6" s="28">
        <f ca="1" t="shared" si="3"/>
        <v>0.902046783625731</v>
      </c>
      <c r="D6" s="5" t="s">
        <v>183</v>
      </c>
      <c r="E6" s="5" t="s">
        <v>184</v>
      </c>
      <c r="F6" s="6">
        <v>69.85</v>
      </c>
      <c r="G6" s="6" t="s">
        <v>181</v>
      </c>
      <c r="H6" s="6">
        <f ca="1" t="array" ref="H6">INDEX(成本核算表!J:J,MATCH(1,(成本核算表!D:D=E6)*(成本核算表!C:C=G6),0))</f>
        <v>2</v>
      </c>
      <c r="I6" s="6">
        <v>5873</v>
      </c>
      <c r="J6" s="6">
        <f ca="1" t="shared" si="0"/>
        <v>11746</v>
      </c>
      <c r="K6" s="6"/>
      <c r="L6" s="6"/>
      <c r="M6" s="6"/>
      <c r="N6" s="6">
        <f ca="1" t="shared" si="1"/>
        <v>11746</v>
      </c>
      <c r="O6" s="6">
        <f ca="1" t="shared" si="2"/>
        <v>3.26277777777778</v>
      </c>
      <c r="P6" s="6"/>
      <c r="Q6" s="6"/>
    </row>
    <row r="7" s="21" customFormat="1" ht="20" customHeight="1" spans="1:17">
      <c r="A7" s="27">
        <v>46085</v>
      </c>
      <c r="B7" s="5"/>
      <c r="C7" s="29"/>
      <c r="D7" s="5" t="s">
        <v>185</v>
      </c>
      <c r="E7" s="5" t="s">
        <v>186</v>
      </c>
      <c r="F7" s="6">
        <v>51.1</v>
      </c>
      <c r="G7" s="6" t="s">
        <v>181</v>
      </c>
      <c r="H7" s="6">
        <f ca="1" t="array" ref="H7">INDEX(成本核算表!J:J,MATCH(1,(成本核算表!D:D=E7)*(成本核算表!C:C=G7),0))</f>
        <v>12</v>
      </c>
      <c r="I7" s="6">
        <v>1592</v>
      </c>
      <c r="J7" s="6">
        <f ca="1" t="shared" si="0"/>
        <v>19104</v>
      </c>
      <c r="K7" s="6"/>
      <c r="L7" s="6"/>
      <c r="M7" s="6"/>
      <c r="N7" s="6">
        <f ca="1" t="shared" si="1"/>
        <v>19104</v>
      </c>
      <c r="O7" s="6">
        <f ca="1" t="shared" si="2"/>
        <v>5.30666666666667</v>
      </c>
      <c r="P7" s="6"/>
      <c r="Q7" s="6"/>
    </row>
    <row r="8" s="21" customFormat="1" ht="20" customHeight="1" spans="1:17">
      <c r="A8" s="27">
        <v>46086</v>
      </c>
      <c r="B8" s="6">
        <v>9.5</v>
      </c>
      <c r="C8" s="28">
        <f ca="1" t="shared" si="3"/>
        <v>0.839269005847953</v>
      </c>
      <c r="D8" s="5" t="s">
        <v>185</v>
      </c>
      <c r="E8" s="5" t="s">
        <v>186</v>
      </c>
      <c r="F8" s="6">
        <v>51.1</v>
      </c>
      <c r="G8" s="6" t="s">
        <v>181</v>
      </c>
      <c r="H8" s="6">
        <f ca="1" t="array" ref="H8">INDEX(成本核算表!J:J,MATCH(1,(成本核算表!D:D=E8)*(成本核算表!C:C=G8),0))</f>
        <v>12</v>
      </c>
      <c r="I8" s="6">
        <v>1769</v>
      </c>
      <c r="J8" s="6">
        <f ca="1" t="shared" si="0"/>
        <v>21228</v>
      </c>
      <c r="K8" s="6"/>
      <c r="L8" s="6"/>
      <c r="M8" s="6"/>
      <c r="N8" s="6">
        <f ca="1" t="shared" si="1"/>
        <v>21228</v>
      </c>
      <c r="O8" s="6">
        <f ca="1" t="shared" si="2"/>
        <v>5.89666666666667</v>
      </c>
      <c r="P8" s="6"/>
      <c r="Q8" s="6"/>
    </row>
    <row r="9" s="21" customFormat="1" ht="20" customHeight="1" spans="1:17">
      <c r="A9" s="27">
        <v>46086</v>
      </c>
      <c r="B9" s="6"/>
      <c r="C9" s="28"/>
      <c r="D9" s="6"/>
      <c r="E9" s="5" t="s">
        <v>187</v>
      </c>
      <c r="F9" s="6">
        <v>270</v>
      </c>
      <c r="G9" s="5" t="s">
        <v>188</v>
      </c>
      <c r="H9" s="6">
        <v>25</v>
      </c>
      <c r="I9" s="6">
        <v>683</v>
      </c>
      <c r="J9" s="6">
        <f t="shared" si="0"/>
        <v>17075</v>
      </c>
      <c r="K9" s="6"/>
      <c r="L9" s="6"/>
      <c r="M9" s="6">
        <v>9600</v>
      </c>
      <c r="N9" s="6">
        <f t="shared" si="1"/>
        <v>7475</v>
      </c>
      <c r="O9" s="6">
        <f t="shared" si="2"/>
        <v>2.07638888888889</v>
      </c>
      <c r="P9" s="6"/>
      <c r="Q9" s="6"/>
    </row>
    <row r="10" s="21" customFormat="1" ht="20" customHeight="1" spans="1:17">
      <c r="A10" s="27">
        <v>46087</v>
      </c>
      <c r="B10" s="6">
        <v>9.5</v>
      </c>
      <c r="C10" s="28">
        <f ca="1">SUM(O10:O11)/B10</f>
        <v>0.704152046783626</v>
      </c>
      <c r="D10" s="5" t="s">
        <v>185</v>
      </c>
      <c r="E10" s="5" t="s">
        <v>186</v>
      </c>
      <c r="F10" s="6">
        <v>51.1</v>
      </c>
      <c r="G10" s="6" t="s">
        <v>181</v>
      </c>
      <c r="H10" s="6">
        <f ca="1" t="array" ref="H10">INDEX(成本核算表!J:J,MATCH(1,(成本核算表!D:D=E10)*(成本核算表!C:C=G10),0))</f>
        <v>12</v>
      </c>
      <c r="I10" s="6">
        <f>2372/2</f>
        <v>1186</v>
      </c>
      <c r="J10" s="6">
        <f ca="1" t="shared" si="0"/>
        <v>14232</v>
      </c>
      <c r="K10" s="6"/>
      <c r="L10" s="6"/>
      <c r="M10" s="6"/>
      <c r="N10" s="6">
        <f ca="1" t="shared" si="1"/>
        <v>14232</v>
      </c>
      <c r="O10" s="6">
        <f ca="1" t="shared" si="2"/>
        <v>3.95333333333333</v>
      </c>
      <c r="P10" s="6"/>
      <c r="Q10" s="6"/>
    </row>
    <row r="11" s="21" customFormat="1" ht="20" customHeight="1" spans="1:17">
      <c r="A11" s="27">
        <v>46087</v>
      </c>
      <c r="B11" s="6"/>
      <c r="C11" s="28"/>
      <c r="D11" s="6"/>
      <c r="E11" s="5" t="s">
        <v>187</v>
      </c>
      <c r="F11" s="6">
        <v>137</v>
      </c>
      <c r="G11" s="5" t="s">
        <v>188</v>
      </c>
      <c r="H11" s="6">
        <v>25</v>
      </c>
      <c r="I11" s="6">
        <f>788/2</f>
        <v>394</v>
      </c>
      <c r="J11" s="6">
        <f t="shared" si="0"/>
        <v>9850</v>
      </c>
      <c r="K11" s="6"/>
      <c r="L11" s="6"/>
      <c r="M11" s="6"/>
      <c r="N11" s="6">
        <f t="shared" si="1"/>
        <v>9850</v>
      </c>
      <c r="O11" s="6">
        <f t="shared" si="2"/>
        <v>2.73611111111111</v>
      </c>
      <c r="P11" s="6"/>
      <c r="Q11" s="6"/>
    </row>
    <row r="12" s="21" customFormat="1" ht="20" customHeight="1" spans="1:17">
      <c r="A12" s="27">
        <v>46088</v>
      </c>
      <c r="B12" s="6">
        <v>9.5</v>
      </c>
      <c r="C12" s="28">
        <f ca="1">SUM(O12:O14)/B12</f>
        <v>0.655877192982456</v>
      </c>
      <c r="D12" s="6"/>
      <c r="E12" s="5" t="s">
        <v>187</v>
      </c>
      <c r="F12" s="6">
        <v>137</v>
      </c>
      <c r="G12" s="5" t="s">
        <v>188</v>
      </c>
      <c r="H12" s="6">
        <v>25</v>
      </c>
      <c r="I12" s="6">
        <v>60</v>
      </c>
      <c r="J12" s="6">
        <f t="shared" si="0"/>
        <v>1500</v>
      </c>
      <c r="K12" s="6"/>
      <c r="L12" s="6"/>
      <c r="M12" s="6"/>
      <c r="N12" s="6">
        <f t="shared" si="1"/>
        <v>1500</v>
      </c>
      <c r="O12" s="6">
        <f t="shared" si="2"/>
        <v>0.416666666666667</v>
      </c>
      <c r="P12" s="6"/>
      <c r="Q12" s="6"/>
    </row>
    <row r="13" s="21" customFormat="1" ht="20" customHeight="1" spans="1:17">
      <c r="A13" s="27">
        <v>46088</v>
      </c>
      <c r="B13" s="6"/>
      <c r="C13" s="28"/>
      <c r="D13" s="5" t="s">
        <v>189</v>
      </c>
      <c r="E13" s="51" t="s">
        <v>190</v>
      </c>
      <c r="F13" s="6">
        <v>110</v>
      </c>
      <c r="G13" s="6" t="s">
        <v>181</v>
      </c>
      <c r="H13" s="6">
        <f ca="1" t="array" ref="H13">INDEX(成本核算表!J:J,MATCH(1,(成本核算表!D:D=E13)*(成本核算表!C:C=G13),0))</f>
        <v>5</v>
      </c>
      <c r="I13" s="6">
        <f>1638/2</f>
        <v>819</v>
      </c>
      <c r="J13" s="6">
        <f ca="1" t="shared" si="0"/>
        <v>4095</v>
      </c>
      <c r="K13" s="6"/>
      <c r="L13" s="6"/>
      <c r="M13" s="6"/>
      <c r="N13" s="6">
        <f ca="1" t="shared" si="1"/>
        <v>4095</v>
      </c>
      <c r="O13" s="6">
        <f ca="1" t="shared" si="2"/>
        <v>1.1375</v>
      </c>
      <c r="P13" s="6"/>
      <c r="Q13" s="6"/>
    </row>
    <row r="14" s="21" customFormat="1" ht="20" customHeight="1" spans="1:17">
      <c r="A14" s="27">
        <v>46088</v>
      </c>
      <c r="B14" s="6"/>
      <c r="C14" s="28"/>
      <c r="D14" s="5" t="s">
        <v>185</v>
      </c>
      <c r="E14" s="5" t="s">
        <v>186</v>
      </c>
      <c r="F14" s="6">
        <v>51.1</v>
      </c>
      <c r="G14" s="6" t="s">
        <v>181</v>
      </c>
      <c r="H14" s="6">
        <f ca="1" t="array" ref="H14">INDEX(成本核算表!J:J,MATCH(1,(成本核算表!D:D=E14)*(成本核算表!C:C=G14),0))</f>
        <v>12</v>
      </c>
      <c r="I14" s="6">
        <f>2806/2</f>
        <v>1403</v>
      </c>
      <c r="J14" s="6">
        <f ca="1" t="shared" si="0"/>
        <v>16836</v>
      </c>
      <c r="K14" s="6"/>
      <c r="L14" s="6"/>
      <c r="M14" s="6"/>
      <c r="N14" s="6">
        <f ca="1" t="shared" si="1"/>
        <v>16836</v>
      </c>
      <c r="O14" s="6">
        <f ca="1" t="shared" si="2"/>
        <v>4.67666666666667</v>
      </c>
      <c r="P14" s="6"/>
      <c r="Q14" s="6"/>
    </row>
    <row r="15" s="21" customFormat="1" ht="20" customHeight="1" spans="1:17">
      <c r="A15" s="27">
        <v>46089</v>
      </c>
      <c r="B15" s="6">
        <v>9.5</v>
      </c>
      <c r="C15" s="28">
        <f ca="1" t="shared" ref="C15:C19" si="4">SUM(O15:O16)/B15</f>
        <v>1.60052631578947</v>
      </c>
      <c r="D15" s="5" t="s">
        <v>185</v>
      </c>
      <c r="E15" s="5" t="s">
        <v>186</v>
      </c>
      <c r="F15" s="6">
        <v>51.1</v>
      </c>
      <c r="G15" s="6" t="s">
        <v>181</v>
      </c>
      <c r="H15" s="6">
        <f ca="1" t="array" ref="H15">INDEX(成本核算表!J:J,MATCH(1,(成本核算表!D:D=E15)*(成本核算表!C:C=G15),0))</f>
        <v>12</v>
      </c>
      <c r="I15" s="6">
        <f>2823/2</f>
        <v>1411.5</v>
      </c>
      <c r="J15" s="6">
        <f ca="1" t="shared" si="0"/>
        <v>16938</v>
      </c>
      <c r="K15" s="6"/>
      <c r="L15" s="6">
        <f>1.5*3600</f>
        <v>5400</v>
      </c>
      <c r="M15" s="6"/>
      <c r="N15" s="6">
        <f ca="1" t="shared" si="1"/>
        <v>22338</v>
      </c>
      <c r="O15" s="6">
        <f ca="1" t="shared" si="2"/>
        <v>6.205</v>
      </c>
      <c r="P15" s="6"/>
      <c r="Q15" s="6"/>
    </row>
    <row r="16" s="21" customFormat="1" ht="20" customHeight="1" spans="1:17">
      <c r="A16" s="27">
        <v>46090</v>
      </c>
      <c r="B16" s="6">
        <v>9.5</v>
      </c>
      <c r="C16" s="28"/>
      <c r="D16" s="6"/>
      <c r="E16" s="6"/>
      <c r="F16" s="6"/>
      <c r="G16" s="6"/>
      <c r="H16" s="6">
        <f ca="1" t="array" ref="H16">INDEX(成本核算表!J:J,MATCH(1,(成本核算表!D:D=E16)*(成本核算表!C:C=G16),0))</f>
        <v>0</v>
      </c>
      <c r="I16" s="6"/>
      <c r="J16" s="6">
        <f ca="1" t="shared" si="0"/>
        <v>0</v>
      </c>
      <c r="K16" s="6"/>
      <c r="L16" s="6">
        <v>32400</v>
      </c>
      <c r="M16" s="6"/>
      <c r="N16" s="6">
        <f ca="1" t="shared" si="1"/>
        <v>32400</v>
      </c>
      <c r="O16" s="6">
        <f ca="1" t="shared" si="2"/>
        <v>9</v>
      </c>
      <c r="P16" s="6"/>
      <c r="Q16" s="6"/>
    </row>
    <row r="17" s="21" customFormat="1" ht="20" customHeight="1" spans="1:17">
      <c r="A17" s="27">
        <v>46091</v>
      </c>
      <c r="B17" s="6">
        <v>9.5</v>
      </c>
      <c r="C17" s="28">
        <f ca="1" t="shared" si="4"/>
        <v>0.982456140350877</v>
      </c>
      <c r="D17" s="5" t="s">
        <v>84</v>
      </c>
      <c r="E17" s="5" t="s">
        <v>78</v>
      </c>
      <c r="F17" s="6">
        <v>780</v>
      </c>
      <c r="G17" s="5" t="s">
        <v>132</v>
      </c>
      <c r="H17" s="6">
        <f ca="1" t="array" ref="H17">INDEX(成本核算表!J:J,MATCH(1,(成本核算表!D:D=E17)*(成本核算表!C:C=G17),0))</f>
        <v>30</v>
      </c>
      <c r="I17" s="6">
        <v>520</v>
      </c>
      <c r="J17" s="6">
        <f ca="1" t="shared" si="0"/>
        <v>15600</v>
      </c>
      <c r="K17" s="6"/>
      <c r="L17" s="6"/>
      <c r="M17" s="6"/>
      <c r="N17" s="6">
        <f ca="1" t="shared" si="1"/>
        <v>15600</v>
      </c>
      <c r="O17" s="6">
        <f ca="1" t="shared" si="2"/>
        <v>4.33333333333333</v>
      </c>
      <c r="P17" s="6"/>
      <c r="Q17" s="6"/>
    </row>
    <row r="18" s="21" customFormat="1" ht="20" customHeight="1" spans="1:17">
      <c r="A18" s="27">
        <v>46091</v>
      </c>
      <c r="B18" s="6"/>
      <c r="C18" s="28"/>
      <c r="D18" s="5" t="s">
        <v>83</v>
      </c>
      <c r="E18" s="5" t="s">
        <v>78</v>
      </c>
      <c r="F18" s="6">
        <v>780</v>
      </c>
      <c r="G18" s="5" t="s">
        <v>132</v>
      </c>
      <c r="H18" s="6">
        <f ca="1" t="array" ref="H18">INDEX(成本核算表!J:J,MATCH(1,(成本核算表!D:D=E18)*(成本核算表!C:C=G18),0))</f>
        <v>30</v>
      </c>
      <c r="I18" s="6">
        <v>600</v>
      </c>
      <c r="J18" s="6">
        <f ca="1" t="shared" si="0"/>
        <v>18000</v>
      </c>
      <c r="K18" s="6"/>
      <c r="L18" s="6"/>
      <c r="M18" s="6"/>
      <c r="N18" s="6">
        <f ca="1" t="shared" si="1"/>
        <v>18000</v>
      </c>
      <c r="O18" s="6">
        <f ca="1" t="shared" si="2"/>
        <v>5</v>
      </c>
      <c r="P18" s="6"/>
      <c r="Q18" s="6"/>
    </row>
    <row r="19" s="21" customFormat="1" ht="20" customHeight="1" spans="1:17">
      <c r="A19" s="27">
        <v>46092</v>
      </c>
      <c r="B19" s="6">
        <v>9.5</v>
      </c>
      <c r="C19" s="28">
        <f ca="1">SUM(O19:O21)/B19</f>
        <v>0.91578947368421</v>
      </c>
      <c r="D19" s="5" t="s">
        <v>80</v>
      </c>
      <c r="E19" s="5" t="s">
        <v>78</v>
      </c>
      <c r="F19" s="6">
        <v>1960</v>
      </c>
      <c r="G19" s="5" t="s">
        <v>132</v>
      </c>
      <c r="H19" s="6">
        <f ca="1" t="array" ref="H19">INDEX(成本核算表!J:J,MATCH(1,(成本核算表!D:D=E19)*(成本核算表!C:C=G19),0))</f>
        <v>30</v>
      </c>
      <c r="I19" s="6">
        <v>340</v>
      </c>
      <c r="J19" s="6">
        <f ca="1" t="shared" si="0"/>
        <v>10200</v>
      </c>
      <c r="K19" s="6"/>
      <c r="L19" s="6">
        <v>7200</v>
      </c>
      <c r="M19" s="6"/>
      <c r="N19" s="6">
        <f ca="1" t="shared" si="1"/>
        <v>17400</v>
      </c>
      <c r="O19" s="6">
        <f ca="1" t="shared" si="2"/>
        <v>4.83333333333333</v>
      </c>
      <c r="P19" s="6"/>
      <c r="Q19" s="5" t="s">
        <v>91</v>
      </c>
    </row>
    <row r="20" s="21" customFormat="1" ht="20" customHeight="1" spans="1:17">
      <c r="A20" s="27">
        <v>46092</v>
      </c>
      <c r="B20" s="6"/>
      <c r="C20" s="28"/>
      <c r="D20" s="5" t="s">
        <v>77</v>
      </c>
      <c r="E20" s="5" t="s">
        <v>78</v>
      </c>
      <c r="F20" s="6">
        <v>1960</v>
      </c>
      <c r="G20" s="5" t="s">
        <v>132</v>
      </c>
      <c r="H20" s="6">
        <f ca="1" t="array" ref="H20">INDEX(成本核算表!J:J,MATCH(1,(成本核算表!D:D=E20)*(成本核算表!C:C=G20),0))</f>
        <v>30</v>
      </c>
      <c r="I20" s="6">
        <v>300</v>
      </c>
      <c r="J20" s="6">
        <f ca="1" t="shared" si="0"/>
        <v>9000</v>
      </c>
      <c r="K20" s="6"/>
      <c r="L20" s="6"/>
      <c r="M20" s="6"/>
      <c r="N20" s="6">
        <f ca="1" t="shared" si="1"/>
        <v>9000</v>
      </c>
      <c r="O20" s="6">
        <f ca="1" t="shared" si="2"/>
        <v>2.5</v>
      </c>
      <c r="P20" s="6"/>
      <c r="Q20" s="6"/>
    </row>
    <row r="21" s="21" customFormat="1" ht="20" customHeight="1" spans="1:17">
      <c r="A21" s="27">
        <v>46092</v>
      </c>
      <c r="B21" s="6"/>
      <c r="C21" s="28"/>
      <c r="D21" s="5" t="s">
        <v>84</v>
      </c>
      <c r="E21" s="5" t="s">
        <v>78</v>
      </c>
      <c r="F21" s="6">
        <v>780</v>
      </c>
      <c r="G21" s="5" t="s">
        <v>132</v>
      </c>
      <c r="H21" s="6">
        <f ca="1" t="array" ref="H21">INDEX(成本核算表!J:J,MATCH(1,(成本核算表!D:D=E21)*(成本核算表!C:C=G21),0))</f>
        <v>30</v>
      </c>
      <c r="I21" s="6">
        <v>164</v>
      </c>
      <c r="J21" s="6">
        <f ca="1" t="shared" si="0"/>
        <v>4920</v>
      </c>
      <c r="K21" s="6"/>
      <c r="L21" s="6"/>
      <c r="M21" s="6"/>
      <c r="N21" s="6">
        <f ca="1" t="shared" si="1"/>
        <v>4920</v>
      </c>
      <c r="O21" s="6">
        <f ca="1" t="shared" si="2"/>
        <v>1.36666666666667</v>
      </c>
      <c r="P21" s="6"/>
      <c r="Q21" s="6"/>
    </row>
    <row r="22" s="21" customFormat="1" ht="20" customHeight="1" spans="1:17">
      <c r="A22" s="27">
        <v>46093</v>
      </c>
      <c r="B22" s="6">
        <v>9.5</v>
      </c>
      <c r="C22" s="28">
        <f ca="1">SUM(O22:O25)/B22</f>
        <v>0.870175438596491</v>
      </c>
      <c r="D22" s="5" t="s">
        <v>84</v>
      </c>
      <c r="E22" s="5" t="s">
        <v>78</v>
      </c>
      <c r="F22" s="6">
        <v>780</v>
      </c>
      <c r="G22" s="5" t="s">
        <v>132</v>
      </c>
      <c r="H22" s="6">
        <f ca="1" t="array" ref="H22">INDEX(成本核算表!J:J,MATCH(1,(成本核算表!D:D=E22)*(成本核算表!C:C=G22),0))</f>
        <v>30</v>
      </c>
      <c r="I22" s="6">
        <v>100</v>
      </c>
      <c r="J22" s="6">
        <f ca="1" t="shared" si="0"/>
        <v>3000</v>
      </c>
      <c r="K22" s="6"/>
      <c r="L22" s="6">
        <v>10800</v>
      </c>
      <c r="M22" s="6"/>
      <c r="N22" s="6">
        <f ca="1" t="shared" si="1"/>
        <v>13800</v>
      </c>
      <c r="O22" s="6">
        <f ca="1" t="shared" si="2"/>
        <v>3.83333333333333</v>
      </c>
      <c r="P22" s="6"/>
      <c r="Q22" s="5" t="s">
        <v>191</v>
      </c>
    </row>
    <row r="23" s="21" customFormat="1" ht="20" customHeight="1" spans="1:17">
      <c r="A23" s="27">
        <v>46093</v>
      </c>
      <c r="B23" s="6"/>
      <c r="C23" s="28"/>
      <c r="D23" s="5" t="s">
        <v>83</v>
      </c>
      <c r="E23" s="5" t="s">
        <v>78</v>
      </c>
      <c r="F23" s="6">
        <v>780</v>
      </c>
      <c r="G23" s="5" t="s">
        <v>132</v>
      </c>
      <c r="H23" s="6">
        <f ca="1" t="array" ref="H23">INDEX(成本核算表!J:J,MATCH(1,(成本核算表!D:D=E23)*(成本核算表!C:C=G23),0))</f>
        <v>30</v>
      </c>
      <c r="I23" s="6">
        <v>100</v>
      </c>
      <c r="J23" s="6">
        <f ca="1" t="shared" si="0"/>
        <v>3000</v>
      </c>
      <c r="K23" s="6"/>
      <c r="L23" s="6"/>
      <c r="M23" s="6"/>
      <c r="N23" s="6">
        <f ca="1" t="shared" si="1"/>
        <v>3000</v>
      </c>
      <c r="O23" s="6">
        <f ca="1" t="shared" si="2"/>
        <v>0.833333333333333</v>
      </c>
      <c r="P23" s="6"/>
      <c r="Q23" s="6"/>
    </row>
    <row r="24" s="21" customFormat="1" ht="20" customHeight="1" spans="1:17">
      <c r="A24" s="27">
        <v>46093</v>
      </c>
      <c r="B24" s="6"/>
      <c r="C24" s="28"/>
      <c r="D24" s="5" t="s">
        <v>80</v>
      </c>
      <c r="E24" s="5" t="s">
        <v>78</v>
      </c>
      <c r="F24" s="6">
        <v>1960</v>
      </c>
      <c r="G24" s="5" t="s">
        <v>132</v>
      </c>
      <c r="H24" s="6">
        <f ca="1" t="array" ref="H24">INDEX(成本核算表!J:J,MATCH(1,(成本核算表!D:D=E24)*(成本核算表!C:C=G24),0))</f>
        <v>30</v>
      </c>
      <c r="I24" s="6">
        <v>300</v>
      </c>
      <c r="J24" s="6">
        <f ca="1" t="shared" si="0"/>
        <v>9000</v>
      </c>
      <c r="K24" s="6"/>
      <c r="L24" s="6"/>
      <c r="M24" s="6"/>
      <c r="N24" s="6">
        <f ca="1" t="shared" si="1"/>
        <v>9000</v>
      </c>
      <c r="O24" s="6">
        <f ca="1" t="shared" si="2"/>
        <v>2.5</v>
      </c>
      <c r="P24" s="6"/>
      <c r="Q24" s="6"/>
    </row>
    <row r="25" s="21" customFormat="1" ht="20" customHeight="1" spans="1:17">
      <c r="A25" s="27">
        <v>46093</v>
      </c>
      <c r="B25" s="6"/>
      <c r="C25" s="28"/>
      <c r="D25" s="5" t="s">
        <v>77</v>
      </c>
      <c r="E25" s="5" t="s">
        <v>78</v>
      </c>
      <c r="F25" s="6">
        <v>1960</v>
      </c>
      <c r="G25" s="5" t="s">
        <v>132</v>
      </c>
      <c r="H25" s="6">
        <f ca="1" t="array" ref="H25">INDEX(成本核算表!J:J,MATCH(1,(成本核算表!D:D=E25)*(成本核算表!C:C=G25),0))</f>
        <v>30</v>
      </c>
      <c r="I25" s="6">
        <v>132</v>
      </c>
      <c r="J25" s="6">
        <f ca="1" t="shared" si="0"/>
        <v>3960</v>
      </c>
      <c r="K25" s="6"/>
      <c r="L25" s="6"/>
      <c r="M25" s="6"/>
      <c r="N25" s="6">
        <f ca="1" t="shared" si="1"/>
        <v>3960</v>
      </c>
      <c r="O25" s="6">
        <f ca="1" t="shared" si="2"/>
        <v>1.1</v>
      </c>
      <c r="P25" s="6"/>
      <c r="Q25" s="6"/>
    </row>
    <row r="26" s="21" customFormat="1" ht="20" customHeight="1" spans="1:17">
      <c r="A26" s="27">
        <v>46094</v>
      </c>
      <c r="B26" s="6">
        <v>9.5</v>
      </c>
      <c r="C26" s="28">
        <f ca="1">SUM(O26:O27)/B26</f>
        <v>0.947953216374269</v>
      </c>
      <c r="D26" s="5" t="s">
        <v>84</v>
      </c>
      <c r="E26" s="5" t="s">
        <v>78</v>
      </c>
      <c r="F26" s="6">
        <v>780</v>
      </c>
      <c r="G26" s="5" t="s">
        <v>132</v>
      </c>
      <c r="H26" s="6">
        <f ca="1" t="array" ref="H26">INDEX(成本核算表!J:J,MATCH(1,(成本核算表!D:D=E26)*(成本核算表!C:C=G26),0))</f>
        <v>30</v>
      </c>
      <c r="I26" s="6">
        <v>277</v>
      </c>
      <c r="J26" s="6">
        <f ca="1" t="shared" si="0"/>
        <v>8310</v>
      </c>
      <c r="K26" s="6"/>
      <c r="L26" s="6">
        <v>15800</v>
      </c>
      <c r="M26" s="6"/>
      <c r="N26" s="6">
        <f ca="1" t="shared" si="1"/>
        <v>24110</v>
      </c>
      <c r="O26" s="6">
        <f ca="1" t="shared" si="2"/>
        <v>6.69722222222222</v>
      </c>
      <c r="P26" s="6"/>
      <c r="Q26" s="5" t="s">
        <v>192</v>
      </c>
    </row>
    <row r="27" s="21" customFormat="1" ht="20" customHeight="1" spans="1:17">
      <c r="A27" s="27">
        <v>46094</v>
      </c>
      <c r="B27" s="6"/>
      <c r="C27" s="28"/>
      <c r="D27" s="5" t="s">
        <v>83</v>
      </c>
      <c r="E27" s="5" t="s">
        <v>78</v>
      </c>
      <c r="F27" s="6">
        <v>780</v>
      </c>
      <c r="G27" s="5" t="s">
        <v>132</v>
      </c>
      <c r="H27" s="6">
        <f ca="1" t="array" ref="H27">INDEX(成本核算表!J:J,MATCH(1,(成本核算表!D:D=E27)*(成本核算表!C:C=G27),0))</f>
        <v>30</v>
      </c>
      <c r="I27" s="6">
        <v>277</v>
      </c>
      <c r="J27" s="6">
        <f ca="1" t="shared" si="0"/>
        <v>8310</v>
      </c>
      <c r="K27" s="6"/>
      <c r="L27" s="6"/>
      <c r="M27" s="6"/>
      <c r="N27" s="6">
        <f ca="1" t="shared" si="1"/>
        <v>8310</v>
      </c>
      <c r="O27" s="6">
        <f ca="1" t="shared" si="2"/>
        <v>2.30833333333333</v>
      </c>
      <c r="P27" s="6"/>
      <c r="Q27" s="6"/>
    </row>
    <row r="28" s="21" customFormat="1" ht="20" customHeight="1" spans="1:17">
      <c r="A28" s="27">
        <v>46095</v>
      </c>
      <c r="B28" s="6">
        <v>9.5</v>
      </c>
      <c r="C28" s="28">
        <f ca="1">SUM(O28)/B28</f>
        <v>0.905263157894737</v>
      </c>
      <c r="D28" s="5" t="s">
        <v>172</v>
      </c>
      <c r="E28" s="5" t="s">
        <v>173</v>
      </c>
      <c r="F28" s="6">
        <v>33.7</v>
      </c>
      <c r="G28" s="18" t="s">
        <v>181</v>
      </c>
      <c r="H28" s="6">
        <f ca="1" t="array" ref="H28">INDEX(成本核算表!J:J,MATCH(1,(成本核算表!D:D=E28)*(成本核算表!C:C=G28),0))</f>
        <v>6</v>
      </c>
      <c r="I28" s="6">
        <v>5160</v>
      </c>
      <c r="J28" s="6">
        <f ca="1" t="shared" si="0"/>
        <v>30960</v>
      </c>
      <c r="K28" s="6"/>
      <c r="L28" s="6"/>
      <c r="M28" s="6"/>
      <c r="N28" s="6">
        <f ca="1" t="shared" si="1"/>
        <v>30960</v>
      </c>
      <c r="O28" s="6">
        <f ca="1" t="shared" si="2"/>
        <v>8.6</v>
      </c>
      <c r="P28" s="6"/>
      <c r="Q28" s="6"/>
    </row>
    <row r="29" s="21" customFormat="1" ht="20" customHeight="1" spans="1:17">
      <c r="A29" s="27">
        <v>46096</v>
      </c>
      <c r="B29" s="6">
        <v>9.5</v>
      </c>
      <c r="C29" s="28">
        <f ca="1">SUM(O29:O31)/B29</f>
        <v>1.15040935672515</v>
      </c>
      <c r="D29" s="5" t="s">
        <v>172</v>
      </c>
      <c r="E29" s="5" t="s">
        <v>173</v>
      </c>
      <c r="F29" s="6">
        <v>33.7</v>
      </c>
      <c r="G29" s="18" t="s">
        <v>181</v>
      </c>
      <c r="H29" s="6">
        <f ca="1" t="array" ref="H29">INDEX(成本核算表!J:J,MATCH(1,(成本核算表!D:D=E29)*(成本核算表!C:C=G29),0))</f>
        <v>6</v>
      </c>
      <c r="I29" s="6">
        <v>2884</v>
      </c>
      <c r="J29" s="6">
        <f ca="1" t="shared" si="0"/>
        <v>17304</v>
      </c>
      <c r="K29" s="6"/>
      <c r="L29" s="6"/>
      <c r="M29" s="6"/>
      <c r="N29" s="6">
        <f ca="1" t="shared" si="1"/>
        <v>17304</v>
      </c>
      <c r="O29" s="6">
        <f ca="1" t="shared" si="2"/>
        <v>4.80666666666667</v>
      </c>
      <c r="P29" s="6"/>
      <c r="Q29" s="6"/>
    </row>
    <row r="30" s="21" customFormat="1" ht="20" customHeight="1" spans="1:17">
      <c r="A30" s="27">
        <v>46096</v>
      </c>
      <c r="B30" s="6"/>
      <c r="C30" s="28"/>
      <c r="D30" s="5" t="s">
        <v>193</v>
      </c>
      <c r="E30" s="5" t="s">
        <v>173</v>
      </c>
      <c r="F30" s="6">
        <v>33.7</v>
      </c>
      <c r="G30" s="18" t="s">
        <v>181</v>
      </c>
      <c r="H30" s="6">
        <f ca="1" t="array" ref="H30">INDEX(成本核算表!J:J,MATCH(1,(成本核算表!D:D=E30)*(成本核算表!C:C=G30),0))</f>
        <v>6</v>
      </c>
      <c r="I30" s="6">
        <f>1860+1048</f>
        <v>2908</v>
      </c>
      <c r="J30" s="6">
        <f ca="1" t="shared" si="0"/>
        <v>17448</v>
      </c>
      <c r="K30" s="6"/>
      <c r="L30" s="6"/>
      <c r="M30" s="6"/>
      <c r="N30" s="6">
        <f ca="1" t="shared" si="1"/>
        <v>17448</v>
      </c>
      <c r="O30" s="6">
        <f ca="1" t="shared" si="2"/>
        <v>4.84666666666667</v>
      </c>
      <c r="P30" s="6"/>
      <c r="Q30" s="6"/>
    </row>
    <row r="31" s="21" customFormat="1" ht="20" customHeight="1" spans="1:17">
      <c r="A31" s="27">
        <v>46096</v>
      </c>
      <c r="B31" s="6"/>
      <c r="C31" s="28"/>
      <c r="D31" s="5" t="s">
        <v>194</v>
      </c>
      <c r="E31" s="5" t="s">
        <v>195</v>
      </c>
      <c r="F31" s="6">
        <v>150</v>
      </c>
      <c r="G31" s="18" t="s">
        <v>181</v>
      </c>
      <c r="H31" s="6">
        <f ca="1" t="array" ref="H31">INDEX(成本核算表!J:J,MATCH(1,(成本核算表!D:D=E31)*(成本核算表!C:C=G31),0))</f>
        <v>8</v>
      </c>
      <c r="I31" s="6">
        <v>574</v>
      </c>
      <c r="J31" s="6">
        <f ca="1" t="shared" si="0"/>
        <v>4592</v>
      </c>
      <c r="K31" s="6"/>
      <c r="L31" s="6"/>
      <c r="M31" s="6"/>
      <c r="N31" s="6">
        <f ca="1" t="shared" si="1"/>
        <v>4592</v>
      </c>
      <c r="O31" s="6">
        <f ca="1" t="shared" si="2"/>
        <v>1.27555555555556</v>
      </c>
      <c r="P31" s="6"/>
      <c r="Q31" s="6"/>
    </row>
    <row r="32" s="21" customFormat="1" ht="20" customHeight="1" spans="1:17">
      <c r="A32" s="27">
        <v>46097</v>
      </c>
      <c r="B32" s="6">
        <v>9.5</v>
      </c>
      <c r="C32" s="28">
        <f ca="1" t="shared" ref="C32:C34" si="5">SUM(O32:O33)/B32</f>
        <v>2.09438596491228</v>
      </c>
      <c r="D32" s="5" t="s">
        <v>193</v>
      </c>
      <c r="E32" s="5" t="s">
        <v>173</v>
      </c>
      <c r="F32" s="6">
        <v>33.7</v>
      </c>
      <c r="G32" s="18" t="s">
        <v>181</v>
      </c>
      <c r="H32" s="6">
        <f ca="1" t="array" ref="H32">INDEX(成本核算表!J:J,MATCH(1,(成本核算表!D:D=E32)*(成本核算表!C:C=G32),0))</f>
        <v>6</v>
      </c>
      <c r="I32" s="6">
        <v>4098</v>
      </c>
      <c r="J32" s="6">
        <f ca="1" t="shared" si="0"/>
        <v>24588</v>
      </c>
      <c r="K32" s="6"/>
      <c r="L32" s="6">
        <f>3.5*3600</f>
        <v>12600</v>
      </c>
      <c r="M32" s="6"/>
      <c r="N32" s="6">
        <f ca="1" t="shared" si="1"/>
        <v>37188</v>
      </c>
      <c r="O32" s="6">
        <f ca="1" t="shared" si="2"/>
        <v>10.33</v>
      </c>
      <c r="P32" s="6"/>
      <c r="Q32" s="6"/>
    </row>
    <row r="33" s="21" customFormat="1" ht="20" customHeight="1" spans="1:17">
      <c r="A33" s="27">
        <v>46098</v>
      </c>
      <c r="B33" s="6">
        <v>9.5</v>
      </c>
      <c r="C33" s="28">
        <f ca="1" t="shared" si="5"/>
        <v>1.23157894736842</v>
      </c>
      <c r="D33" s="5" t="s">
        <v>194</v>
      </c>
      <c r="E33" s="5" t="s">
        <v>195</v>
      </c>
      <c r="F33" s="6">
        <v>150</v>
      </c>
      <c r="G33" s="18" t="s">
        <v>181</v>
      </c>
      <c r="H33" s="6">
        <f ca="1" t="array" ref="H33">INDEX(成本核算表!J:J,MATCH(1,(成本核算表!D:D=E33)*(成本核算表!C:C=G33),0))</f>
        <v>8</v>
      </c>
      <c r="I33" s="6">
        <v>4305</v>
      </c>
      <c r="J33" s="6">
        <f ca="1" t="shared" si="0"/>
        <v>34440</v>
      </c>
      <c r="K33" s="6"/>
      <c r="L33" s="6"/>
      <c r="M33" s="6"/>
      <c r="N33" s="6">
        <f ca="1" t="shared" si="1"/>
        <v>34440</v>
      </c>
      <c r="O33" s="6">
        <f ca="1" t="shared" si="2"/>
        <v>9.56666666666667</v>
      </c>
      <c r="P33" s="6"/>
      <c r="Q33" s="6"/>
    </row>
    <row r="34" s="21" customFormat="1" ht="20" customHeight="1" spans="1:17">
      <c r="A34" s="27">
        <v>46099</v>
      </c>
      <c r="B34" s="6">
        <v>9.5</v>
      </c>
      <c r="C34" s="28">
        <f ca="1" t="shared" si="5"/>
        <v>1.06614035087719</v>
      </c>
      <c r="D34" s="5" t="s">
        <v>194</v>
      </c>
      <c r="E34" s="5" t="s">
        <v>195</v>
      </c>
      <c r="F34" s="6">
        <v>150</v>
      </c>
      <c r="G34" s="18" t="s">
        <v>181</v>
      </c>
      <c r="H34" s="6">
        <f ca="1" t="array" ref="H34">INDEX(成本核算表!J:J,MATCH(1,(成本核算表!D:D=E34)*(成本核算表!C:C=G34),0))</f>
        <v>8</v>
      </c>
      <c r="I34" s="6">
        <v>960</v>
      </c>
      <c r="J34" s="6">
        <f ca="1" t="shared" si="0"/>
        <v>7680</v>
      </c>
      <c r="K34" s="6"/>
      <c r="L34" s="6"/>
      <c r="M34" s="6"/>
      <c r="N34" s="6">
        <f ca="1" t="shared" si="1"/>
        <v>7680</v>
      </c>
      <c r="O34" s="6">
        <f ca="1" t="shared" si="2"/>
        <v>2.13333333333333</v>
      </c>
      <c r="P34" s="6"/>
      <c r="Q34" s="6"/>
    </row>
    <row r="35" s="21" customFormat="1" ht="20" customHeight="1" spans="1:17">
      <c r="A35" s="27">
        <v>46099</v>
      </c>
      <c r="B35" s="6"/>
      <c r="C35" s="28"/>
      <c r="D35" s="5" t="s">
        <v>196</v>
      </c>
      <c r="E35" s="5" t="s">
        <v>197</v>
      </c>
      <c r="F35" s="6">
        <v>150</v>
      </c>
      <c r="G35" s="18" t="s">
        <v>181</v>
      </c>
      <c r="H35" s="6">
        <f ca="1" t="array" ref="H35">INDEX(成本核算表!J:J,MATCH(1,(成本核算表!D:D=E35)*(成本核算表!C:C=G35),0))</f>
        <v>9</v>
      </c>
      <c r="I35" s="6">
        <v>3198</v>
      </c>
      <c r="J35" s="6">
        <f ca="1" t="shared" si="0"/>
        <v>28782</v>
      </c>
      <c r="K35" s="6"/>
      <c r="L35" s="6"/>
      <c r="M35" s="6"/>
      <c r="N35" s="6">
        <f ca="1" t="shared" si="1"/>
        <v>28782</v>
      </c>
      <c r="O35" s="6">
        <f ca="1" t="shared" si="2"/>
        <v>7.995</v>
      </c>
      <c r="P35" s="6"/>
      <c r="Q35" s="6"/>
    </row>
    <row r="36" s="21" customFormat="1" ht="20" customHeight="1" spans="1:17">
      <c r="A36" s="27">
        <v>46100</v>
      </c>
      <c r="B36" s="6">
        <v>9.5</v>
      </c>
      <c r="C36" s="28">
        <f ca="1">SUM(O36:O37)/B36</f>
        <v>0.833859649122807</v>
      </c>
      <c r="D36" s="5" t="s">
        <v>196</v>
      </c>
      <c r="E36" s="5" t="s">
        <v>197</v>
      </c>
      <c r="F36" s="6">
        <v>150</v>
      </c>
      <c r="G36" s="18" t="s">
        <v>181</v>
      </c>
      <c r="H36" s="6">
        <f ca="1" t="array" ref="H36">INDEX(成本核算表!J:J,MATCH(1,(成本核算表!D:D=E36)*(成本核算表!C:C=G36),0))</f>
        <v>9</v>
      </c>
      <c r="I36" s="6">
        <v>2766</v>
      </c>
      <c r="J36" s="6">
        <f ca="1" t="shared" si="0"/>
        <v>24894</v>
      </c>
      <c r="K36" s="6"/>
      <c r="L36" s="6"/>
      <c r="M36" s="6"/>
      <c r="N36" s="6">
        <f ca="1" t="shared" si="1"/>
        <v>24894</v>
      </c>
      <c r="O36" s="6">
        <f ca="1" t="shared" si="2"/>
        <v>6.915</v>
      </c>
      <c r="P36" s="6"/>
      <c r="Q36" s="6"/>
    </row>
    <row r="37" s="21" customFormat="1" ht="20" customHeight="1" spans="1:17">
      <c r="A37" s="27">
        <v>46100</v>
      </c>
      <c r="B37" s="6"/>
      <c r="C37" s="28"/>
      <c r="D37" s="5" t="s">
        <v>198</v>
      </c>
      <c r="E37" s="5" t="s">
        <v>186</v>
      </c>
      <c r="F37" s="6">
        <v>51.1</v>
      </c>
      <c r="G37" s="18" t="s">
        <v>181</v>
      </c>
      <c r="H37" s="6">
        <f ca="1" t="array" ref="H37">INDEX(成本核算表!J:J,MATCH(1,(成本核算表!D:D=E37)*(成本核算表!C:C=G37),0))</f>
        <v>12</v>
      </c>
      <c r="I37" s="6">
        <v>302</v>
      </c>
      <c r="J37" s="6">
        <f ca="1" t="shared" si="0"/>
        <v>3624</v>
      </c>
      <c r="K37" s="6"/>
      <c r="L37" s="6"/>
      <c r="M37" s="6"/>
      <c r="N37" s="6">
        <f ca="1" t="shared" si="1"/>
        <v>3624</v>
      </c>
      <c r="O37" s="6">
        <f ca="1" t="shared" si="2"/>
        <v>1.00666666666667</v>
      </c>
      <c r="P37" s="6"/>
      <c r="Q37" s="6"/>
    </row>
    <row r="38" s="21" customFormat="1" ht="20" customHeight="1" spans="1:17">
      <c r="A38" s="27">
        <v>46101</v>
      </c>
      <c r="B38" s="6">
        <v>9.5</v>
      </c>
      <c r="C38" s="28">
        <f ca="1">SUM(O38:O39)/B38</f>
        <v>0.945263157894737</v>
      </c>
      <c r="D38" s="5" t="s">
        <v>198</v>
      </c>
      <c r="E38" s="5" t="s">
        <v>186</v>
      </c>
      <c r="F38" s="6">
        <v>51.1</v>
      </c>
      <c r="G38" s="18" t="s">
        <v>181</v>
      </c>
      <c r="H38" s="6">
        <f ca="1" t="array" ref="H38">INDEX(成本核算表!J:J,MATCH(1,(成本核算表!D:D=E38)*(成本核算表!C:C=G38),0))</f>
        <v>12</v>
      </c>
      <c r="I38" s="6">
        <v>2694</v>
      </c>
      <c r="J38" s="6">
        <f ca="1" t="shared" si="0"/>
        <v>32328</v>
      </c>
      <c r="K38" s="6"/>
      <c r="L38" s="6"/>
      <c r="M38" s="6"/>
      <c r="N38" s="6">
        <f ca="1" t="shared" si="1"/>
        <v>32328</v>
      </c>
      <c r="O38" s="6">
        <f ca="1" t="shared" si="2"/>
        <v>8.98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0"/>
        <v>0</v>
      </c>
      <c r="K39" s="6"/>
      <c r="L39" s="6"/>
      <c r="M39" s="6"/>
      <c r="N39" s="6">
        <f ca="1" t="shared" si="1"/>
        <v>0</v>
      </c>
      <c r="O39" s="6">
        <f ca="1" t="shared" si="2"/>
        <v>0</v>
      </c>
      <c r="P39" s="6"/>
      <c r="Q39" s="6"/>
    </row>
    <row r="40" s="21" customFormat="1" ht="20" customHeight="1" spans="1:17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6"/>
      <c r="J40" s="6">
        <f ca="1" t="shared" si="0"/>
        <v>0</v>
      </c>
      <c r="K40" s="6"/>
      <c r="L40" s="6"/>
      <c r="M40" s="6"/>
      <c r="N40" s="6">
        <f ca="1" t="shared" si="1"/>
        <v>0</v>
      </c>
      <c r="O40" s="6">
        <f ca="1" t="shared" si="2"/>
        <v>0</v>
      </c>
      <c r="P40" s="6"/>
      <c r="Q40" s="6"/>
    </row>
    <row r="41" s="21" customFormat="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0"/>
        <v>0</v>
      </c>
      <c r="K41" s="6"/>
      <c r="L41" s="6"/>
      <c r="M41" s="6"/>
      <c r="N41" s="6">
        <f ca="1" t="shared" si="1"/>
        <v>0</v>
      </c>
      <c r="O41" s="6">
        <f ca="1" t="shared" si="2"/>
        <v>0</v>
      </c>
      <c r="P41" s="6"/>
      <c r="Q41" s="6"/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0"/>
        <v>0</v>
      </c>
      <c r="K42" s="23"/>
      <c r="L42" s="23"/>
      <c r="N42" s="6">
        <f ca="1" t="shared" si="1"/>
        <v>0</v>
      </c>
      <c r="O42" s="6">
        <f ca="1" t="shared" si="2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0"/>
        <v>0</v>
      </c>
      <c r="K43" s="23"/>
      <c r="L43" s="23"/>
      <c r="N43" s="6">
        <f ca="1" t="shared" si="1"/>
        <v>0</v>
      </c>
      <c r="O43" s="6">
        <f ca="1" t="shared" si="2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0"/>
        <v>0</v>
      </c>
      <c r="K44" s="23"/>
      <c r="L44" s="23"/>
      <c r="N44" s="6">
        <f ca="1" t="shared" si="1"/>
        <v>0</v>
      </c>
      <c r="O44" s="6">
        <f ca="1" t="shared" si="2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0"/>
        <v>0</v>
      </c>
      <c r="K45" s="23"/>
      <c r="L45" s="23"/>
      <c r="N45" s="6">
        <f ca="1" t="shared" si="1"/>
        <v>0</v>
      </c>
      <c r="O45" s="6">
        <f ca="1" t="shared" si="2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0"/>
        <v>0</v>
      </c>
      <c r="K46" s="23"/>
      <c r="L46" s="23"/>
      <c r="N46" s="6">
        <f ca="1" t="shared" si="1"/>
        <v>0</v>
      </c>
      <c r="O46" s="6">
        <f ca="1" t="shared" si="2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0"/>
        <v>0</v>
      </c>
      <c r="K47" s="23"/>
      <c r="L47" s="23"/>
      <c r="N47" s="6">
        <f ca="1" t="shared" si="1"/>
        <v>0</v>
      </c>
      <c r="O47" s="6">
        <f ca="1" t="shared" si="2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0"/>
        <v>0</v>
      </c>
      <c r="K48" s="23"/>
      <c r="L48" s="23"/>
      <c r="N48" s="6">
        <f ca="1" t="shared" si="1"/>
        <v>0</v>
      </c>
      <c r="O48" s="6">
        <f ca="1" t="shared" si="2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0"/>
        <v>0</v>
      </c>
      <c r="K49" s="23"/>
      <c r="L49" s="23"/>
      <c r="N49" s="6">
        <f ca="1" t="shared" si="1"/>
        <v>0</v>
      </c>
      <c r="O49" s="6">
        <f ca="1" t="shared" si="2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0"/>
        <v>0</v>
      </c>
      <c r="K50" s="23"/>
      <c r="L50" s="23"/>
      <c r="N50" s="6">
        <f ca="1" t="shared" si="1"/>
        <v>0</v>
      </c>
      <c r="O50" s="6">
        <f ca="1" t="shared" si="2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0"/>
        <v>0</v>
      </c>
      <c r="K51" s="23"/>
      <c r="L51" s="23"/>
      <c r="N51" s="6">
        <f ca="1" t="shared" si="1"/>
        <v>0</v>
      </c>
      <c r="O51" s="6">
        <f ca="1" t="shared" si="2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0"/>
        <v>0</v>
      </c>
      <c r="K52" s="23"/>
      <c r="L52" s="23"/>
      <c r="N52" s="6">
        <f ca="1" t="shared" si="1"/>
        <v>0</v>
      </c>
      <c r="O52" s="6">
        <f ca="1" t="shared" si="2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0"/>
        <v>0</v>
      </c>
      <c r="K53" s="23"/>
      <c r="L53" s="23"/>
      <c r="N53" s="6">
        <f ca="1" t="shared" si="1"/>
        <v>0</v>
      </c>
      <c r="O53" s="6">
        <f ca="1" t="shared" si="2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0"/>
        <v>0</v>
      </c>
      <c r="K54" s="23"/>
      <c r="L54" s="23"/>
      <c r="N54" s="6">
        <f ca="1" t="shared" si="1"/>
        <v>0</v>
      </c>
      <c r="O54" s="6">
        <f ca="1" t="shared" si="2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0"/>
        <v>0</v>
      </c>
      <c r="K55" s="23"/>
      <c r="L55" s="23"/>
      <c r="N55" s="6">
        <f ca="1" t="shared" si="1"/>
        <v>0</v>
      </c>
      <c r="O55" s="6">
        <f ca="1" t="shared" si="2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0"/>
        <v>0</v>
      </c>
      <c r="K56" s="23"/>
      <c r="L56" s="23"/>
      <c r="N56" s="6">
        <f ca="1" t="shared" si="1"/>
        <v>0</v>
      </c>
      <c r="O56" s="6">
        <f ca="1" t="shared" si="2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0"/>
        <v>0</v>
      </c>
      <c r="K57" s="23"/>
      <c r="L57" s="23"/>
      <c r="N57" s="6">
        <f ca="1" t="shared" si="1"/>
        <v>0</v>
      </c>
      <c r="O57" s="6">
        <f ca="1" t="shared" si="2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0"/>
        <v>0</v>
      </c>
      <c r="K58" s="23"/>
      <c r="L58" s="23"/>
      <c r="N58" s="6">
        <f ca="1" t="shared" si="1"/>
        <v>0</v>
      </c>
      <c r="O58" s="6">
        <f ca="1" t="shared" si="2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0"/>
        <v>0</v>
      </c>
      <c r="K59" s="23"/>
      <c r="L59" s="23"/>
      <c r="N59" s="6">
        <f ca="1" t="shared" si="1"/>
        <v>0</v>
      </c>
      <c r="O59" s="6">
        <f ca="1" t="shared" si="2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0"/>
        <v>0</v>
      </c>
      <c r="K60" s="23"/>
      <c r="L60" s="23"/>
      <c r="N60" s="6">
        <f ca="1" t="shared" si="1"/>
        <v>0</v>
      </c>
      <c r="O60" s="6">
        <f ca="1" t="shared" si="2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0"/>
        <v>0</v>
      </c>
      <c r="K61" s="23"/>
      <c r="L61" s="23"/>
      <c r="N61" s="6">
        <f ca="1" t="shared" si="1"/>
        <v>0</v>
      </c>
      <c r="O61" s="6">
        <f ca="1" t="shared" si="2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0"/>
        <v>0</v>
      </c>
      <c r="K62" s="23"/>
      <c r="L62" s="23"/>
      <c r="N62" s="6">
        <f ca="1" t="shared" si="1"/>
        <v>0</v>
      </c>
      <c r="O62" s="6">
        <f ca="1" t="shared" si="2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0"/>
        <v>0</v>
      </c>
      <c r="K63" s="23"/>
      <c r="L63" s="23"/>
      <c r="N63" s="6">
        <f ca="1" t="shared" si="1"/>
        <v>0</v>
      </c>
      <c r="O63" s="6">
        <f ca="1" t="shared" si="2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0"/>
        <v>0</v>
      </c>
      <c r="K64" s="23"/>
      <c r="L64" s="23"/>
      <c r="N64" s="6">
        <f ca="1" t="shared" si="1"/>
        <v>0</v>
      </c>
      <c r="O64" s="6">
        <f ca="1" t="shared" si="2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0"/>
        <v>0</v>
      </c>
      <c r="K65" s="23"/>
      <c r="L65" s="23"/>
      <c r="N65" s="6">
        <f ca="1" t="shared" si="1"/>
        <v>0</v>
      </c>
      <c r="O65" s="6">
        <f ca="1" t="shared" si="2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101" si="6">H66*I66</f>
        <v>0</v>
      </c>
      <c r="K66" s="23"/>
      <c r="L66" s="23"/>
      <c r="N66" s="6">
        <f ca="1" t="shared" ref="N66:N101" si="7">J66-M66+L66</f>
        <v>0</v>
      </c>
      <c r="O66" s="6">
        <f ca="1" t="shared" ref="O66:O101" si="8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6"/>
        <v>0</v>
      </c>
      <c r="K67" s="23"/>
      <c r="L67" s="23"/>
      <c r="N67" s="6">
        <f ca="1" t="shared" si="7"/>
        <v>0</v>
      </c>
      <c r="O67" s="6">
        <f ca="1" t="shared" si="8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6"/>
        <v>0</v>
      </c>
      <c r="K68" s="23"/>
      <c r="L68" s="23"/>
      <c r="N68" s="6">
        <f ca="1" t="shared" si="7"/>
        <v>0</v>
      </c>
      <c r="O68" s="6">
        <f ca="1" t="shared" si="8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6"/>
        <v>0</v>
      </c>
      <c r="K69" s="23"/>
      <c r="L69" s="23"/>
      <c r="N69" s="6">
        <f ca="1" t="shared" si="7"/>
        <v>0</v>
      </c>
      <c r="O69" s="6">
        <f ca="1" t="shared" si="8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6"/>
        <v>0</v>
      </c>
      <c r="K70" s="23"/>
      <c r="L70" s="23"/>
      <c r="N70" s="6">
        <f ca="1" t="shared" si="7"/>
        <v>0</v>
      </c>
      <c r="O70" s="6">
        <f ca="1" t="shared" si="8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6"/>
        <v>0</v>
      </c>
      <c r="K71" s="23"/>
      <c r="L71" s="23"/>
      <c r="N71" s="6">
        <f ca="1" t="shared" si="7"/>
        <v>0</v>
      </c>
      <c r="O71" s="6">
        <f ca="1" t="shared" si="8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6"/>
        <v>0</v>
      </c>
      <c r="K72" s="23"/>
      <c r="L72" s="23"/>
      <c r="N72" s="6">
        <f ca="1" t="shared" si="7"/>
        <v>0</v>
      </c>
      <c r="O72" s="6">
        <f ca="1" t="shared" si="8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6"/>
        <v>0</v>
      </c>
      <c r="K73" s="23"/>
      <c r="L73" s="23"/>
      <c r="N73" s="6">
        <f ca="1" t="shared" si="7"/>
        <v>0</v>
      </c>
      <c r="O73" s="6">
        <f ca="1" t="shared" si="8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6"/>
        <v>0</v>
      </c>
      <c r="K74" s="23"/>
      <c r="L74" s="23"/>
      <c r="N74" s="6">
        <f ca="1" t="shared" si="7"/>
        <v>0</v>
      </c>
      <c r="O74" s="6">
        <f ca="1" t="shared" si="8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6"/>
        <v>0</v>
      </c>
      <c r="K75" s="23"/>
      <c r="L75" s="23"/>
      <c r="N75" s="6">
        <f ca="1" t="shared" si="7"/>
        <v>0</v>
      </c>
      <c r="O75" s="6">
        <f ca="1" t="shared" si="8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6"/>
        <v>0</v>
      </c>
      <c r="K76" s="23"/>
      <c r="L76" s="23"/>
      <c r="N76" s="6">
        <f ca="1" t="shared" si="7"/>
        <v>0</v>
      </c>
      <c r="O76" s="6">
        <f ca="1" t="shared" si="8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6"/>
        <v>0</v>
      </c>
      <c r="K77" s="23"/>
      <c r="L77" s="23"/>
      <c r="N77" s="6">
        <f ca="1" t="shared" si="7"/>
        <v>0</v>
      </c>
      <c r="O77" s="6">
        <f ca="1" t="shared" si="8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6"/>
        <v>0</v>
      </c>
      <c r="K78" s="23"/>
      <c r="L78" s="23"/>
      <c r="N78" s="6">
        <f ca="1" t="shared" si="7"/>
        <v>0</v>
      </c>
      <c r="O78" s="6">
        <f ca="1" t="shared" si="8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6"/>
        <v>0</v>
      </c>
      <c r="K79" s="23"/>
      <c r="L79" s="23"/>
      <c r="N79" s="6">
        <f ca="1" t="shared" si="7"/>
        <v>0</v>
      </c>
      <c r="O79" s="6">
        <f ca="1" t="shared" si="8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6"/>
        <v>0</v>
      </c>
      <c r="K80" s="23"/>
      <c r="L80" s="23"/>
      <c r="N80" s="6">
        <f ca="1" t="shared" si="7"/>
        <v>0</v>
      </c>
      <c r="O80" s="6">
        <f ca="1" t="shared" si="8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6"/>
        <v>0</v>
      </c>
      <c r="K81" s="23"/>
      <c r="L81" s="23"/>
      <c r="N81" s="6">
        <f ca="1" t="shared" si="7"/>
        <v>0</v>
      </c>
      <c r="O81" s="6">
        <f ca="1" t="shared" si="8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6"/>
        <v>0</v>
      </c>
      <c r="K82" s="23"/>
      <c r="L82" s="23"/>
      <c r="N82" s="6">
        <f ca="1" t="shared" si="7"/>
        <v>0</v>
      </c>
      <c r="O82" s="6">
        <f ca="1" t="shared" si="8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6"/>
        <v>0</v>
      </c>
      <c r="K83" s="23"/>
      <c r="L83" s="23"/>
      <c r="N83" s="6">
        <f ca="1" t="shared" si="7"/>
        <v>0</v>
      </c>
      <c r="O83" s="6">
        <f ca="1" t="shared" si="8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6"/>
        <v>0</v>
      </c>
      <c r="K84" s="23"/>
      <c r="L84" s="23"/>
      <c r="N84" s="6">
        <f ca="1" t="shared" si="7"/>
        <v>0</v>
      </c>
      <c r="O84" s="6">
        <f ca="1" t="shared" si="8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6"/>
        <v>0</v>
      </c>
      <c r="K85" s="23"/>
      <c r="L85" s="23"/>
      <c r="N85" s="6">
        <f ca="1" t="shared" si="7"/>
        <v>0</v>
      </c>
      <c r="O85" s="6">
        <f ca="1" t="shared" si="8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6"/>
        <v>0</v>
      </c>
      <c r="K86" s="23"/>
      <c r="L86" s="23"/>
      <c r="N86" s="6">
        <f ca="1" t="shared" si="7"/>
        <v>0</v>
      </c>
      <c r="O86" s="6">
        <f ca="1" t="shared" si="8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6"/>
        <v>0</v>
      </c>
      <c r="K87" s="23"/>
      <c r="L87" s="23"/>
      <c r="N87" s="6">
        <f ca="1" t="shared" si="7"/>
        <v>0</v>
      </c>
      <c r="O87" s="6">
        <f ca="1" t="shared" si="8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6"/>
        <v>0</v>
      </c>
      <c r="K88" s="23"/>
      <c r="L88" s="23"/>
      <c r="N88" s="6">
        <f ca="1" t="shared" si="7"/>
        <v>0</v>
      </c>
      <c r="O88" s="6">
        <f ca="1" t="shared" si="8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6"/>
        <v>0</v>
      </c>
      <c r="K89" s="23"/>
      <c r="L89" s="23"/>
      <c r="N89" s="6">
        <f ca="1" t="shared" si="7"/>
        <v>0</v>
      </c>
      <c r="O89" s="6">
        <f ca="1" t="shared" si="8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6"/>
        <v>0</v>
      </c>
      <c r="K90" s="23"/>
      <c r="L90" s="23"/>
      <c r="N90" s="6">
        <f ca="1" t="shared" si="7"/>
        <v>0</v>
      </c>
      <c r="O90" s="6">
        <f ca="1" t="shared" si="8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6"/>
        <v>0</v>
      </c>
      <c r="K91" s="23"/>
      <c r="L91" s="23"/>
      <c r="N91" s="6">
        <f ca="1" t="shared" si="7"/>
        <v>0</v>
      </c>
      <c r="O91" s="6">
        <f ca="1" t="shared" si="8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6"/>
        <v>0</v>
      </c>
      <c r="K92" s="23"/>
      <c r="L92" s="23"/>
      <c r="N92" s="6">
        <f ca="1" t="shared" si="7"/>
        <v>0</v>
      </c>
      <c r="O92" s="6">
        <f ca="1" t="shared" si="8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6"/>
        <v>0</v>
      </c>
      <c r="K93" s="23"/>
      <c r="L93" s="23"/>
      <c r="N93" s="6">
        <f ca="1" t="shared" si="7"/>
        <v>0</v>
      </c>
      <c r="O93" s="6">
        <f ca="1" t="shared" si="8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6"/>
        <v>0</v>
      </c>
      <c r="K94" s="23"/>
      <c r="L94" s="23"/>
      <c r="N94" s="6">
        <f ca="1" t="shared" si="7"/>
        <v>0</v>
      </c>
      <c r="O94" s="6">
        <f ca="1" t="shared" si="8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6"/>
        <v>0</v>
      </c>
      <c r="K95" s="23"/>
      <c r="L95" s="23"/>
      <c r="N95" s="6">
        <f ca="1" t="shared" si="7"/>
        <v>0</v>
      </c>
      <c r="O95" s="6">
        <f ca="1" t="shared" si="8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6"/>
        <v>0</v>
      </c>
      <c r="K96" s="23"/>
      <c r="L96" s="23"/>
      <c r="N96" s="6">
        <f ca="1" t="shared" si="7"/>
        <v>0</v>
      </c>
      <c r="O96" s="6">
        <f ca="1" t="shared" si="8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6"/>
        <v>0</v>
      </c>
      <c r="K97" s="23"/>
      <c r="L97" s="23"/>
      <c r="N97" s="6">
        <f ca="1" t="shared" si="7"/>
        <v>0</v>
      </c>
      <c r="O97" s="6">
        <f ca="1" t="shared" si="8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6"/>
        <v>0</v>
      </c>
      <c r="K98" s="23"/>
      <c r="L98" s="23"/>
      <c r="N98" s="6">
        <f ca="1" t="shared" si="7"/>
        <v>0</v>
      </c>
      <c r="O98" s="6">
        <f ca="1" t="shared" si="8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6"/>
        <v>0</v>
      </c>
      <c r="K99" s="23"/>
      <c r="L99" s="23"/>
      <c r="N99" s="6">
        <f ca="1" t="shared" si="7"/>
        <v>0</v>
      </c>
      <c r="O99" s="6">
        <f ca="1" t="shared" si="8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6"/>
        <v>0</v>
      </c>
      <c r="K100" s="23"/>
      <c r="L100" s="23"/>
      <c r="N100" s="6">
        <f ca="1" t="shared" si="7"/>
        <v>0</v>
      </c>
      <c r="O100" s="6">
        <f ca="1" t="shared" si="8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6"/>
        <v>0</v>
      </c>
      <c r="K101" s="23"/>
      <c r="L101" s="23"/>
      <c r="N101" s="6">
        <f ca="1" t="shared" si="7"/>
        <v>0</v>
      </c>
      <c r="O101" s="6">
        <f ca="1" t="shared" si="8"/>
        <v>0</v>
      </c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6">
        <f ca="1" t="array" ref="H102">INDEX(成本核算表!J:J,MATCH(1,(成本核算表!D:D=E102)*(成本核算表!C:C=G102),0))</f>
        <v>0</v>
      </c>
      <c r="I102" s="6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6">
        <f ca="1" t="array" ref="H103">INDEX(成本核算表!J:J,MATCH(1,(成本核算表!D:D=E103)*(成本核算表!C:C=G103),0))</f>
        <v>0</v>
      </c>
      <c r="I103" s="6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6">
        <f ca="1" t="array" ref="H104">INDEX(成本核算表!J:J,MATCH(1,(成本核算表!D:D=E104)*(成本核算表!C:C=G104),0))</f>
        <v>0</v>
      </c>
      <c r="I104" s="6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6">
        <f ca="1" t="array" ref="H105">INDEX(成本核算表!J:J,MATCH(1,(成本核算表!D:D=E105)*(成本核算表!C:C=G105),0))</f>
        <v>0</v>
      </c>
      <c r="I105" s="6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6">
        <f ca="1" t="array" ref="H106">INDEX(成本核算表!J:J,MATCH(1,(成本核算表!D:D=E106)*(成本核算表!C:C=G106),0))</f>
        <v>0</v>
      </c>
      <c r="I106" s="6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6">
        <f ca="1" t="array" ref="H107">INDEX(成本核算表!J:J,MATCH(1,(成本核算表!D:D=E107)*(成本核算表!C:C=G107),0))</f>
        <v>0</v>
      </c>
      <c r="I107" s="6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6">
        <f ca="1" t="array" ref="H108">INDEX(成本核算表!J:J,MATCH(1,(成本核算表!D:D=E108)*(成本核算表!C:C=G108),0))</f>
        <v>0</v>
      </c>
      <c r="I108" s="6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6">
        <f ca="1" t="array" ref="H109">INDEX(成本核算表!J:J,MATCH(1,(成本核算表!D:D=E109)*(成本核算表!C:C=G109),0))</f>
        <v>0</v>
      </c>
      <c r="I109" s="6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6">
        <f ca="1" t="array" ref="H110">INDEX(成本核算表!J:J,MATCH(1,(成本核算表!D:D=E110)*(成本核算表!C:C=G110),0))</f>
        <v>0</v>
      </c>
      <c r="I110" s="6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6">
        <f ca="1" t="array" ref="H111">INDEX(成本核算表!J:J,MATCH(1,(成本核算表!D:D=E111)*(成本核算表!C:C=G111),0))</f>
        <v>0</v>
      </c>
      <c r="I111" s="6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6">
        <f ca="1" t="array" ref="H112">INDEX(成本核算表!J:J,MATCH(1,(成本核算表!D:D=E112)*(成本核算表!C:C=G112),0))</f>
        <v>0</v>
      </c>
      <c r="I112" s="6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6">
        <f ca="1" t="array" ref="H113">INDEX(成本核算表!J:J,MATCH(1,(成本核算表!D:D=E113)*(成本核算表!C:C=G113),0))</f>
        <v>0</v>
      </c>
      <c r="I113" s="6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6">
        <f ca="1" t="array" ref="H114">INDEX(成本核算表!J:J,MATCH(1,(成本核算表!D:D=E114)*(成本核算表!C:C=G114),0))</f>
        <v>0</v>
      </c>
      <c r="I114" s="6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6">
        <f ca="1" t="array" ref="H115">INDEX(成本核算表!J:J,MATCH(1,(成本核算表!D:D=E115)*(成本核算表!C:C=G115),0))</f>
        <v>0</v>
      </c>
      <c r="I115" s="6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6">
        <f ca="1" t="array" ref="H116">INDEX(成本核算表!J:J,MATCH(1,(成本核算表!D:D=E116)*(成本核算表!C:C=G116),0))</f>
        <v>0</v>
      </c>
      <c r="I116" s="6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6">
        <f ca="1" t="array" ref="H117">INDEX(成本核算表!J:J,MATCH(1,(成本核算表!D:D=E117)*(成本核算表!C:C=G117),0))</f>
        <v>0</v>
      </c>
      <c r="I117" s="6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6">
        <f ca="1" t="array" ref="H118">INDEX(成本核算表!J:J,MATCH(1,(成本核算表!D:D=E118)*(成本核算表!C:C=G118),0))</f>
        <v>0</v>
      </c>
      <c r="I118" s="6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6">
        <f ca="1" t="array" ref="H119">INDEX(成本核算表!J:J,MATCH(1,(成本核算表!D:D=E119)*(成本核算表!C:C=G119),0))</f>
        <v>0</v>
      </c>
      <c r="I119" s="6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  <row r="180" s="21" customFormat="1" customHeight="1" spans="1:12">
      <c r="A180" s="22"/>
      <c r="B180" s="23"/>
      <c r="C180" s="24"/>
      <c r="D180" s="23"/>
      <c r="E180" s="23"/>
      <c r="F180" s="23"/>
      <c r="G180" s="23"/>
      <c r="H180" s="25"/>
      <c r="I180" s="25"/>
      <c r="J180" s="23"/>
      <c r="K180" s="23"/>
      <c r="L180" s="23"/>
    </row>
    <row r="181" s="21" customFormat="1" customHeight="1" spans="1:12">
      <c r="A181" s="22"/>
      <c r="B181" s="23"/>
      <c r="C181" s="24"/>
      <c r="D181" s="23"/>
      <c r="E181" s="23"/>
      <c r="F181" s="23"/>
      <c r="G181" s="23"/>
      <c r="H181" s="25"/>
      <c r="I181" s="25"/>
      <c r="J181" s="23"/>
      <c r="K181" s="23"/>
      <c r="L181" s="23"/>
    </row>
    <row r="182" s="21" customFormat="1" customHeight="1" spans="1:12">
      <c r="A182" s="22"/>
      <c r="B182" s="23"/>
      <c r="C182" s="24"/>
      <c r="D182" s="23"/>
      <c r="E182" s="23"/>
      <c r="F182" s="23"/>
      <c r="G182" s="23"/>
      <c r="H182" s="25"/>
      <c r="I182" s="25"/>
      <c r="J182" s="23"/>
      <c r="K182" s="23"/>
      <c r="L182" s="23"/>
    </row>
    <row r="183" s="21" customFormat="1" customHeight="1" spans="1:12">
      <c r="A183" s="22"/>
      <c r="B183" s="23"/>
      <c r="C183" s="24"/>
      <c r="D183" s="23"/>
      <c r="E183" s="23"/>
      <c r="F183" s="23"/>
      <c r="G183" s="23"/>
      <c r="H183" s="25"/>
      <c r="I183" s="25"/>
      <c r="J183" s="23"/>
      <c r="K183" s="23"/>
      <c r="L183" s="23"/>
    </row>
    <row r="184" s="21" customFormat="1" customHeight="1" spans="1:12">
      <c r="A184" s="22"/>
      <c r="B184" s="23"/>
      <c r="C184" s="24"/>
      <c r="D184" s="23"/>
      <c r="E184" s="23"/>
      <c r="F184" s="23"/>
      <c r="G184" s="23"/>
      <c r="H184" s="25"/>
      <c r="I184" s="25"/>
      <c r="J184" s="23"/>
      <c r="K184" s="23"/>
      <c r="L184" s="23"/>
    </row>
    <row r="185" s="21" customFormat="1" customHeight="1" spans="1:12">
      <c r="A185" s="22"/>
      <c r="B185" s="23"/>
      <c r="C185" s="24"/>
      <c r="D185" s="23"/>
      <c r="E185" s="23"/>
      <c r="F185" s="23"/>
      <c r="G185" s="23"/>
      <c r="H185" s="25"/>
      <c r="I185" s="25"/>
      <c r="J185" s="23"/>
      <c r="K185" s="23"/>
      <c r="L185" s="23"/>
    </row>
    <row r="186" s="21" customFormat="1" customHeight="1" spans="1:12">
      <c r="A186" s="22"/>
      <c r="B186" s="23"/>
      <c r="C186" s="24"/>
      <c r="D186" s="23"/>
      <c r="E186" s="23"/>
      <c r="F186" s="23"/>
      <c r="G186" s="23"/>
      <c r="H186" s="25"/>
      <c r="I186" s="25"/>
      <c r="J186" s="23"/>
      <c r="K186" s="23"/>
      <c r="L186" s="23"/>
    </row>
    <row r="187" s="21" customFormat="1" customHeight="1" spans="1:12">
      <c r="A187" s="22"/>
      <c r="B187" s="23"/>
      <c r="C187" s="24"/>
      <c r="D187" s="23"/>
      <c r="E187" s="23"/>
      <c r="F187" s="23"/>
      <c r="G187" s="23"/>
      <c r="H187" s="25"/>
      <c r="I187" s="25"/>
      <c r="J187" s="23"/>
      <c r="K187" s="23"/>
      <c r="L187" s="23"/>
    </row>
    <row r="188" s="21" customFormat="1" customHeight="1" spans="1:12">
      <c r="A188" s="22"/>
      <c r="B188" s="23"/>
      <c r="C188" s="24"/>
      <c r="D188" s="23"/>
      <c r="E188" s="23"/>
      <c r="F188" s="23"/>
      <c r="G188" s="23"/>
      <c r="H188" s="25"/>
      <c r="I188" s="25"/>
      <c r="J188" s="23"/>
      <c r="K188" s="23"/>
      <c r="L188" s="23"/>
    </row>
    <row r="189" s="21" customFormat="1" customHeight="1" spans="1:12">
      <c r="A189" s="22"/>
      <c r="B189" s="23"/>
      <c r="C189" s="24"/>
      <c r="D189" s="23"/>
      <c r="E189" s="23"/>
      <c r="F189" s="23"/>
      <c r="G189" s="23"/>
      <c r="H189" s="25"/>
      <c r="I189" s="25"/>
      <c r="J189" s="23"/>
      <c r="K189" s="23"/>
      <c r="L189" s="23"/>
    </row>
    <row r="239" s="21" customFormat="1" customHeight="1" spans="1:12">
      <c r="A239" s="22"/>
      <c r="B239" s="23"/>
      <c r="C239" s="24"/>
      <c r="D239" s="23"/>
      <c r="E239" s="23"/>
      <c r="F239" s="23"/>
      <c r="G239" s="23"/>
      <c r="H239" s="25"/>
      <c r="I239" s="25"/>
      <c r="J239" s="23"/>
      <c r="K239" s="23"/>
      <c r="L239" s="23"/>
    </row>
    <row r="240" s="21" customFormat="1" customHeight="1" spans="1:12">
      <c r="A240" s="22"/>
      <c r="B240" s="23"/>
      <c r="C240" s="24"/>
      <c r="D240" s="23"/>
      <c r="E240" s="23"/>
      <c r="F240" s="23"/>
      <c r="G240" s="23"/>
      <c r="H240" s="25"/>
      <c r="I240" s="25"/>
      <c r="J240" s="23"/>
      <c r="K240" s="23"/>
      <c r="L240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Q229"/>
  <sheetViews>
    <sheetView workbookViewId="0">
      <pane ySplit="1" topLeftCell="A2" activePane="bottomLeft" state="frozen"/>
      <selection/>
      <selection pane="bottomLeft" activeCell="L10" sqref="L10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1" width="12.625" style="23"/>
    <col min="12" max="12" width="9" style="23"/>
    <col min="13" max="15" width="12.625" style="21"/>
    <col min="16" max="16384" width="9" style="21"/>
  </cols>
  <sheetData>
    <row r="1" s="21" customFormat="1" ht="27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9.5</v>
      </c>
      <c r="C2" s="28">
        <f ca="1">O2/B2</f>
        <v>1.62385964912281</v>
      </c>
      <c r="D2" s="6" t="s">
        <v>20</v>
      </c>
      <c r="E2" s="6" t="s">
        <v>18</v>
      </c>
      <c r="F2" s="6">
        <v>1942</v>
      </c>
      <c r="G2" s="6" t="s">
        <v>19</v>
      </c>
      <c r="H2" s="6">
        <f ca="1" t="array" ref="H2">INDEX(成本核算表!J:J,MATCH(1,(成本核算表!D:D=E2)*(成本核算表!C:C=G2),0))</f>
        <v>48</v>
      </c>
      <c r="I2" s="6">
        <f>1157</f>
        <v>1157</v>
      </c>
      <c r="J2" s="6">
        <f ca="1">H2*I2</f>
        <v>55536</v>
      </c>
      <c r="K2" s="6"/>
      <c r="L2" s="6"/>
      <c r="M2" s="6">
        <f ca="1">K2*H2</f>
        <v>0</v>
      </c>
      <c r="N2" s="6">
        <f ca="1">J2-M2+L2</f>
        <v>55536</v>
      </c>
      <c r="O2" s="6">
        <f ca="1">N2/3600</f>
        <v>15.4266666666667</v>
      </c>
      <c r="P2" s="6"/>
      <c r="Q2" s="6"/>
    </row>
    <row r="3" s="21" customFormat="1" ht="20" customHeight="1" spans="1:17">
      <c r="A3" s="27">
        <v>46083</v>
      </c>
      <c r="B3" s="6">
        <v>11</v>
      </c>
      <c r="C3" s="28">
        <f ca="1">SUM(O3:O4)/B3</f>
        <v>1.14646464646465</v>
      </c>
      <c r="D3" s="5" t="s">
        <v>17</v>
      </c>
      <c r="E3" s="6" t="s">
        <v>18</v>
      </c>
      <c r="F3" s="6">
        <v>1942</v>
      </c>
      <c r="G3" s="5" t="s">
        <v>30</v>
      </c>
      <c r="H3" s="6">
        <f ca="1" t="array" ref="H3">INDEX(成本核算表!J:J,MATCH(1,(成本核算表!D:D=E3)*(成本核算表!C:C=G3),0))</f>
        <v>40</v>
      </c>
      <c r="I3" s="6">
        <v>507</v>
      </c>
      <c r="J3" s="6">
        <f ca="1">H3*I3</f>
        <v>20280</v>
      </c>
      <c r="K3" s="6"/>
      <c r="L3" s="6"/>
      <c r="M3" s="6">
        <f ca="1">K3*H3</f>
        <v>0</v>
      </c>
      <c r="N3" s="6">
        <f ca="1">J3-M3+L3</f>
        <v>20280</v>
      </c>
      <c r="O3" s="6">
        <f ca="1">N3/3600</f>
        <v>5.63333333333333</v>
      </c>
      <c r="P3" s="6"/>
      <c r="Q3" s="6"/>
    </row>
    <row r="4" s="21" customFormat="1" ht="20" customHeight="1" spans="1:17">
      <c r="A4" s="27">
        <v>46083</v>
      </c>
      <c r="B4" s="6"/>
      <c r="C4" s="28"/>
      <c r="D4" s="5" t="s">
        <v>20</v>
      </c>
      <c r="E4" s="6" t="s">
        <v>18</v>
      </c>
      <c r="F4" s="6">
        <v>1942</v>
      </c>
      <c r="G4" s="5" t="s">
        <v>30</v>
      </c>
      <c r="H4" s="6">
        <f ca="1" t="array" ref="H4">INDEX(成本核算表!J:J,MATCH(1,(成本核算表!D:D=E4)*(成本核算表!C:C=G4),0))</f>
        <v>40</v>
      </c>
      <c r="I4" s="6">
        <v>628</v>
      </c>
      <c r="J4" s="6">
        <f ca="1">H4*I4</f>
        <v>25120</v>
      </c>
      <c r="K4" s="6"/>
      <c r="L4" s="6"/>
      <c r="M4" s="6">
        <f ca="1">K4*H4</f>
        <v>0</v>
      </c>
      <c r="N4" s="6">
        <f ca="1">J4-M4+L4</f>
        <v>25120</v>
      </c>
      <c r="O4" s="6">
        <f ca="1">N4/3600</f>
        <v>6.97777777777778</v>
      </c>
      <c r="P4" s="6"/>
      <c r="Q4" s="6"/>
    </row>
    <row r="5" s="21" customFormat="1" ht="20" customHeight="1" spans="1:17">
      <c r="A5" s="27">
        <v>46084</v>
      </c>
      <c r="B5" s="6">
        <v>11</v>
      </c>
      <c r="C5" s="28">
        <f ca="1">SUM(O5:O6)/B5</f>
        <v>0.40479797979798</v>
      </c>
      <c r="D5" s="5" t="s">
        <v>62</v>
      </c>
      <c r="E5" s="5" t="s">
        <v>55</v>
      </c>
      <c r="F5" s="6">
        <v>950</v>
      </c>
      <c r="G5" s="5" t="s">
        <v>126</v>
      </c>
      <c r="H5" s="6">
        <f ca="1" t="array" ref="H5">INDEX(成本核算表!J:J,MATCH(1,(成本核算表!D:D=E5)*(成本核算表!C:C=G5),0))</f>
        <v>20</v>
      </c>
      <c r="I5" s="6">
        <f>1105/2</f>
        <v>552.5</v>
      </c>
      <c r="J5" s="6">
        <f ca="1" t="shared" ref="J3:J63" si="0">H5*I5</f>
        <v>11050</v>
      </c>
      <c r="K5" s="6"/>
      <c r="L5" s="6"/>
      <c r="M5" s="6">
        <f ca="1" t="shared" ref="M3:M63" si="1">K5*H5</f>
        <v>0</v>
      </c>
      <c r="N5" s="6">
        <f ca="1" t="shared" ref="N3:N63" si="2">J5-M5+L5</f>
        <v>11050</v>
      </c>
      <c r="O5" s="6">
        <f ca="1" t="shared" ref="O3:O63" si="3">N5/3600</f>
        <v>3.06944444444444</v>
      </c>
      <c r="P5" s="6"/>
      <c r="Q5" s="6"/>
    </row>
    <row r="6" s="21" customFormat="1" ht="20" customHeight="1" spans="1:17">
      <c r="A6" s="27">
        <v>46084</v>
      </c>
      <c r="B6" s="6"/>
      <c r="C6" s="28"/>
      <c r="D6" s="5"/>
      <c r="E6" s="5" t="s">
        <v>34</v>
      </c>
      <c r="F6" s="6"/>
      <c r="G6" s="5" t="s">
        <v>126</v>
      </c>
      <c r="H6" s="6">
        <f ca="1" t="array" ref="H6">INDEX(成本核算表!J:J,MATCH(1,(成本核算表!D:D=E6)*(成本核算表!C:C=G6),0))</f>
        <v>120</v>
      </c>
      <c r="I6" s="6">
        <f>83/2</f>
        <v>41.5</v>
      </c>
      <c r="J6" s="6">
        <f ca="1" t="shared" si="0"/>
        <v>4980</v>
      </c>
      <c r="K6" s="6"/>
      <c r="L6" s="6"/>
      <c r="M6" s="6">
        <f ca="1" t="shared" si="1"/>
        <v>0</v>
      </c>
      <c r="N6" s="6">
        <f ca="1" t="shared" si="2"/>
        <v>4980</v>
      </c>
      <c r="O6" s="6">
        <f ca="1" t="shared" si="3"/>
        <v>1.38333333333333</v>
      </c>
      <c r="P6" s="6"/>
      <c r="Q6" s="6"/>
    </row>
    <row r="7" s="21" customFormat="1" ht="20" customHeight="1" spans="1:17">
      <c r="A7" s="27">
        <v>46085</v>
      </c>
      <c r="B7" s="6">
        <v>9.5</v>
      </c>
      <c r="C7" s="28">
        <f ca="1" t="shared" ref="C7:C9" si="4">O7/B7</f>
        <v>1</v>
      </c>
      <c r="D7" s="5"/>
      <c r="E7" s="5"/>
      <c r="F7" s="6"/>
      <c r="G7" s="5"/>
      <c r="H7" s="6">
        <f ca="1" t="array" ref="H7">INDEX(成本核算表!J:J,MATCH(1,(成本核算表!D:D=E7)*(成本核算表!C:C=G7),0))</f>
        <v>0</v>
      </c>
      <c r="I7" s="6"/>
      <c r="J7" s="6">
        <f ca="1" t="shared" si="0"/>
        <v>0</v>
      </c>
      <c r="K7" s="6"/>
      <c r="L7" s="6">
        <f>3600*9.5</f>
        <v>34200</v>
      </c>
      <c r="M7" s="6">
        <f ca="1" t="shared" si="1"/>
        <v>0</v>
      </c>
      <c r="N7" s="6">
        <f ca="1" t="shared" si="2"/>
        <v>34200</v>
      </c>
      <c r="O7" s="6">
        <f ca="1" t="shared" si="3"/>
        <v>9.5</v>
      </c>
      <c r="P7" s="6"/>
      <c r="Q7" s="6"/>
    </row>
    <row r="8" s="21" customFormat="1" ht="20" customHeight="1" spans="1:17">
      <c r="A8" s="27">
        <v>46086</v>
      </c>
      <c r="B8" s="6">
        <v>11</v>
      </c>
      <c r="C8" s="28">
        <f ca="1" t="shared" si="4"/>
        <v>1</v>
      </c>
      <c r="D8" s="6"/>
      <c r="E8" s="6"/>
      <c r="F8" s="6"/>
      <c r="G8" s="6"/>
      <c r="H8" s="6">
        <f ca="1" t="array" ref="H8">INDEX(成本核算表!J:J,MATCH(1,(成本核算表!D:D=E8)*(成本核算表!C:C=G8),0))</f>
        <v>0</v>
      </c>
      <c r="I8" s="6"/>
      <c r="J8" s="6">
        <f ca="1" t="shared" si="0"/>
        <v>0</v>
      </c>
      <c r="K8" s="6"/>
      <c r="L8" s="6">
        <v>39600</v>
      </c>
      <c r="M8" s="6">
        <f ca="1" t="shared" si="1"/>
        <v>0</v>
      </c>
      <c r="N8" s="6">
        <f ca="1" t="shared" si="2"/>
        <v>39600</v>
      </c>
      <c r="O8" s="6">
        <f ca="1" t="shared" si="3"/>
        <v>11</v>
      </c>
      <c r="P8" s="6"/>
      <c r="Q8" s="6"/>
    </row>
    <row r="9" s="21" customFormat="1" ht="20" customHeight="1" spans="1:17">
      <c r="A9" s="27">
        <v>46087</v>
      </c>
      <c r="B9" s="6">
        <v>9.5</v>
      </c>
      <c r="C9" s="28">
        <f ca="1" t="shared" si="4"/>
        <v>0.947368421052632</v>
      </c>
      <c r="D9" s="6"/>
      <c r="E9" s="6"/>
      <c r="F9" s="6"/>
      <c r="G9" s="6"/>
      <c r="H9" s="6">
        <f ca="1" t="array" ref="H9">INDEX(成本核算表!J:J,MATCH(1,(成本核算表!D:D=E9)*(成本核算表!C:C=G9),0))</f>
        <v>0</v>
      </c>
      <c r="I9" s="6"/>
      <c r="J9" s="6">
        <f ca="1" t="shared" si="0"/>
        <v>0</v>
      </c>
      <c r="K9" s="6"/>
      <c r="L9" s="6">
        <f>9*3600</f>
        <v>32400</v>
      </c>
      <c r="M9" s="6">
        <f ca="1" t="shared" si="1"/>
        <v>0</v>
      </c>
      <c r="N9" s="6">
        <f ca="1" t="shared" si="2"/>
        <v>32400</v>
      </c>
      <c r="O9" s="6">
        <f ca="1" t="shared" si="3"/>
        <v>9</v>
      </c>
      <c r="P9" s="6"/>
      <c r="Q9" s="6"/>
    </row>
    <row r="10" s="21" customFormat="1" ht="20" customHeight="1" spans="1:17">
      <c r="A10" s="6"/>
      <c r="B10" s="6"/>
      <c r="C10" s="28"/>
      <c r="D10" s="6"/>
      <c r="E10" s="6"/>
      <c r="F10" s="6"/>
      <c r="G10" s="6"/>
      <c r="H10" s="6">
        <f ca="1" t="array" ref="H10">INDEX(成本核算表!J:J,MATCH(1,(成本核算表!D:D=E10)*(成本核算表!C:C=G10),0))</f>
        <v>0</v>
      </c>
      <c r="I10" s="6"/>
      <c r="J10" s="6">
        <f ca="1" t="shared" si="0"/>
        <v>0</v>
      </c>
      <c r="K10" s="6"/>
      <c r="L10" s="6"/>
      <c r="M10" s="6">
        <f ca="1" t="shared" si="1"/>
        <v>0</v>
      </c>
      <c r="N10" s="6">
        <f ca="1" t="shared" si="2"/>
        <v>0</v>
      </c>
      <c r="O10" s="6">
        <f ca="1" t="shared" si="3"/>
        <v>0</v>
      </c>
      <c r="P10" s="6"/>
      <c r="Q10" s="6"/>
    </row>
    <row r="11" s="21" customFormat="1" ht="20" customHeight="1" spans="1:17">
      <c r="A11" s="6"/>
      <c r="B11" s="6"/>
      <c r="C11" s="28"/>
      <c r="D11" s="6"/>
      <c r="E11" s="6"/>
      <c r="F11" s="6"/>
      <c r="G11" s="6"/>
      <c r="H11" s="6">
        <f ca="1" t="array" ref="H11">INDEX(成本核算表!J:J,MATCH(1,(成本核算表!D:D=E11)*(成本核算表!C:C=G11),0))</f>
        <v>0</v>
      </c>
      <c r="I11" s="6"/>
      <c r="J11" s="6">
        <f ca="1" t="shared" si="0"/>
        <v>0</v>
      </c>
      <c r="K11" s="6"/>
      <c r="L11" s="6"/>
      <c r="M11" s="6">
        <f ca="1" t="shared" si="1"/>
        <v>0</v>
      </c>
      <c r="N11" s="6">
        <f ca="1" t="shared" si="2"/>
        <v>0</v>
      </c>
      <c r="O11" s="6">
        <f ca="1" t="shared" si="3"/>
        <v>0</v>
      </c>
      <c r="P11" s="6"/>
      <c r="Q11" s="6"/>
    </row>
    <row r="12" s="21" customFormat="1" ht="20" customHeight="1" spans="1:17">
      <c r="A12" s="6"/>
      <c r="B12" s="6"/>
      <c r="C12" s="28"/>
      <c r="D12" s="6"/>
      <c r="E12" s="6"/>
      <c r="F12" s="6"/>
      <c r="G12" s="6"/>
      <c r="H12" s="6">
        <f ca="1" t="array" ref="H12">INDEX(成本核算表!J:J,MATCH(1,(成本核算表!D:D=E12)*(成本核算表!C:C=G12),0))</f>
        <v>0</v>
      </c>
      <c r="I12" s="6"/>
      <c r="J12" s="6">
        <f ca="1" t="shared" si="0"/>
        <v>0</v>
      </c>
      <c r="K12" s="6"/>
      <c r="L12" s="6"/>
      <c r="M12" s="6">
        <f ca="1" t="shared" si="1"/>
        <v>0</v>
      </c>
      <c r="N12" s="6">
        <f ca="1" t="shared" si="2"/>
        <v>0</v>
      </c>
      <c r="O12" s="6">
        <f ca="1" t="shared" si="3"/>
        <v>0</v>
      </c>
      <c r="P12" s="6"/>
      <c r="Q12" s="6"/>
    </row>
    <row r="13" s="21" customFormat="1" ht="20" customHeight="1" spans="1:17">
      <c r="A13" s="6"/>
      <c r="B13" s="6"/>
      <c r="C13" s="28"/>
      <c r="D13" s="6"/>
      <c r="E13" s="6"/>
      <c r="F13" s="6"/>
      <c r="G13" s="6"/>
      <c r="H13" s="6">
        <f ca="1" t="array" ref="H13">INDEX(成本核算表!J:J,MATCH(1,(成本核算表!D:D=E13)*(成本核算表!C:C=G13),0))</f>
        <v>0</v>
      </c>
      <c r="I13" s="6"/>
      <c r="J13" s="6">
        <f ca="1" t="shared" si="0"/>
        <v>0</v>
      </c>
      <c r="K13" s="6"/>
      <c r="L13" s="6"/>
      <c r="M13" s="6">
        <f ca="1" t="shared" si="1"/>
        <v>0</v>
      </c>
      <c r="N13" s="6">
        <f ca="1" t="shared" si="2"/>
        <v>0</v>
      </c>
      <c r="O13" s="6">
        <f ca="1" t="shared" si="3"/>
        <v>0</v>
      </c>
      <c r="P13" s="6"/>
      <c r="Q13" s="6"/>
    </row>
    <row r="14" s="21" customFormat="1" ht="20" customHeight="1" spans="1:17">
      <c r="A14" s="6"/>
      <c r="B14" s="6"/>
      <c r="C14" s="28"/>
      <c r="D14" s="6"/>
      <c r="E14" s="6"/>
      <c r="F14" s="6"/>
      <c r="G14" s="6"/>
      <c r="H14" s="6">
        <f ca="1" t="array" ref="H14">INDEX(成本核算表!J:J,MATCH(1,(成本核算表!D:D=E14)*(成本核算表!C:C=G14),0))</f>
        <v>0</v>
      </c>
      <c r="I14" s="6"/>
      <c r="J14" s="6">
        <f ca="1" t="shared" si="0"/>
        <v>0</v>
      </c>
      <c r="K14" s="6"/>
      <c r="L14" s="6"/>
      <c r="M14" s="6">
        <f ca="1" t="shared" si="1"/>
        <v>0</v>
      </c>
      <c r="N14" s="6">
        <f ca="1" t="shared" si="2"/>
        <v>0</v>
      </c>
      <c r="O14" s="6">
        <f ca="1" t="shared" si="3"/>
        <v>0</v>
      </c>
      <c r="P14" s="6"/>
      <c r="Q14" s="6"/>
    </row>
    <row r="15" s="21" customFormat="1" ht="20" customHeight="1" spans="1:17">
      <c r="A15" s="6"/>
      <c r="B15" s="6"/>
      <c r="C15" s="28"/>
      <c r="D15" s="6"/>
      <c r="E15" s="6"/>
      <c r="F15" s="6"/>
      <c r="G15" s="6"/>
      <c r="H15" s="6">
        <f ca="1" t="array" ref="H15">INDEX(成本核算表!J:J,MATCH(1,(成本核算表!D:D=E15)*(成本核算表!C:C=G15),0))</f>
        <v>0</v>
      </c>
      <c r="I15" s="6"/>
      <c r="J15" s="6">
        <f ca="1" t="shared" si="0"/>
        <v>0</v>
      </c>
      <c r="K15" s="6"/>
      <c r="L15" s="6"/>
      <c r="M15" s="6">
        <f ca="1" t="shared" si="1"/>
        <v>0</v>
      </c>
      <c r="N15" s="6">
        <f ca="1" t="shared" si="2"/>
        <v>0</v>
      </c>
      <c r="O15" s="6">
        <f ca="1" t="shared" si="3"/>
        <v>0</v>
      </c>
      <c r="P15" s="6"/>
      <c r="Q15" s="6"/>
    </row>
    <row r="16" s="21" customFormat="1" ht="20" customHeight="1" spans="1:17">
      <c r="A16" s="6"/>
      <c r="B16" s="6"/>
      <c r="C16" s="28"/>
      <c r="D16" s="6"/>
      <c r="E16" s="6"/>
      <c r="F16" s="6"/>
      <c r="G16" s="6"/>
      <c r="H16" s="6">
        <f ca="1" t="array" ref="H16">INDEX(成本核算表!J:J,MATCH(1,(成本核算表!D:D=E16)*(成本核算表!C:C=G16),0))</f>
        <v>0</v>
      </c>
      <c r="I16" s="6"/>
      <c r="J16" s="6">
        <f ca="1" t="shared" si="0"/>
        <v>0</v>
      </c>
      <c r="K16" s="6"/>
      <c r="L16" s="6"/>
      <c r="M16" s="6">
        <f ca="1" t="shared" si="1"/>
        <v>0</v>
      </c>
      <c r="N16" s="6">
        <f ca="1" t="shared" si="2"/>
        <v>0</v>
      </c>
      <c r="O16" s="6">
        <f ca="1" t="shared" si="3"/>
        <v>0</v>
      </c>
      <c r="P16" s="6"/>
      <c r="Q16" s="6"/>
    </row>
    <row r="17" s="21" customFormat="1" ht="20" customHeight="1" spans="1:17">
      <c r="A17" s="6"/>
      <c r="B17" s="6"/>
      <c r="C17" s="28"/>
      <c r="D17" s="6"/>
      <c r="E17" s="6"/>
      <c r="F17" s="6"/>
      <c r="G17" s="6"/>
      <c r="H17" s="6">
        <f ca="1" t="array" ref="H17">INDEX(成本核算表!J:J,MATCH(1,(成本核算表!D:D=E17)*(成本核算表!C:C=G17),0))</f>
        <v>0</v>
      </c>
      <c r="I17" s="6"/>
      <c r="J17" s="6">
        <f ca="1" t="shared" si="0"/>
        <v>0</v>
      </c>
      <c r="K17" s="6"/>
      <c r="L17" s="6"/>
      <c r="M17" s="6">
        <f ca="1" t="shared" si="1"/>
        <v>0</v>
      </c>
      <c r="N17" s="6">
        <f ca="1" t="shared" si="2"/>
        <v>0</v>
      </c>
      <c r="O17" s="6">
        <f ca="1" t="shared" si="3"/>
        <v>0</v>
      </c>
      <c r="P17" s="6"/>
      <c r="Q17" s="6"/>
    </row>
    <row r="18" s="21" customFormat="1" ht="20" customHeight="1" spans="1:17">
      <c r="A18" s="6"/>
      <c r="B18" s="6"/>
      <c r="C18" s="28"/>
      <c r="D18" s="6"/>
      <c r="E18" s="6"/>
      <c r="F18" s="6"/>
      <c r="G18" s="6"/>
      <c r="H18" s="6">
        <f ca="1" t="array" ref="H18">INDEX(成本核算表!J:J,MATCH(1,(成本核算表!D:D=E18)*(成本核算表!C:C=G18),0))</f>
        <v>0</v>
      </c>
      <c r="I18" s="6"/>
      <c r="J18" s="6">
        <f ca="1" t="shared" si="0"/>
        <v>0</v>
      </c>
      <c r="K18" s="6"/>
      <c r="L18" s="6"/>
      <c r="M18" s="6">
        <f ca="1" t="shared" si="1"/>
        <v>0</v>
      </c>
      <c r="N18" s="6">
        <f ca="1" t="shared" si="2"/>
        <v>0</v>
      </c>
      <c r="O18" s="6">
        <f ca="1" t="shared" si="3"/>
        <v>0</v>
      </c>
      <c r="P18" s="6"/>
      <c r="Q18" s="6"/>
    </row>
    <row r="19" s="21" customFormat="1" ht="20" customHeight="1" spans="1:17">
      <c r="A19" s="6"/>
      <c r="B19" s="6"/>
      <c r="C19" s="28"/>
      <c r="D19" s="6"/>
      <c r="E19" s="6"/>
      <c r="F19" s="6"/>
      <c r="G19" s="6"/>
      <c r="H19" s="6">
        <f ca="1" t="array" ref="H19">INDEX(成本核算表!J:J,MATCH(1,(成本核算表!D:D=E19)*(成本核算表!C:C=G19),0))</f>
        <v>0</v>
      </c>
      <c r="I19" s="6"/>
      <c r="J19" s="6">
        <f ca="1" t="shared" si="0"/>
        <v>0</v>
      </c>
      <c r="K19" s="6"/>
      <c r="L19" s="6"/>
      <c r="M19" s="6">
        <f ca="1" t="shared" si="1"/>
        <v>0</v>
      </c>
      <c r="N19" s="6">
        <f ca="1" t="shared" si="2"/>
        <v>0</v>
      </c>
      <c r="O19" s="6">
        <f ca="1" t="shared" si="3"/>
        <v>0</v>
      </c>
      <c r="P19" s="6"/>
      <c r="Q19" s="6"/>
    </row>
    <row r="20" s="21" customFormat="1" ht="20" customHeight="1" spans="1:17">
      <c r="A20" s="6"/>
      <c r="B20" s="6"/>
      <c r="C20" s="28"/>
      <c r="D20" s="6"/>
      <c r="E20" s="6"/>
      <c r="F20" s="6"/>
      <c r="G20" s="6"/>
      <c r="H20" s="6">
        <f ca="1" t="array" ref="H20">INDEX(成本核算表!J:J,MATCH(1,(成本核算表!D:D=E20)*(成本核算表!C:C=G20),0))</f>
        <v>0</v>
      </c>
      <c r="I20" s="6"/>
      <c r="J20" s="6">
        <f ca="1" t="shared" si="0"/>
        <v>0</v>
      </c>
      <c r="K20" s="6"/>
      <c r="L20" s="6"/>
      <c r="M20" s="6">
        <f ca="1" t="shared" si="1"/>
        <v>0</v>
      </c>
      <c r="N20" s="6">
        <f ca="1" t="shared" si="2"/>
        <v>0</v>
      </c>
      <c r="O20" s="6">
        <f ca="1" t="shared" si="3"/>
        <v>0</v>
      </c>
      <c r="P20" s="6"/>
      <c r="Q20" s="6"/>
    </row>
    <row r="21" s="21" customFormat="1" ht="20" customHeight="1" spans="1:17">
      <c r="A21" s="6"/>
      <c r="B21" s="6"/>
      <c r="C21" s="28"/>
      <c r="D21" s="6"/>
      <c r="E21" s="6"/>
      <c r="F21" s="6"/>
      <c r="G21" s="6"/>
      <c r="H21" s="6">
        <f ca="1" t="array" ref="H21">INDEX(成本核算表!J:J,MATCH(1,(成本核算表!D:D=E21)*(成本核算表!C:C=G21),0))</f>
        <v>0</v>
      </c>
      <c r="I21" s="6"/>
      <c r="J21" s="6">
        <f ca="1" t="shared" si="0"/>
        <v>0</v>
      </c>
      <c r="K21" s="6"/>
      <c r="L21" s="6"/>
      <c r="M21" s="6">
        <f ca="1" t="shared" si="1"/>
        <v>0</v>
      </c>
      <c r="N21" s="6">
        <f ca="1" t="shared" si="2"/>
        <v>0</v>
      </c>
      <c r="O21" s="6">
        <f ca="1" t="shared" si="3"/>
        <v>0</v>
      </c>
      <c r="P21" s="6"/>
      <c r="Q21" s="6"/>
    </row>
    <row r="22" s="21" customFormat="1" ht="20" customHeight="1" spans="1:17">
      <c r="A22" s="6"/>
      <c r="B22" s="6"/>
      <c r="C22" s="28"/>
      <c r="D22" s="6"/>
      <c r="E22" s="6"/>
      <c r="F22" s="6"/>
      <c r="G22" s="6"/>
      <c r="H22" s="6">
        <f ca="1" t="array" ref="H22">INDEX(成本核算表!J:J,MATCH(1,(成本核算表!D:D=E22)*(成本核算表!C:C=G22),0))</f>
        <v>0</v>
      </c>
      <c r="I22" s="6"/>
      <c r="J22" s="6">
        <f ca="1" t="shared" si="0"/>
        <v>0</v>
      </c>
      <c r="K22" s="6"/>
      <c r="L22" s="6"/>
      <c r="M22" s="6">
        <f ca="1" t="shared" si="1"/>
        <v>0</v>
      </c>
      <c r="N22" s="6">
        <f ca="1" t="shared" si="2"/>
        <v>0</v>
      </c>
      <c r="O22" s="6">
        <f ca="1" t="shared" si="3"/>
        <v>0</v>
      </c>
      <c r="P22" s="6"/>
      <c r="Q22" s="6"/>
    </row>
    <row r="23" s="21" customFormat="1" ht="20" customHeight="1" spans="1:17">
      <c r="A23" s="6"/>
      <c r="B23" s="6"/>
      <c r="C23" s="28"/>
      <c r="D23" s="6"/>
      <c r="E23" s="6"/>
      <c r="F23" s="6"/>
      <c r="G23" s="6"/>
      <c r="H23" s="6">
        <f ca="1" t="array" ref="H23">INDEX(成本核算表!J:J,MATCH(1,(成本核算表!D:D=E23)*(成本核算表!C:C=G23),0))</f>
        <v>0</v>
      </c>
      <c r="I23" s="6"/>
      <c r="J23" s="6">
        <f ca="1" t="shared" si="0"/>
        <v>0</v>
      </c>
      <c r="K23" s="6"/>
      <c r="L23" s="6"/>
      <c r="M23" s="6">
        <f ca="1" t="shared" si="1"/>
        <v>0</v>
      </c>
      <c r="N23" s="6">
        <f ca="1" t="shared" si="2"/>
        <v>0</v>
      </c>
      <c r="O23" s="6">
        <f ca="1" t="shared" si="3"/>
        <v>0</v>
      </c>
      <c r="P23" s="6"/>
      <c r="Q23" s="6"/>
    </row>
    <row r="24" s="21" customFormat="1" ht="20" customHeight="1" spans="1:17">
      <c r="A24" s="6"/>
      <c r="B24" s="6"/>
      <c r="C24" s="28"/>
      <c r="D24" s="6"/>
      <c r="E24" s="6"/>
      <c r="F24" s="6"/>
      <c r="G24" s="6"/>
      <c r="H24" s="6"/>
      <c r="I24" s="6"/>
      <c r="J24" s="6">
        <f t="shared" si="0"/>
        <v>0</v>
      </c>
      <c r="K24" s="6"/>
      <c r="L24" s="6"/>
      <c r="M24" s="6">
        <f t="shared" si="1"/>
        <v>0</v>
      </c>
      <c r="N24" s="6">
        <f t="shared" si="2"/>
        <v>0</v>
      </c>
      <c r="O24" s="6">
        <f t="shared" si="3"/>
        <v>0</v>
      </c>
      <c r="P24" s="6"/>
      <c r="Q24" s="6"/>
    </row>
    <row r="25" s="21" customFormat="1" ht="20" customHeight="1" spans="1:17">
      <c r="A25" s="6"/>
      <c r="B25" s="6"/>
      <c r="C25" s="28"/>
      <c r="D25" s="6"/>
      <c r="E25" s="6"/>
      <c r="F25" s="6"/>
      <c r="G25" s="6"/>
      <c r="H25" s="6"/>
      <c r="I25" s="6"/>
      <c r="J25" s="6">
        <f t="shared" si="0"/>
        <v>0</v>
      </c>
      <c r="K25" s="6"/>
      <c r="L25" s="6"/>
      <c r="M25" s="6">
        <f t="shared" si="1"/>
        <v>0</v>
      </c>
      <c r="N25" s="6">
        <f t="shared" si="2"/>
        <v>0</v>
      </c>
      <c r="O25" s="6">
        <f t="shared" si="3"/>
        <v>0</v>
      </c>
      <c r="P25" s="6"/>
      <c r="Q25" s="6"/>
    </row>
    <row r="26" s="21" customFormat="1" ht="20" customHeight="1" spans="1:17">
      <c r="A26" s="6"/>
      <c r="B26" s="6"/>
      <c r="C26" s="28"/>
      <c r="D26" s="6"/>
      <c r="E26" s="6"/>
      <c r="F26" s="6"/>
      <c r="G26" s="6"/>
      <c r="H26" s="6"/>
      <c r="I26" s="6"/>
      <c r="J26" s="6">
        <f t="shared" si="0"/>
        <v>0</v>
      </c>
      <c r="K26" s="6"/>
      <c r="L26" s="6"/>
      <c r="M26" s="6">
        <f t="shared" si="1"/>
        <v>0</v>
      </c>
      <c r="N26" s="6">
        <f t="shared" si="2"/>
        <v>0</v>
      </c>
      <c r="O26" s="6">
        <f t="shared" si="3"/>
        <v>0</v>
      </c>
      <c r="P26" s="6"/>
      <c r="Q26" s="6"/>
    </row>
    <row r="27" s="21" customFormat="1" ht="20" customHeight="1" spans="1:17">
      <c r="A27" s="6"/>
      <c r="B27" s="6"/>
      <c r="C27" s="28"/>
      <c r="D27" s="6"/>
      <c r="E27" s="6"/>
      <c r="F27" s="6"/>
      <c r="G27" s="6"/>
      <c r="H27" s="6"/>
      <c r="I27" s="6"/>
      <c r="J27" s="6">
        <f t="shared" si="0"/>
        <v>0</v>
      </c>
      <c r="K27" s="6"/>
      <c r="L27" s="6"/>
      <c r="M27" s="6">
        <f t="shared" si="1"/>
        <v>0</v>
      </c>
      <c r="N27" s="6">
        <f t="shared" si="2"/>
        <v>0</v>
      </c>
      <c r="O27" s="6">
        <f t="shared" si="3"/>
        <v>0</v>
      </c>
      <c r="P27" s="6"/>
      <c r="Q27" s="6"/>
    </row>
    <row r="28" s="21" customFormat="1" ht="20" customHeight="1" spans="1:17">
      <c r="A28" s="6"/>
      <c r="B28" s="6"/>
      <c r="C28" s="28"/>
      <c r="D28" s="6"/>
      <c r="E28" s="6"/>
      <c r="F28" s="6"/>
      <c r="G28" s="6"/>
      <c r="H28" s="6"/>
      <c r="I28" s="6"/>
      <c r="J28" s="6">
        <f t="shared" si="0"/>
        <v>0</v>
      </c>
      <c r="K28" s="6"/>
      <c r="L28" s="6"/>
      <c r="M28" s="6">
        <f t="shared" si="1"/>
        <v>0</v>
      </c>
      <c r="N28" s="6">
        <f t="shared" si="2"/>
        <v>0</v>
      </c>
      <c r="O28" s="6">
        <f t="shared" si="3"/>
        <v>0</v>
      </c>
      <c r="P28" s="6"/>
      <c r="Q28" s="6"/>
    </row>
    <row r="29" s="21" customFormat="1" ht="20" customHeight="1" spans="1:17">
      <c r="A29" s="6"/>
      <c r="B29" s="6"/>
      <c r="C29" s="28"/>
      <c r="D29" s="6"/>
      <c r="E29" s="6"/>
      <c r="F29" s="6"/>
      <c r="G29" s="6"/>
      <c r="H29" s="6"/>
      <c r="I29" s="6"/>
      <c r="J29" s="6">
        <f t="shared" si="0"/>
        <v>0</v>
      </c>
      <c r="K29" s="6"/>
      <c r="L29" s="6"/>
      <c r="M29" s="6">
        <f t="shared" si="1"/>
        <v>0</v>
      </c>
      <c r="N29" s="6">
        <f t="shared" si="2"/>
        <v>0</v>
      </c>
      <c r="O29" s="6">
        <f t="shared" si="3"/>
        <v>0</v>
      </c>
      <c r="P29" s="6"/>
      <c r="Q29" s="6"/>
    </row>
    <row r="30" s="21" customFormat="1" ht="20" customHeight="1" spans="1:17">
      <c r="A30" s="6"/>
      <c r="B30" s="6"/>
      <c r="C30" s="28"/>
      <c r="D30" s="6"/>
      <c r="E30" s="6"/>
      <c r="F30" s="6"/>
      <c r="G30" s="6"/>
      <c r="H30" s="6"/>
      <c r="I30" s="6"/>
      <c r="J30" s="6">
        <f t="shared" si="0"/>
        <v>0</v>
      </c>
      <c r="K30" s="6"/>
      <c r="L30" s="6"/>
      <c r="M30" s="6">
        <f t="shared" si="1"/>
        <v>0</v>
      </c>
      <c r="N30" s="6">
        <f t="shared" si="2"/>
        <v>0</v>
      </c>
      <c r="O30" s="6">
        <f t="shared" si="3"/>
        <v>0</v>
      </c>
      <c r="P30" s="6"/>
      <c r="Q30" s="6"/>
    </row>
    <row r="31" s="21" customFormat="1" ht="20" customHeight="1" spans="1:17">
      <c r="A31" s="6"/>
      <c r="B31" s="6"/>
      <c r="C31" s="28"/>
      <c r="D31" s="6"/>
      <c r="E31" s="6"/>
      <c r="F31" s="6"/>
      <c r="G31" s="6"/>
      <c r="H31" s="6"/>
      <c r="I31" s="6"/>
      <c r="J31" s="6">
        <f t="shared" si="0"/>
        <v>0</v>
      </c>
      <c r="K31" s="6"/>
      <c r="L31" s="6"/>
      <c r="M31" s="6">
        <f t="shared" si="1"/>
        <v>0</v>
      </c>
      <c r="N31" s="6">
        <f t="shared" si="2"/>
        <v>0</v>
      </c>
      <c r="O31" s="6">
        <f t="shared" si="3"/>
        <v>0</v>
      </c>
      <c r="P31" s="6"/>
      <c r="Q31" s="6"/>
    </row>
    <row r="32" s="21" customFormat="1" ht="20" customHeight="1" spans="1:17">
      <c r="A32" s="6"/>
      <c r="B32" s="6"/>
      <c r="C32" s="28"/>
      <c r="D32" s="6"/>
      <c r="E32" s="6"/>
      <c r="F32" s="6"/>
      <c r="G32" s="6"/>
      <c r="H32" s="6"/>
      <c r="I32" s="6"/>
      <c r="J32" s="6">
        <f t="shared" si="0"/>
        <v>0</v>
      </c>
      <c r="K32" s="6"/>
      <c r="L32" s="6"/>
      <c r="M32" s="6">
        <f t="shared" si="1"/>
        <v>0</v>
      </c>
      <c r="N32" s="6">
        <f t="shared" si="2"/>
        <v>0</v>
      </c>
      <c r="O32" s="6">
        <f t="shared" si="3"/>
        <v>0</v>
      </c>
      <c r="P32" s="6"/>
      <c r="Q32" s="6"/>
    </row>
    <row r="33" s="21" customFormat="1" ht="20" customHeight="1" spans="1:17">
      <c r="A33" s="6"/>
      <c r="B33" s="6"/>
      <c r="C33" s="28"/>
      <c r="D33" s="6"/>
      <c r="E33" s="6"/>
      <c r="F33" s="6"/>
      <c r="G33" s="6"/>
      <c r="H33" s="6"/>
      <c r="I33" s="6"/>
      <c r="J33" s="6">
        <f t="shared" si="0"/>
        <v>0</v>
      </c>
      <c r="K33" s="6"/>
      <c r="L33" s="6"/>
      <c r="M33" s="6">
        <f t="shared" si="1"/>
        <v>0</v>
      </c>
      <c r="N33" s="6">
        <f t="shared" si="2"/>
        <v>0</v>
      </c>
      <c r="O33" s="6">
        <f t="shared" si="3"/>
        <v>0</v>
      </c>
      <c r="P33" s="6"/>
      <c r="Q33" s="6"/>
    </row>
    <row r="34" s="21" customFormat="1" ht="20" customHeight="1" spans="1:17">
      <c r="A34" s="6"/>
      <c r="B34" s="6"/>
      <c r="C34" s="28"/>
      <c r="D34" s="6"/>
      <c r="E34" s="6"/>
      <c r="F34" s="6"/>
      <c r="G34" s="6"/>
      <c r="H34" s="6"/>
      <c r="I34" s="6"/>
      <c r="J34" s="6">
        <f t="shared" si="0"/>
        <v>0</v>
      </c>
      <c r="K34" s="6"/>
      <c r="L34" s="6"/>
      <c r="M34" s="6">
        <f t="shared" si="1"/>
        <v>0</v>
      </c>
      <c r="N34" s="6">
        <f t="shared" si="2"/>
        <v>0</v>
      </c>
      <c r="O34" s="6">
        <f t="shared" si="3"/>
        <v>0</v>
      </c>
      <c r="P34" s="6"/>
      <c r="Q34" s="6"/>
    </row>
    <row r="35" s="21" customFormat="1" ht="20" customHeight="1" spans="1:17">
      <c r="A35" s="6"/>
      <c r="B35" s="6"/>
      <c r="C35" s="28"/>
      <c r="D35" s="6"/>
      <c r="E35" s="6"/>
      <c r="F35" s="6"/>
      <c r="G35" s="6"/>
      <c r="H35" s="6"/>
      <c r="I35" s="6"/>
      <c r="J35" s="6">
        <f t="shared" si="0"/>
        <v>0</v>
      </c>
      <c r="K35" s="6"/>
      <c r="L35" s="6"/>
      <c r="M35" s="6">
        <f t="shared" si="1"/>
        <v>0</v>
      </c>
      <c r="N35" s="6">
        <f t="shared" si="2"/>
        <v>0</v>
      </c>
      <c r="O35" s="6">
        <f t="shared" si="3"/>
        <v>0</v>
      </c>
      <c r="P35" s="6"/>
      <c r="Q35" s="6"/>
    </row>
    <row r="36" s="21" customFormat="1" ht="20" customHeight="1" spans="1:17">
      <c r="A36" s="6"/>
      <c r="B36" s="6"/>
      <c r="C36" s="28"/>
      <c r="D36" s="6"/>
      <c r="E36" s="6"/>
      <c r="F36" s="6"/>
      <c r="G36" s="6"/>
      <c r="H36" s="6"/>
      <c r="I36" s="6"/>
      <c r="J36" s="6">
        <f t="shared" si="0"/>
        <v>0</v>
      </c>
      <c r="K36" s="6"/>
      <c r="L36" s="6"/>
      <c r="M36" s="6">
        <f t="shared" si="1"/>
        <v>0</v>
      </c>
      <c r="N36" s="6">
        <f t="shared" si="2"/>
        <v>0</v>
      </c>
      <c r="O36" s="6">
        <f t="shared" si="3"/>
        <v>0</v>
      </c>
      <c r="P36" s="6"/>
      <c r="Q36" s="6"/>
    </row>
    <row r="37" s="21" customFormat="1" ht="20" customHeight="1" spans="1:17">
      <c r="A37" s="6"/>
      <c r="B37" s="6"/>
      <c r="C37" s="28"/>
      <c r="D37" s="6"/>
      <c r="E37" s="6"/>
      <c r="F37" s="6"/>
      <c r="G37" s="6"/>
      <c r="H37" s="6"/>
      <c r="I37" s="6"/>
      <c r="J37" s="6">
        <f t="shared" si="0"/>
        <v>0</v>
      </c>
      <c r="K37" s="6"/>
      <c r="L37" s="6"/>
      <c r="M37" s="6">
        <f t="shared" si="1"/>
        <v>0</v>
      </c>
      <c r="N37" s="6">
        <f t="shared" si="2"/>
        <v>0</v>
      </c>
      <c r="O37" s="6">
        <f t="shared" si="3"/>
        <v>0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/>
      <c r="I38" s="6"/>
      <c r="J38" s="6">
        <f t="shared" si="0"/>
        <v>0</v>
      </c>
      <c r="K38" s="6"/>
      <c r="L38" s="6"/>
      <c r="M38" s="6">
        <f t="shared" si="1"/>
        <v>0</v>
      </c>
      <c r="N38" s="6">
        <f t="shared" si="2"/>
        <v>0</v>
      </c>
      <c r="O38" s="6">
        <f t="shared" si="3"/>
        <v>0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/>
      <c r="I39" s="6"/>
      <c r="J39" s="6">
        <f t="shared" si="0"/>
        <v>0</v>
      </c>
      <c r="K39" s="6"/>
      <c r="L39" s="6"/>
      <c r="M39" s="6">
        <f t="shared" si="1"/>
        <v>0</v>
      </c>
      <c r="N39" s="6">
        <f t="shared" si="2"/>
        <v>0</v>
      </c>
      <c r="O39" s="6">
        <f t="shared" si="3"/>
        <v>0</v>
      </c>
      <c r="P39" s="6"/>
      <c r="Q39" s="6"/>
    </row>
    <row r="40" s="21" customFormat="1" ht="20" customHeight="1" spans="1:17">
      <c r="A40" s="22"/>
      <c r="B40" s="23"/>
      <c r="C40" s="24"/>
      <c r="D40" s="23"/>
      <c r="E40" s="23"/>
      <c r="F40" s="23"/>
      <c r="G40" s="23"/>
      <c r="H40" s="25"/>
      <c r="I40" s="25"/>
      <c r="J40" s="6">
        <f t="shared" si="0"/>
        <v>0</v>
      </c>
      <c r="K40" s="23"/>
      <c r="L40" s="23"/>
      <c r="M40" s="6">
        <f t="shared" si="1"/>
        <v>0</v>
      </c>
      <c r="N40" s="6">
        <f t="shared" si="2"/>
        <v>0</v>
      </c>
      <c r="O40" s="6">
        <f t="shared" si="3"/>
        <v>0</v>
      </c>
    </row>
    <row r="41" s="21" customFormat="1" ht="20" customHeight="1" spans="1:17">
      <c r="A41" s="22"/>
      <c r="B41" s="23"/>
      <c r="C41" s="24"/>
      <c r="D41" s="23"/>
      <c r="E41" s="23"/>
      <c r="F41" s="23"/>
      <c r="G41" s="23"/>
      <c r="H41" s="25"/>
      <c r="I41" s="25"/>
      <c r="J41" s="6">
        <f t="shared" si="0"/>
        <v>0</v>
      </c>
      <c r="K41" s="23"/>
      <c r="L41" s="23"/>
      <c r="M41" s="6">
        <f t="shared" si="1"/>
        <v>0</v>
      </c>
      <c r="N41" s="6">
        <f t="shared" si="2"/>
        <v>0</v>
      </c>
      <c r="O41" s="6">
        <f t="shared" si="3"/>
        <v>0</v>
      </c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25"/>
      <c r="I42" s="25"/>
      <c r="J42" s="6">
        <f t="shared" si="0"/>
        <v>0</v>
      </c>
      <c r="K42" s="23"/>
      <c r="L42" s="23"/>
      <c r="M42" s="6">
        <f t="shared" si="1"/>
        <v>0</v>
      </c>
      <c r="N42" s="6">
        <f t="shared" si="2"/>
        <v>0</v>
      </c>
      <c r="O42" s="6">
        <f t="shared" si="3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25"/>
      <c r="I43" s="25"/>
      <c r="J43" s="6">
        <f t="shared" si="0"/>
        <v>0</v>
      </c>
      <c r="K43" s="23"/>
      <c r="L43" s="23"/>
      <c r="M43" s="6">
        <f t="shared" si="1"/>
        <v>0</v>
      </c>
      <c r="N43" s="6">
        <f t="shared" si="2"/>
        <v>0</v>
      </c>
      <c r="O43" s="6">
        <f t="shared" si="3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25"/>
      <c r="I44" s="25"/>
      <c r="J44" s="6">
        <f t="shared" si="0"/>
        <v>0</v>
      </c>
      <c r="K44" s="23"/>
      <c r="L44" s="23"/>
      <c r="M44" s="6">
        <f t="shared" si="1"/>
        <v>0</v>
      </c>
      <c r="N44" s="6">
        <f t="shared" si="2"/>
        <v>0</v>
      </c>
      <c r="O44" s="6">
        <f t="shared" si="3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25"/>
      <c r="I45" s="25"/>
      <c r="J45" s="6">
        <f t="shared" si="0"/>
        <v>0</v>
      </c>
      <c r="K45" s="23"/>
      <c r="L45" s="23"/>
      <c r="M45" s="6">
        <f t="shared" si="1"/>
        <v>0</v>
      </c>
      <c r="N45" s="6">
        <f t="shared" si="2"/>
        <v>0</v>
      </c>
      <c r="O45" s="6">
        <f t="shared" si="3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25"/>
      <c r="I46" s="25"/>
      <c r="J46" s="6">
        <f t="shared" si="0"/>
        <v>0</v>
      </c>
      <c r="K46" s="23"/>
      <c r="L46" s="23"/>
      <c r="M46" s="6">
        <f t="shared" si="1"/>
        <v>0</v>
      </c>
      <c r="N46" s="6">
        <f t="shared" si="2"/>
        <v>0</v>
      </c>
      <c r="O46" s="6">
        <f t="shared" si="3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25"/>
      <c r="I47" s="25"/>
      <c r="J47" s="6">
        <f t="shared" si="0"/>
        <v>0</v>
      </c>
      <c r="K47" s="23"/>
      <c r="L47" s="23"/>
      <c r="M47" s="6">
        <f t="shared" si="1"/>
        <v>0</v>
      </c>
      <c r="N47" s="6">
        <f t="shared" si="2"/>
        <v>0</v>
      </c>
      <c r="O47" s="6">
        <f t="shared" si="3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25"/>
      <c r="I48" s="25"/>
      <c r="J48" s="6">
        <f t="shared" si="0"/>
        <v>0</v>
      </c>
      <c r="K48" s="23"/>
      <c r="L48" s="23"/>
      <c r="M48" s="6">
        <f t="shared" si="1"/>
        <v>0</v>
      </c>
      <c r="N48" s="6">
        <f t="shared" si="2"/>
        <v>0</v>
      </c>
      <c r="O48" s="6">
        <f t="shared" si="3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25"/>
      <c r="I49" s="25"/>
      <c r="J49" s="6">
        <f t="shared" si="0"/>
        <v>0</v>
      </c>
      <c r="K49" s="23"/>
      <c r="L49" s="23"/>
      <c r="M49" s="6">
        <f t="shared" si="1"/>
        <v>0</v>
      </c>
      <c r="N49" s="6">
        <f t="shared" si="2"/>
        <v>0</v>
      </c>
      <c r="O49" s="6">
        <f t="shared" si="3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25"/>
      <c r="I50" s="25"/>
      <c r="J50" s="6">
        <f t="shared" si="0"/>
        <v>0</v>
      </c>
      <c r="K50" s="23"/>
      <c r="L50" s="23"/>
      <c r="M50" s="6">
        <f t="shared" si="1"/>
        <v>0</v>
      </c>
      <c r="N50" s="6">
        <f t="shared" si="2"/>
        <v>0</v>
      </c>
      <c r="O50" s="6">
        <f t="shared" si="3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25"/>
      <c r="I51" s="25"/>
      <c r="J51" s="6">
        <f t="shared" si="0"/>
        <v>0</v>
      </c>
      <c r="K51" s="23"/>
      <c r="L51" s="23"/>
      <c r="M51" s="6">
        <f t="shared" si="1"/>
        <v>0</v>
      </c>
      <c r="N51" s="6">
        <f t="shared" si="2"/>
        <v>0</v>
      </c>
      <c r="O51" s="6">
        <f t="shared" si="3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25"/>
      <c r="I52" s="25"/>
      <c r="J52" s="6">
        <f t="shared" si="0"/>
        <v>0</v>
      </c>
      <c r="K52" s="23"/>
      <c r="L52" s="23"/>
      <c r="M52" s="6">
        <f t="shared" si="1"/>
        <v>0</v>
      </c>
      <c r="N52" s="6">
        <f t="shared" si="2"/>
        <v>0</v>
      </c>
      <c r="O52" s="6">
        <f t="shared" si="3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25"/>
      <c r="I53" s="25"/>
      <c r="J53" s="6">
        <f t="shared" si="0"/>
        <v>0</v>
      </c>
      <c r="K53" s="23"/>
      <c r="L53" s="23"/>
      <c r="M53" s="6">
        <f t="shared" si="1"/>
        <v>0</v>
      </c>
      <c r="N53" s="6">
        <f t="shared" si="2"/>
        <v>0</v>
      </c>
      <c r="O53" s="6">
        <f t="shared" si="3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25"/>
      <c r="I54" s="25"/>
      <c r="J54" s="6">
        <f t="shared" si="0"/>
        <v>0</v>
      </c>
      <c r="K54" s="23"/>
      <c r="L54" s="23"/>
      <c r="M54" s="6">
        <f t="shared" si="1"/>
        <v>0</v>
      </c>
      <c r="N54" s="6">
        <f t="shared" si="2"/>
        <v>0</v>
      </c>
      <c r="O54" s="6">
        <f t="shared" si="3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25"/>
      <c r="I55" s="25"/>
      <c r="J55" s="6">
        <f t="shared" si="0"/>
        <v>0</v>
      </c>
      <c r="K55" s="23"/>
      <c r="L55" s="23"/>
      <c r="M55" s="6">
        <f t="shared" si="1"/>
        <v>0</v>
      </c>
      <c r="N55" s="6">
        <f t="shared" si="2"/>
        <v>0</v>
      </c>
      <c r="O55" s="6">
        <f t="shared" si="3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25"/>
      <c r="I56" s="25"/>
      <c r="J56" s="6">
        <f t="shared" si="0"/>
        <v>0</v>
      </c>
      <c r="K56" s="23"/>
      <c r="L56" s="23"/>
      <c r="M56" s="6">
        <f t="shared" si="1"/>
        <v>0</v>
      </c>
      <c r="N56" s="6">
        <f t="shared" si="2"/>
        <v>0</v>
      </c>
      <c r="O56" s="6">
        <f t="shared" si="3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25"/>
      <c r="I57" s="25"/>
      <c r="J57" s="6">
        <f t="shared" si="0"/>
        <v>0</v>
      </c>
      <c r="K57" s="23"/>
      <c r="L57" s="23"/>
      <c r="M57" s="6">
        <f t="shared" si="1"/>
        <v>0</v>
      </c>
      <c r="N57" s="6">
        <f t="shared" si="2"/>
        <v>0</v>
      </c>
      <c r="O57" s="6">
        <f t="shared" si="3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25"/>
      <c r="I58" s="25"/>
      <c r="J58" s="6">
        <f t="shared" si="0"/>
        <v>0</v>
      </c>
      <c r="K58" s="23"/>
      <c r="L58" s="23"/>
      <c r="M58" s="6">
        <f t="shared" si="1"/>
        <v>0</v>
      </c>
      <c r="N58" s="6">
        <f t="shared" si="2"/>
        <v>0</v>
      </c>
      <c r="O58" s="6">
        <f t="shared" si="3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25"/>
      <c r="I59" s="25"/>
      <c r="J59" s="6">
        <f t="shared" si="0"/>
        <v>0</v>
      </c>
      <c r="K59" s="23"/>
      <c r="L59" s="23"/>
      <c r="M59" s="6">
        <f t="shared" si="1"/>
        <v>0</v>
      </c>
      <c r="N59" s="6">
        <f t="shared" si="2"/>
        <v>0</v>
      </c>
      <c r="O59" s="6">
        <f t="shared" si="3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25"/>
      <c r="I60" s="25"/>
      <c r="J60" s="6">
        <f t="shared" si="0"/>
        <v>0</v>
      </c>
      <c r="K60" s="23"/>
      <c r="L60" s="23"/>
      <c r="M60" s="6">
        <f t="shared" si="1"/>
        <v>0</v>
      </c>
      <c r="N60" s="6">
        <f t="shared" si="2"/>
        <v>0</v>
      </c>
      <c r="O60" s="6">
        <f t="shared" si="3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25"/>
      <c r="I61" s="25"/>
      <c r="J61" s="6">
        <f t="shared" si="0"/>
        <v>0</v>
      </c>
      <c r="K61" s="23"/>
      <c r="L61" s="23"/>
      <c r="M61" s="6">
        <f t="shared" si="1"/>
        <v>0</v>
      </c>
      <c r="N61" s="6">
        <f t="shared" si="2"/>
        <v>0</v>
      </c>
      <c r="O61" s="6">
        <f t="shared" si="3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25"/>
      <c r="I62" s="25"/>
      <c r="J62" s="6">
        <f t="shared" si="0"/>
        <v>0</v>
      </c>
      <c r="K62" s="23"/>
      <c r="L62" s="23"/>
      <c r="M62" s="6">
        <f t="shared" si="1"/>
        <v>0</v>
      </c>
      <c r="N62" s="6">
        <f t="shared" si="2"/>
        <v>0</v>
      </c>
      <c r="O62" s="6">
        <f t="shared" si="3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25"/>
      <c r="I63" s="25"/>
      <c r="J63" s="6">
        <f t="shared" si="0"/>
        <v>0</v>
      </c>
      <c r="K63" s="23"/>
      <c r="L63" s="23"/>
      <c r="M63" s="6">
        <f t="shared" si="1"/>
        <v>0</v>
      </c>
      <c r="N63" s="6">
        <f t="shared" si="2"/>
        <v>0</v>
      </c>
      <c r="O63" s="6">
        <f t="shared" si="3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25"/>
      <c r="I64" s="25"/>
      <c r="J64" s="6">
        <f t="shared" ref="J64:J99" si="5">H64*I64</f>
        <v>0</v>
      </c>
      <c r="K64" s="23"/>
      <c r="L64" s="23"/>
      <c r="M64" s="6">
        <f t="shared" ref="M64:M99" si="6">K64*H64</f>
        <v>0</v>
      </c>
      <c r="N64" s="6">
        <f t="shared" ref="N64:N99" si="7">J64-M64+L64</f>
        <v>0</v>
      </c>
      <c r="O64" s="6">
        <f t="shared" ref="O64:O99" si="8">N64/3600</f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25"/>
      <c r="I65" s="25"/>
      <c r="J65" s="6">
        <f t="shared" si="5"/>
        <v>0</v>
      </c>
      <c r="K65" s="23"/>
      <c r="L65" s="23"/>
      <c r="M65" s="6">
        <f t="shared" si="6"/>
        <v>0</v>
      </c>
      <c r="N65" s="6">
        <f t="shared" si="7"/>
        <v>0</v>
      </c>
      <c r="O65" s="6">
        <f t="shared" si="8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25"/>
      <c r="I66" s="25"/>
      <c r="J66" s="6">
        <f t="shared" si="5"/>
        <v>0</v>
      </c>
      <c r="K66" s="23"/>
      <c r="L66" s="23"/>
      <c r="M66" s="6">
        <f t="shared" si="6"/>
        <v>0</v>
      </c>
      <c r="N66" s="6">
        <f t="shared" si="7"/>
        <v>0</v>
      </c>
      <c r="O66" s="6">
        <f t="shared" si="8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25"/>
      <c r="I67" s="25"/>
      <c r="J67" s="6">
        <f t="shared" si="5"/>
        <v>0</v>
      </c>
      <c r="K67" s="23"/>
      <c r="L67" s="23"/>
      <c r="M67" s="6">
        <f t="shared" si="6"/>
        <v>0</v>
      </c>
      <c r="N67" s="6">
        <f t="shared" si="7"/>
        <v>0</v>
      </c>
      <c r="O67" s="6">
        <f t="shared" si="8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25"/>
      <c r="I68" s="25"/>
      <c r="J68" s="6">
        <f t="shared" si="5"/>
        <v>0</v>
      </c>
      <c r="K68" s="23"/>
      <c r="L68" s="23"/>
      <c r="M68" s="6">
        <f t="shared" si="6"/>
        <v>0</v>
      </c>
      <c r="N68" s="6">
        <f t="shared" si="7"/>
        <v>0</v>
      </c>
      <c r="O68" s="6">
        <f t="shared" si="8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25"/>
      <c r="I69" s="25"/>
      <c r="J69" s="6">
        <f t="shared" si="5"/>
        <v>0</v>
      </c>
      <c r="K69" s="23"/>
      <c r="L69" s="23"/>
      <c r="M69" s="6">
        <f t="shared" si="6"/>
        <v>0</v>
      </c>
      <c r="N69" s="6">
        <f t="shared" si="7"/>
        <v>0</v>
      </c>
      <c r="O69" s="6">
        <f t="shared" si="8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25"/>
      <c r="I70" s="25"/>
      <c r="J70" s="6">
        <f t="shared" si="5"/>
        <v>0</v>
      </c>
      <c r="K70" s="23"/>
      <c r="L70" s="23"/>
      <c r="M70" s="6">
        <f t="shared" si="6"/>
        <v>0</v>
      </c>
      <c r="N70" s="6">
        <f t="shared" si="7"/>
        <v>0</v>
      </c>
      <c r="O70" s="6">
        <f t="shared" si="8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25"/>
      <c r="I71" s="25"/>
      <c r="J71" s="6">
        <f t="shared" si="5"/>
        <v>0</v>
      </c>
      <c r="K71" s="23"/>
      <c r="L71" s="23"/>
      <c r="M71" s="6">
        <f t="shared" si="6"/>
        <v>0</v>
      </c>
      <c r="N71" s="6">
        <f t="shared" si="7"/>
        <v>0</v>
      </c>
      <c r="O71" s="6">
        <f t="shared" si="8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25"/>
      <c r="I72" s="25"/>
      <c r="J72" s="6">
        <f t="shared" si="5"/>
        <v>0</v>
      </c>
      <c r="K72" s="23"/>
      <c r="L72" s="23"/>
      <c r="M72" s="6">
        <f t="shared" si="6"/>
        <v>0</v>
      </c>
      <c r="N72" s="6">
        <f t="shared" si="7"/>
        <v>0</v>
      </c>
      <c r="O72" s="6">
        <f t="shared" si="8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25"/>
      <c r="I73" s="25"/>
      <c r="J73" s="6">
        <f t="shared" si="5"/>
        <v>0</v>
      </c>
      <c r="K73" s="23"/>
      <c r="L73" s="23"/>
      <c r="M73" s="6">
        <f t="shared" si="6"/>
        <v>0</v>
      </c>
      <c r="N73" s="6">
        <f t="shared" si="7"/>
        <v>0</v>
      </c>
      <c r="O73" s="6">
        <f t="shared" si="8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25"/>
      <c r="I74" s="25"/>
      <c r="J74" s="6">
        <f t="shared" si="5"/>
        <v>0</v>
      </c>
      <c r="K74" s="23"/>
      <c r="L74" s="23"/>
      <c r="M74" s="6">
        <f t="shared" si="6"/>
        <v>0</v>
      </c>
      <c r="N74" s="6">
        <f t="shared" si="7"/>
        <v>0</v>
      </c>
      <c r="O74" s="6">
        <f t="shared" si="8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25"/>
      <c r="I75" s="25"/>
      <c r="J75" s="6">
        <f t="shared" si="5"/>
        <v>0</v>
      </c>
      <c r="K75" s="23"/>
      <c r="L75" s="23"/>
      <c r="M75" s="6">
        <f t="shared" si="6"/>
        <v>0</v>
      </c>
      <c r="N75" s="6">
        <f t="shared" si="7"/>
        <v>0</v>
      </c>
      <c r="O75" s="6">
        <f t="shared" si="8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25"/>
      <c r="I76" s="25"/>
      <c r="J76" s="6">
        <f t="shared" si="5"/>
        <v>0</v>
      </c>
      <c r="K76" s="23"/>
      <c r="L76" s="23"/>
      <c r="M76" s="6">
        <f t="shared" si="6"/>
        <v>0</v>
      </c>
      <c r="N76" s="6">
        <f t="shared" si="7"/>
        <v>0</v>
      </c>
      <c r="O76" s="6">
        <f t="shared" si="8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25"/>
      <c r="I77" s="25"/>
      <c r="J77" s="6">
        <f t="shared" si="5"/>
        <v>0</v>
      </c>
      <c r="K77" s="23"/>
      <c r="L77" s="23"/>
      <c r="M77" s="6">
        <f t="shared" si="6"/>
        <v>0</v>
      </c>
      <c r="N77" s="6">
        <f t="shared" si="7"/>
        <v>0</v>
      </c>
      <c r="O77" s="6">
        <f t="shared" si="8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25"/>
      <c r="I78" s="25"/>
      <c r="J78" s="6">
        <f t="shared" si="5"/>
        <v>0</v>
      </c>
      <c r="K78" s="23"/>
      <c r="L78" s="23"/>
      <c r="M78" s="6">
        <f t="shared" si="6"/>
        <v>0</v>
      </c>
      <c r="N78" s="6">
        <f t="shared" si="7"/>
        <v>0</v>
      </c>
      <c r="O78" s="6">
        <f t="shared" si="8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25"/>
      <c r="I79" s="25"/>
      <c r="J79" s="6">
        <f t="shared" si="5"/>
        <v>0</v>
      </c>
      <c r="K79" s="23"/>
      <c r="L79" s="23"/>
      <c r="M79" s="6">
        <f t="shared" si="6"/>
        <v>0</v>
      </c>
      <c r="N79" s="6">
        <f t="shared" si="7"/>
        <v>0</v>
      </c>
      <c r="O79" s="6">
        <f t="shared" si="8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25"/>
      <c r="I80" s="25"/>
      <c r="J80" s="6">
        <f t="shared" si="5"/>
        <v>0</v>
      </c>
      <c r="K80" s="23"/>
      <c r="L80" s="23"/>
      <c r="M80" s="6">
        <f t="shared" si="6"/>
        <v>0</v>
      </c>
      <c r="N80" s="6">
        <f t="shared" si="7"/>
        <v>0</v>
      </c>
      <c r="O80" s="6">
        <f t="shared" si="8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25"/>
      <c r="I81" s="25"/>
      <c r="J81" s="6">
        <f t="shared" si="5"/>
        <v>0</v>
      </c>
      <c r="K81" s="23"/>
      <c r="L81" s="23"/>
      <c r="M81" s="6">
        <f t="shared" si="6"/>
        <v>0</v>
      </c>
      <c r="N81" s="6">
        <f t="shared" si="7"/>
        <v>0</v>
      </c>
      <c r="O81" s="6">
        <f t="shared" si="8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25"/>
      <c r="I82" s="25"/>
      <c r="J82" s="6">
        <f t="shared" si="5"/>
        <v>0</v>
      </c>
      <c r="K82" s="23"/>
      <c r="L82" s="23"/>
      <c r="M82" s="6">
        <f t="shared" si="6"/>
        <v>0</v>
      </c>
      <c r="N82" s="6">
        <f t="shared" si="7"/>
        <v>0</v>
      </c>
      <c r="O82" s="6">
        <f t="shared" si="8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25"/>
      <c r="I83" s="25"/>
      <c r="J83" s="6">
        <f t="shared" si="5"/>
        <v>0</v>
      </c>
      <c r="K83" s="23"/>
      <c r="L83" s="23"/>
      <c r="M83" s="6">
        <f t="shared" si="6"/>
        <v>0</v>
      </c>
      <c r="N83" s="6">
        <f t="shared" si="7"/>
        <v>0</v>
      </c>
      <c r="O83" s="6">
        <f t="shared" si="8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25"/>
      <c r="I84" s="25"/>
      <c r="J84" s="6">
        <f t="shared" si="5"/>
        <v>0</v>
      </c>
      <c r="K84" s="23"/>
      <c r="L84" s="23"/>
      <c r="M84" s="6">
        <f t="shared" si="6"/>
        <v>0</v>
      </c>
      <c r="N84" s="6">
        <f t="shared" si="7"/>
        <v>0</v>
      </c>
      <c r="O84" s="6">
        <f t="shared" si="8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25"/>
      <c r="I85" s="25"/>
      <c r="J85" s="6">
        <f t="shared" si="5"/>
        <v>0</v>
      </c>
      <c r="K85" s="23"/>
      <c r="L85" s="23"/>
      <c r="M85" s="6">
        <f t="shared" si="6"/>
        <v>0</v>
      </c>
      <c r="N85" s="6">
        <f t="shared" si="7"/>
        <v>0</v>
      </c>
      <c r="O85" s="6">
        <f t="shared" si="8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25"/>
      <c r="I86" s="25"/>
      <c r="J86" s="6">
        <f t="shared" si="5"/>
        <v>0</v>
      </c>
      <c r="K86" s="23"/>
      <c r="L86" s="23"/>
      <c r="M86" s="6">
        <f t="shared" si="6"/>
        <v>0</v>
      </c>
      <c r="N86" s="6">
        <f t="shared" si="7"/>
        <v>0</v>
      </c>
      <c r="O86" s="6">
        <f t="shared" si="8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25"/>
      <c r="I87" s="25"/>
      <c r="J87" s="6">
        <f t="shared" si="5"/>
        <v>0</v>
      </c>
      <c r="K87" s="23"/>
      <c r="L87" s="23"/>
      <c r="M87" s="6">
        <f t="shared" si="6"/>
        <v>0</v>
      </c>
      <c r="N87" s="6">
        <f t="shared" si="7"/>
        <v>0</v>
      </c>
      <c r="O87" s="6">
        <f t="shared" si="8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25"/>
      <c r="I88" s="25"/>
      <c r="J88" s="6">
        <f t="shared" si="5"/>
        <v>0</v>
      </c>
      <c r="K88" s="23"/>
      <c r="L88" s="23"/>
      <c r="M88" s="6">
        <f t="shared" si="6"/>
        <v>0</v>
      </c>
      <c r="N88" s="6">
        <f t="shared" si="7"/>
        <v>0</v>
      </c>
      <c r="O88" s="6">
        <f t="shared" si="8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25"/>
      <c r="I89" s="25"/>
      <c r="J89" s="6">
        <f t="shared" si="5"/>
        <v>0</v>
      </c>
      <c r="K89" s="23"/>
      <c r="L89" s="23"/>
      <c r="M89" s="6">
        <f t="shared" si="6"/>
        <v>0</v>
      </c>
      <c r="N89" s="6">
        <f t="shared" si="7"/>
        <v>0</v>
      </c>
      <c r="O89" s="6">
        <f t="shared" si="8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25"/>
      <c r="I90" s="25"/>
      <c r="J90" s="6">
        <f t="shared" si="5"/>
        <v>0</v>
      </c>
      <c r="K90" s="23"/>
      <c r="L90" s="23"/>
      <c r="M90" s="6">
        <f t="shared" si="6"/>
        <v>0</v>
      </c>
      <c r="N90" s="6">
        <f t="shared" si="7"/>
        <v>0</v>
      </c>
      <c r="O90" s="6">
        <f t="shared" si="8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25"/>
      <c r="I91" s="25"/>
      <c r="J91" s="6">
        <f t="shared" si="5"/>
        <v>0</v>
      </c>
      <c r="K91" s="23"/>
      <c r="L91" s="23"/>
      <c r="M91" s="6">
        <f t="shared" si="6"/>
        <v>0</v>
      </c>
      <c r="N91" s="6">
        <f t="shared" si="7"/>
        <v>0</v>
      </c>
      <c r="O91" s="6">
        <f t="shared" si="8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25"/>
      <c r="I92" s="25"/>
      <c r="J92" s="6">
        <f t="shared" si="5"/>
        <v>0</v>
      </c>
      <c r="K92" s="23"/>
      <c r="L92" s="23"/>
      <c r="M92" s="6">
        <f t="shared" si="6"/>
        <v>0</v>
      </c>
      <c r="N92" s="6">
        <f t="shared" si="7"/>
        <v>0</v>
      </c>
      <c r="O92" s="6">
        <f t="shared" si="8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25"/>
      <c r="I93" s="25"/>
      <c r="J93" s="6">
        <f t="shared" si="5"/>
        <v>0</v>
      </c>
      <c r="K93" s="23"/>
      <c r="L93" s="23"/>
      <c r="M93" s="6">
        <f t="shared" si="6"/>
        <v>0</v>
      </c>
      <c r="N93" s="6">
        <f t="shared" si="7"/>
        <v>0</v>
      </c>
      <c r="O93" s="6">
        <f t="shared" si="8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25"/>
      <c r="I94" s="25"/>
      <c r="J94" s="6">
        <f t="shared" si="5"/>
        <v>0</v>
      </c>
      <c r="K94" s="23"/>
      <c r="L94" s="23"/>
      <c r="M94" s="6">
        <f t="shared" si="6"/>
        <v>0</v>
      </c>
      <c r="N94" s="6">
        <f t="shared" si="7"/>
        <v>0</v>
      </c>
      <c r="O94" s="6">
        <f t="shared" si="8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25"/>
      <c r="I95" s="25"/>
      <c r="J95" s="6">
        <f t="shared" si="5"/>
        <v>0</v>
      </c>
      <c r="K95" s="23"/>
      <c r="L95" s="23"/>
      <c r="M95" s="6">
        <f t="shared" si="6"/>
        <v>0</v>
      </c>
      <c r="N95" s="6">
        <f t="shared" si="7"/>
        <v>0</v>
      </c>
      <c r="O95" s="6">
        <f t="shared" si="8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25"/>
      <c r="I96" s="25"/>
      <c r="J96" s="6">
        <f t="shared" si="5"/>
        <v>0</v>
      </c>
      <c r="K96" s="23"/>
      <c r="L96" s="23"/>
      <c r="M96" s="6">
        <f t="shared" si="6"/>
        <v>0</v>
      </c>
      <c r="N96" s="6">
        <f t="shared" si="7"/>
        <v>0</v>
      </c>
      <c r="O96" s="6">
        <f t="shared" si="8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25"/>
      <c r="I97" s="25"/>
      <c r="J97" s="6">
        <f t="shared" si="5"/>
        <v>0</v>
      </c>
      <c r="K97" s="23"/>
      <c r="L97" s="23"/>
      <c r="M97" s="6">
        <f t="shared" si="6"/>
        <v>0</v>
      </c>
      <c r="N97" s="6">
        <f t="shared" si="7"/>
        <v>0</v>
      </c>
      <c r="O97" s="6">
        <f t="shared" si="8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25"/>
      <c r="I98" s="25"/>
      <c r="J98" s="6">
        <f t="shared" si="5"/>
        <v>0</v>
      </c>
      <c r="K98" s="23"/>
      <c r="L98" s="23"/>
      <c r="M98" s="6">
        <f t="shared" si="6"/>
        <v>0</v>
      </c>
      <c r="N98" s="6">
        <f t="shared" si="7"/>
        <v>0</v>
      </c>
      <c r="O98" s="6">
        <f t="shared" si="8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25"/>
      <c r="I99" s="25"/>
      <c r="J99" s="6">
        <f t="shared" si="5"/>
        <v>0</v>
      </c>
      <c r="K99" s="23"/>
      <c r="L99" s="23"/>
      <c r="M99" s="6">
        <f t="shared" si="6"/>
        <v>0</v>
      </c>
      <c r="N99" s="6">
        <f t="shared" si="7"/>
        <v>0</v>
      </c>
      <c r="O99" s="6">
        <f t="shared" si="8"/>
        <v>0</v>
      </c>
    </row>
    <row r="100" s="21" customFormat="1" customHeight="1" spans="1:15">
      <c r="A100" s="22"/>
      <c r="B100" s="23"/>
      <c r="C100" s="24"/>
      <c r="D100" s="23"/>
      <c r="E100" s="23"/>
      <c r="F100" s="23"/>
      <c r="G100" s="23"/>
      <c r="H100" s="25"/>
      <c r="I100" s="25"/>
      <c r="J100" s="23"/>
      <c r="K100" s="23"/>
      <c r="L100" s="23"/>
    </row>
    <row r="101" s="21" customFormat="1" customHeight="1" spans="1:15">
      <c r="A101" s="22"/>
      <c r="B101" s="23"/>
      <c r="C101" s="24"/>
      <c r="D101" s="23"/>
      <c r="E101" s="23"/>
      <c r="F101" s="23"/>
      <c r="G101" s="23"/>
      <c r="H101" s="25"/>
      <c r="I101" s="25"/>
      <c r="J101" s="23"/>
      <c r="K101" s="23"/>
      <c r="L101" s="23"/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228" s="21" customFormat="1" customHeight="1" spans="1:12">
      <c r="A228" s="22"/>
      <c r="B228" s="23"/>
      <c r="C228" s="24"/>
      <c r="D228" s="23"/>
      <c r="E228" s="23"/>
      <c r="F228" s="23"/>
      <c r="G228" s="23"/>
      <c r="H228" s="25"/>
      <c r="I228" s="25"/>
      <c r="J228" s="23"/>
      <c r="K228" s="23"/>
      <c r="L228" s="23"/>
    </row>
    <row r="229" s="21" customFormat="1" customHeight="1" spans="1:12">
      <c r="A229" s="22"/>
      <c r="B229" s="23"/>
      <c r="C229" s="24"/>
      <c r="D229" s="23"/>
      <c r="E229" s="23"/>
      <c r="F229" s="23"/>
      <c r="G229" s="23"/>
      <c r="H229" s="25"/>
      <c r="I229" s="25"/>
      <c r="J229" s="23"/>
      <c r="K229" s="23"/>
      <c r="L229" s="23"/>
    </row>
  </sheetData>
  <sheetCalcPr fullCalcOnLoad="1"/>
  <pageMargins left="0.75" right="0.75" top="1" bottom="1" header="0.51" footer="0.51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9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12</v>
      </c>
      <c r="C2" s="28">
        <f ca="1" t="shared" ref="C2:C6" si="0">SUM(O2:O3)/B2</f>
        <v>1.01851851851852</v>
      </c>
      <c r="D2" s="6" t="s">
        <v>107</v>
      </c>
      <c r="E2" s="6" t="s">
        <v>108</v>
      </c>
      <c r="F2" s="6">
        <v>260</v>
      </c>
      <c r="G2" s="6" t="s">
        <v>24</v>
      </c>
      <c r="H2" s="6">
        <f ca="1" t="array" ref="H2">INDEX(成本核算表!J:J,MATCH(1,(成本核算表!D:D=E2)*(成本核算表!C:C=G2),0))</f>
        <v>50</v>
      </c>
      <c r="I2" s="6">
        <v>400</v>
      </c>
      <c r="J2" s="6">
        <f ca="1" t="shared" ref="J2:J65" si="1">H2*I2</f>
        <v>20000</v>
      </c>
      <c r="K2" s="6"/>
      <c r="L2" s="6"/>
      <c r="M2" s="6"/>
      <c r="N2" s="6">
        <f ca="1" t="shared" ref="N2:N65" si="2">J2-M2+L2</f>
        <v>20000</v>
      </c>
      <c r="O2" s="6">
        <f ca="1" t="shared" ref="O2:O65" si="3">N2/3600</f>
        <v>5.55555555555556</v>
      </c>
      <c r="P2" s="6"/>
      <c r="Q2" s="6"/>
    </row>
    <row r="3" s="21" customFormat="1" ht="20" customHeight="1" spans="1:17">
      <c r="A3" s="27">
        <v>46082</v>
      </c>
      <c r="B3" s="6"/>
      <c r="C3" s="28"/>
      <c r="D3" s="6" t="s">
        <v>107</v>
      </c>
      <c r="E3" s="6" t="s">
        <v>108</v>
      </c>
      <c r="F3" s="6">
        <v>260</v>
      </c>
      <c r="G3" s="6" t="s">
        <v>25</v>
      </c>
      <c r="H3" s="6">
        <f ca="1" t="array" ref="H3">INDEX(成本核算表!J:J,MATCH(1,(成本核算表!D:D=E3)*(成本核算表!C:C=G3),0))</f>
        <v>60</v>
      </c>
      <c r="I3" s="6">
        <v>400</v>
      </c>
      <c r="J3" s="6">
        <f ca="1" t="shared" si="1"/>
        <v>24000</v>
      </c>
      <c r="K3" s="6"/>
      <c r="L3" s="6"/>
      <c r="M3" s="6"/>
      <c r="N3" s="6">
        <f ca="1" t="shared" si="2"/>
        <v>24000</v>
      </c>
      <c r="O3" s="6">
        <f ca="1" t="shared" si="3"/>
        <v>6.66666666666667</v>
      </c>
      <c r="P3" s="6"/>
      <c r="Q3" s="6"/>
    </row>
    <row r="4" s="21" customFormat="1" ht="20" customHeight="1" spans="1:17">
      <c r="A4" s="27">
        <v>46083</v>
      </c>
      <c r="B4" s="6">
        <v>12</v>
      </c>
      <c r="C4" s="28">
        <f ca="1" t="shared" si="0"/>
        <v>0.68287037037037</v>
      </c>
      <c r="D4" s="5" t="s">
        <v>63</v>
      </c>
      <c r="E4" s="5" t="s">
        <v>55</v>
      </c>
      <c r="F4" s="6">
        <v>950</v>
      </c>
      <c r="G4" s="5" t="s">
        <v>126</v>
      </c>
      <c r="H4" s="6">
        <f ca="1" t="array" ref="H4">INDEX(成本核算表!J:J,MATCH(1,(成本核算表!D:D=E4)*(成本核算表!C:C=G4),0))</f>
        <v>20</v>
      </c>
      <c r="I4" s="6">
        <f>2160/2</f>
        <v>1080</v>
      </c>
      <c r="J4" s="6">
        <f ca="1" t="shared" si="1"/>
        <v>21600</v>
      </c>
      <c r="K4" s="6"/>
      <c r="L4" s="6"/>
      <c r="M4" s="6"/>
      <c r="N4" s="6">
        <f ca="1" t="shared" si="2"/>
        <v>21600</v>
      </c>
      <c r="O4" s="6">
        <f ca="1" t="shared" si="3"/>
        <v>6</v>
      </c>
      <c r="P4" s="6"/>
      <c r="Q4" s="6"/>
    </row>
    <row r="5" s="21" customFormat="1" ht="20" customHeight="1" spans="1:17">
      <c r="A5" s="27">
        <v>46083</v>
      </c>
      <c r="B5" s="6"/>
      <c r="C5" s="28"/>
      <c r="D5" s="6"/>
      <c r="E5" s="5" t="s">
        <v>34</v>
      </c>
      <c r="F5" s="6"/>
      <c r="G5" s="5" t="s">
        <v>33</v>
      </c>
      <c r="H5" s="6">
        <f ca="1" t="array" ref="H5">INDEX(成本核算表!J:J,MATCH(1,(成本核算表!D:D=E5)*(成本核算表!C:C=G5),0))</f>
        <v>100</v>
      </c>
      <c r="I5" s="6">
        <f>158/2</f>
        <v>79</v>
      </c>
      <c r="J5" s="6">
        <f ca="1" t="shared" si="1"/>
        <v>7900</v>
      </c>
      <c r="K5" s="6"/>
      <c r="L5" s="6"/>
      <c r="M5" s="6"/>
      <c r="N5" s="6">
        <f ca="1" t="shared" si="2"/>
        <v>7900</v>
      </c>
      <c r="O5" s="6">
        <f ca="1" t="shared" si="3"/>
        <v>2.19444444444444</v>
      </c>
      <c r="P5" s="6"/>
      <c r="Q5" s="6"/>
    </row>
    <row r="6" s="21" customFormat="1" ht="20" customHeight="1" spans="1:17">
      <c r="A6" s="27">
        <v>46084</v>
      </c>
      <c r="B6" s="6">
        <v>12</v>
      </c>
      <c r="C6" s="28">
        <f ca="1" t="shared" si="0"/>
        <v>1.01851851851852</v>
      </c>
      <c r="D6" s="6" t="s">
        <v>107</v>
      </c>
      <c r="E6" s="6" t="s">
        <v>108</v>
      </c>
      <c r="F6" s="6">
        <v>260</v>
      </c>
      <c r="G6" s="6" t="s">
        <v>24</v>
      </c>
      <c r="H6" s="6">
        <f ca="1" t="array" ref="H6">INDEX(成本核算表!J:J,MATCH(1,(成本核算表!D:D=E6)*(成本核算表!C:C=G6),0))</f>
        <v>50</v>
      </c>
      <c r="I6" s="6">
        <v>400</v>
      </c>
      <c r="J6" s="6">
        <f ca="1" t="shared" si="1"/>
        <v>20000</v>
      </c>
      <c r="K6" s="6"/>
      <c r="L6" s="6"/>
      <c r="M6" s="6"/>
      <c r="N6" s="6">
        <f ca="1" t="shared" si="2"/>
        <v>20000</v>
      </c>
      <c r="O6" s="6">
        <f ca="1" t="shared" si="3"/>
        <v>5.55555555555556</v>
      </c>
      <c r="P6" s="6"/>
      <c r="Q6" s="6"/>
    </row>
    <row r="7" s="21" customFormat="1" ht="20" customHeight="1" spans="1:17">
      <c r="A7" s="27">
        <v>46084</v>
      </c>
      <c r="B7" s="6"/>
      <c r="C7" s="28"/>
      <c r="D7" s="6" t="s">
        <v>107</v>
      </c>
      <c r="E7" s="6" t="s">
        <v>108</v>
      </c>
      <c r="F7" s="6">
        <v>260</v>
      </c>
      <c r="G7" s="6" t="s">
        <v>25</v>
      </c>
      <c r="H7" s="6">
        <f ca="1" t="array" ref="H7">INDEX(成本核算表!J:J,MATCH(1,(成本核算表!D:D=E7)*(成本核算表!C:C=G7),0))</f>
        <v>60</v>
      </c>
      <c r="I7" s="6">
        <v>400</v>
      </c>
      <c r="J7" s="6">
        <f ca="1" t="shared" si="1"/>
        <v>24000</v>
      </c>
      <c r="K7" s="6"/>
      <c r="L7" s="6"/>
      <c r="M7" s="6"/>
      <c r="N7" s="6">
        <f ca="1" t="shared" si="2"/>
        <v>24000</v>
      </c>
      <c r="O7" s="6">
        <f ca="1" t="shared" si="3"/>
        <v>6.66666666666667</v>
      </c>
      <c r="P7" s="6"/>
      <c r="Q7" s="6"/>
    </row>
    <row r="8" s="21" customFormat="1" ht="20" customHeight="1" spans="1:17">
      <c r="A8" s="27">
        <v>46085</v>
      </c>
      <c r="B8" s="6">
        <v>12</v>
      </c>
      <c r="C8" s="28">
        <f ca="1">SUM(O8)/B8</f>
        <v>0.896296296296296</v>
      </c>
      <c r="D8" s="5" t="s">
        <v>114</v>
      </c>
      <c r="E8" s="5" t="s">
        <v>101</v>
      </c>
      <c r="F8" s="6">
        <v>138.8</v>
      </c>
      <c r="G8" s="5" t="s">
        <v>102</v>
      </c>
      <c r="H8" s="6">
        <f ca="1" t="array" ref="H8">INDEX(成本核算表!J:J,MATCH(1,(成本核算表!D:D=E8)*(成本核算表!C:C=G8),0))</f>
        <v>160</v>
      </c>
      <c r="I8" s="6">
        <f>726/3</f>
        <v>242</v>
      </c>
      <c r="J8" s="6">
        <f ca="1" t="shared" si="1"/>
        <v>38720</v>
      </c>
      <c r="K8" s="6"/>
      <c r="L8" s="6"/>
      <c r="M8" s="6"/>
      <c r="N8" s="6">
        <f ca="1" t="shared" si="2"/>
        <v>38720</v>
      </c>
      <c r="O8" s="6">
        <f ca="1" t="shared" si="3"/>
        <v>10.7555555555556</v>
      </c>
      <c r="P8" s="6"/>
      <c r="Q8" s="6"/>
    </row>
    <row r="9" s="21" customFormat="1" ht="20" customHeight="1" spans="1:17">
      <c r="A9" s="27">
        <v>46086</v>
      </c>
      <c r="B9" s="6">
        <v>12</v>
      </c>
      <c r="C9" s="28">
        <f ca="1" t="shared" ref="C9:C13" si="4">SUM(O9:O10)/B9</f>
        <v>1.00833333333333</v>
      </c>
      <c r="D9" s="6" t="s">
        <v>107</v>
      </c>
      <c r="E9" s="6" t="s">
        <v>108</v>
      </c>
      <c r="F9" s="6">
        <v>260</v>
      </c>
      <c r="G9" s="6" t="s">
        <v>24</v>
      </c>
      <c r="H9" s="6">
        <f ca="1" t="array" ref="H9">INDEX(成本核算表!J:J,MATCH(1,(成本核算表!D:D=E9)*(成本核算表!C:C=G9),0))</f>
        <v>50</v>
      </c>
      <c r="I9" s="6">
        <v>400</v>
      </c>
      <c r="J9" s="6">
        <f ca="1" t="shared" si="1"/>
        <v>20000</v>
      </c>
      <c r="K9" s="6">
        <v>4</v>
      </c>
      <c r="L9" s="6"/>
      <c r="M9" s="6">
        <f ca="1">K9*H9</f>
        <v>200</v>
      </c>
      <c r="N9" s="6">
        <f ca="1" t="shared" si="2"/>
        <v>19800</v>
      </c>
      <c r="O9" s="6">
        <f ca="1" t="shared" si="3"/>
        <v>5.5</v>
      </c>
      <c r="P9" s="6"/>
      <c r="Q9" s="6"/>
    </row>
    <row r="10" s="21" customFormat="1" ht="20" customHeight="1" spans="1:17">
      <c r="A10" s="27">
        <v>46086</v>
      </c>
      <c r="B10" s="6"/>
      <c r="C10" s="28"/>
      <c r="D10" s="6" t="s">
        <v>107</v>
      </c>
      <c r="E10" s="6" t="s">
        <v>108</v>
      </c>
      <c r="F10" s="6">
        <v>260</v>
      </c>
      <c r="G10" s="6" t="s">
        <v>25</v>
      </c>
      <c r="H10" s="6">
        <f ca="1" t="array" ref="H10">INDEX(成本核算表!J:J,MATCH(1,(成本核算表!D:D=E10)*(成本核算表!C:C=G10),0))</f>
        <v>60</v>
      </c>
      <c r="I10" s="6">
        <v>400</v>
      </c>
      <c r="J10" s="6">
        <f ca="1" t="shared" si="1"/>
        <v>24000</v>
      </c>
      <c r="K10" s="6">
        <v>4</v>
      </c>
      <c r="L10" s="6"/>
      <c r="M10" s="6">
        <f ca="1">K10*H10</f>
        <v>240</v>
      </c>
      <c r="N10" s="6">
        <f ca="1" t="shared" si="2"/>
        <v>23760</v>
      </c>
      <c r="O10" s="6">
        <f ca="1" t="shared" si="3"/>
        <v>6.6</v>
      </c>
      <c r="P10" s="6"/>
      <c r="Q10" s="6"/>
    </row>
    <row r="11" s="21" customFormat="1" ht="20" customHeight="1" spans="1:17">
      <c r="A11" s="27">
        <v>46087</v>
      </c>
      <c r="B11" s="6">
        <v>12</v>
      </c>
      <c r="C11" s="28">
        <f ca="1" t="shared" si="4"/>
        <v>1.01851851851852</v>
      </c>
      <c r="D11" s="6" t="s">
        <v>107</v>
      </c>
      <c r="E11" s="6" t="s">
        <v>108</v>
      </c>
      <c r="F11" s="6">
        <v>260</v>
      </c>
      <c r="G11" s="6" t="s">
        <v>24</v>
      </c>
      <c r="H11" s="6">
        <f ca="1" t="array" ref="H11">INDEX(成本核算表!J:J,MATCH(1,(成本核算表!D:D=E11)*(成本核算表!C:C=G11),0))</f>
        <v>50</v>
      </c>
      <c r="I11" s="6">
        <v>400</v>
      </c>
      <c r="J11" s="6">
        <f ca="1" t="shared" si="1"/>
        <v>20000</v>
      </c>
      <c r="K11" s="6"/>
      <c r="L11" s="6"/>
      <c r="M11" s="6"/>
      <c r="N11" s="6">
        <f ca="1" t="shared" si="2"/>
        <v>20000</v>
      </c>
      <c r="O11" s="6">
        <f ca="1" t="shared" si="3"/>
        <v>5.55555555555556</v>
      </c>
      <c r="P11" s="6"/>
      <c r="Q11" s="6"/>
    </row>
    <row r="12" s="21" customFormat="1" ht="20" customHeight="1" spans="1:17">
      <c r="A12" s="27">
        <v>46087</v>
      </c>
      <c r="B12" s="6"/>
      <c r="C12" s="28"/>
      <c r="D12" s="6" t="s">
        <v>107</v>
      </c>
      <c r="E12" s="6" t="s">
        <v>108</v>
      </c>
      <c r="F12" s="6">
        <v>260</v>
      </c>
      <c r="G12" s="6" t="s">
        <v>25</v>
      </c>
      <c r="H12" s="6">
        <f ca="1" t="array" ref="H12">INDEX(成本核算表!J:J,MATCH(1,(成本核算表!D:D=E12)*(成本核算表!C:C=G12),0))</f>
        <v>60</v>
      </c>
      <c r="I12" s="6">
        <v>400</v>
      </c>
      <c r="J12" s="6">
        <f ca="1" t="shared" si="1"/>
        <v>24000</v>
      </c>
      <c r="K12" s="6"/>
      <c r="L12" s="6"/>
      <c r="M12" s="6"/>
      <c r="N12" s="6">
        <f ca="1" t="shared" si="2"/>
        <v>24000</v>
      </c>
      <c r="O12" s="6">
        <f ca="1" t="shared" si="3"/>
        <v>6.66666666666667</v>
      </c>
      <c r="P12" s="6"/>
      <c r="Q12" s="6"/>
    </row>
    <row r="13" s="21" customFormat="1" ht="20" customHeight="1" spans="1:17">
      <c r="A13" s="27">
        <v>46088</v>
      </c>
      <c r="B13" s="6">
        <v>12</v>
      </c>
      <c r="C13" s="28">
        <f ca="1" t="shared" si="4"/>
        <v>1.01851851851852</v>
      </c>
      <c r="D13" s="6" t="s">
        <v>107</v>
      </c>
      <c r="E13" s="6" t="s">
        <v>108</v>
      </c>
      <c r="F13" s="6">
        <v>260</v>
      </c>
      <c r="G13" s="6" t="s">
        <v>24</v>
      </c>
      <c r="H13" s="6">
        <f ca="1" t="array" ref="H13">INDEX(成本核算表!J:J,MATCH(1,(成本核算表!D:D=E13)*(成本核算表!C:C=G13),0))</f>
        <v>50</v>
      </c>
      <c r="I13" s="6">
        <v>400</v>
      </c>
      <c r="J13" s="6">
        <f ca="1" t="shared" si="1"/>
        <v>20000</v>
      </c>
      <c r="K13" s="6"/>
      <c r="L13" s="6"/>
      <c r="M13" s="6"/>
      <c r="N13" s="6">
        <f ca="1" t="shared" si="2"/>
        <v>20000</v>
      </c>
      <c r="O13" s="6">
        <f ca="1" t="shared" si="3"/>
        <v>5.55555555555556</v>
      </c>
      <c r="P13" s="6"/>
      <c r="Q13" s="6"/>
    </row>
    <row r="14" s="21" customFormat="1" ht="20" customHeight="1" spans="1:17">
      <c r="A14" s="27">
        <v>46088</v>
      </c>
      <c r="B14" s="6"/>
      <c r="C14" s="28"/>
      <c r="D14" s="6" t="s">
        <v>107</v>
      </c>
      <c r="E14" s="6" t="s">
        <v>108</v>
      </c>
      <c r="F14" s="6">
        <v>260</v>
      </c>
      <c r="G14" s="6" t="s">
        <v>25</v>
      </c>
      <c r="H14" s="6">
        <f ca="1" t="array" ref="H14">INDEX(成本核算表!J:J,MATCH(1,(成本核算表!D:D=E14)*(成本核算表!C:C=G14),0))</f>
        <v>60</v>
      </c>
      <c r="I14" s="6">
        <v>400</v>
      </c>
      <c r="J14" s="6">
        <f ca="1" t="shared" si="1"/>
        <v>24000</v>
      </c>
      <c r="K14" s="6"/>
      <c r="L14" s="6"/>
      <c r="M14" s="6"/>
      <c r="N14" s="6">
        <f ca="1" t="shared" si="2"/>
        <v>24000</v>
      </c>
      <c r="O14" s="6">
        <f ca="1" t="shared" si="3"/>
        <v>6.66666666666667</v>
      </c>
      <c r="P14" s="6"/>
      <c r="Q14" s="6"/>
    </row>
    <row r="15" s="21" customFormat="1" ht="20" customHeight="1" spans="1:17">
      <c r="A15" s="6"/>
      <c r="B15" s="6"/>
      <c r="C15" s="28"/>
      <c r="D15" s="6"/>
      <c r="E15" s="6"/>
      <c r="F15" s="6"/>
      <c r="G15" s="6"/>
      <c r="H15" s="6">
        <f ca="1" t="array" ref="H15">INDEX(成本核算表!J:J,MATCH(1,(成本核算表!D:D=E15)*(成本核算表!C:C=G15),0))</f>
        <v>0</v>
      </c>
      <c r="I15" s="6"/>
      <c r="J15" s="6">
        <f ca="1" t="shared" si="1"/>
        <v>0</v>
      </c>
      <c r="K15" s="6"/>
      <c r="L15" s="6"/>
      <c r="M15" s="6"/>
      <c r="N15" s="6">
        <f ca="1" t="shared" si="2"/>
        <v>0</v>
      </c>
      <c r="O15" s="6">
        <f ca="1" t="shared" si="3"/>
        <v>0</v>
      </c>
      <c r="P15" s="6"/>
      <c r="Q15" s="6"/>
    </row>
    <row r="16" s="21" customFormat="1" ht="20" customHeight="1" spans="1:17">
      <c r="A16" s="27">
        <v>46090</v>
      </c>
      <c r="B16" s="6">
        <v>11</v>
      </c>
      <c r="C16" s="28">
        <f ca="1">SUM(O16)/B16</f>
        <v>0.901515151515151</v>
      </c>
      <c r="D16" s="5" t="s">
        <v>199</v>
      </c>
      <c r="E16" s="5" t="s">
        <v>200</v>
      </c>
      <c r="F16" s="6">
        <v>130</v>
      </c>
      <c r="G16" s="5" t="s">
        <v>22</v>
      </c>
      <c r="H16" s="6">
        <f ca="1" t="array" ref="H16">INDEX(成本核算表!J:J,MATCH(1,(成本核算表!D:D=E16)*(成本核算表!C:C=G16),0))</f>
        <v>70</v>
      </c>
      <c r="I16" s="6">
        <v>510</v>
      </c>
      <c r="J16" s="6">
        <f ca="1" t="shared" si="1"/>
        <v>35700</v>
      </c>
      <c r="K16" s="6"/>
      <c r="L16" s="6"/>
      <c r="M16" s="6"/>
      <c r="N16" s="6">
        <f ca="1" t="shared" si="2"/>
        <v>35700</v>
      </c>
      <c r="O16" s="6">
        <f ca="1" t="shared" si="3"/>
        <v>9.91666666666667</v>
      </c>
      <c r="P16" s="6"/>
      <c r="Q16" s="6"/>
    </row>
    <row r="17" s="21" customFormat="1" ht="20" customHeight="1" spans="1:17">
      <c r="A17" s="27">
        <v>46091</v>
      </c>
      <c r="B17" s="6">
        <v>11</v>
      </c>
      <c r="C17" s="28">
        <f ca="1">SUM(O17)/B17</f>
        <v>0.919191919191919</v>
      </c>
      <c r="D17" s="5" t="s">
        <v>199</v>
      </c>
      <c r="E17" s="5" t="s">
        <v>200</v>
      </c>
      <c r="F17" s="6">
        <v>130</v>
      </c>
      <c r="G17" s="5" t="s">
        <v>22</v>
      </c>
      <c r="H17" s="6">
        <f ca="1" t="array" ref="H17">INDEX(成本核算表!J:J,MATCH(1,(成本核算表!D:D=E17)*(成本核算表!C:C=G17),0))</f>
        <v>70</v>
      </c>
      <c r="I17" s="6">
        <v>520</v>
      </c>
      <c r="J17" s="6">
        <f ca="1" t="shared" si="1"/>
        <v>36400</v>
      </c>
      <c r="K17" s="6"/>
      <c r="L17" s="6"/>
      <c r="M17" s="6"/>
      <c r="N17" s="6">
        <f ca="1" t="shared" si="2"/>
        <v>36400</v>
      </c>
      <c r="O17" s="6">
        <f ca="1" t="shared" si="3"/>
        <v>10.1111111111111</v>
      </c>
      <c r="P17" s="6"/>
      <c r="Q17" s="6"/>
    </row>
    <row r="18" s="21" customFormat="1" ht="20" customHeight="1" spans="1:17">
      <c r="A18" s="27">
        <v>46092</v>
      </c>
      <c r="B18" s="6">
        <v>11</v>
      </c>
      <c r="C18" s="28">
        <f ca="1" t="shared" ref="C18:C22" si="5">SUM(O18:O19)/B18</f>
        <v>1.11111111111111</v>
      </c>
      <c r="D18" s="6" t="s">
        <v>107</v>
      </c>
      <c r="E18" s="6" t="s">
        <v>108</v>
      </c>
      <c r="F18" s="6">
        <v>260</v>
      </c>
      <c r="G18" s="6" t="s">
        <v>24</v>
      </c>
      <c r="H18" s="6">
        <f ca="1" t="array" ref="H18">INDEX(成本核算表!J:J,MATCH(1,(成本核算表!D:D=E18)*(成本核算表!C:C=G18),0))</f>
        <v>50</v>
      </c>
      <c r="I18" s="6">
        <v>400</v>
      </c>
      <c r="J18" s="6">
        <f ca="1" t="shared" si="1"/>
        <v>20000</v>
      </c>
      <c r="K18" s="6"/>
      <c r="L18" s="6"/>
      <c r="M18" s="6"/>
      <c r="N18" s="6">
        <f ca="1" t="shared" si="2"/>
        <v>20000</v>
      </c>
      <c r="O18" s="6">
        <f ca="1" t="shared" si="3"/>
        <v>5.55555555555556</v>
      </c>
      <c r="P18" s="6"/>
      <c r="Q18" s="6"/>
    </row>
    <row r="19" s="21" customFormat="1" ht="20" customHeight="1" spans="1:17">
      <c r="A19" s="27">
        <v>46092</v>
      </c>
      <c r="B19" s="6"/>
      <c r="C19" s="28"/>
      <c r="D19" s="6" t="s">
        <v>107</v>
      </c>
      <c r="E19" s="6" t="s">
        <v>108</v>
      </c>
      <c r="F19" s="6">
        <v>260</v>
      </c>
      <c r="G19" s="6" t="s">
        <v>25</v>
      </c>
      <c r="H19" s="6">
        <f ca="1" t="array" ref="H19">INDEX(成本核算表!J:J,MATCH(1,(成本核算表!D:D=E19)*(成本核算表!C:C=G19),0))</f>
        <v>60</v>
      </c>
      <c r="I19" s="6">
        <v>400</v>
      </c>
      <c r="J19" s="6">
        <f ca="1" t="shared" si="1"/>
        <v>24000</v>
      </c>
      <c r="K19" s="6"/>
      <c r="L19" s="6"/>
      <c r="M19" s="6"/>
      <c r="N19" s="6">
        <f ca="1" t="shared" si="2"/>
        <v>24000</v>
      </c>
      <c r="O19" s="6">
        <f ca="1" t="shared" si="3"/>
        <v>6.66666666666667</v>
      </c>
      <c r="P19" s="6"/>
      <c r="Q19" s="6"/>
    </row>
    <row r="20" s="21" customFormat="1" ht="20" customHeight="1" spans="1:17">
      <c r="A20" s="27">
        <v>46093</v>
      </c>
      <c r="B20" s="6">
        <v>11</v>
      </c>
      <c r="C20" s="28">
        <f ca="1" t="shared" si="5"/>
        <v>0.939393939393939</v>
      </c>
      <c r="D20" s="5" t="s">
        <v>80</v>
      </c>
      <c r="E20" s="5" t="s">
        <v>78</v>
      </c>
      <c r="F20" s="6">
        <v>1960</v>
      </c>
      <c r="G20" s="5" t="s">
        <v>22</v>
      </c>
      <c r="H20" s="6">
        <f ca="1" t="array" ref="H20">INDEX(成本核算表!J:J,MATCH(1,(成本核算表!D:D=E20)*(成本核算表!C:C=G20),0))</f>
        <v>60</v>
      </c>
      <c r="I20" s="6">
        <v>227</v>
      </c>
      <c r="J20" s="6">
        <f ca="1" t="shared" si="1"/>
        <v>13620</v>
      </c>
      <c r="K20" s="6"/>
      <c r="L20" s="6"/>
      <c r="M20" s="6"/>
      <c r="N20" s="6">
        <f ca="1" t="shared" si="2"/>
        <v>13620</v>
      </c>
      <c r="O20" s="6">
        <f ca="1" t="shared" si="3"/>
        <v>3.78333333333333</v>
      </c>
      <c r="P20" s="6"/>
      <c r="Q20" s="6"/>
    </row>
    <row r="21" s="21" customFormat="1" ht="20" customHeight="1" spans="1:17">
      <c r="A21" s="27">
        <v>46093</v>
      </c>
      <c r="B21" s="6"/>
      <c r="C21" s="28"/>
      <c r="D21" s="5" t="s">
        <v>77</v>
      </c>
      <c r="E21" s="5" t="s">
        <v>78</v>
      </c>
      <c r="F21" s="6">
        <v>1960</v>
      </c>
      <c r="G21" s="5" t="s">
        <v>22</v>
      </c>
      <c r="H21" s="6">
        <f ca="1" t="array" ref="H21">INDEX(成本核算表!J:J,MATCH(1,(成本核算表!D:D=E21)*(成本核算表!C:C=G21),0))</f>
        <v>60</v>
      </c>
      <c r="I21" s="6">
        <v>393</v>
      </c>
      <c r="J21" s="6">
        <f ca="1" t="shared" si="1"/>
        <v>23580</v>
      </c>
      <c r="K21" s="6"/>
      <c r="L21" s="6"/>
      <c r="M21" s="6"/>
      <c r="N21" s="6">
        <f ca="1" t="shared" si="2"/>
        <v>23580</v>
      </c>
      <c r="O21" s="6">
        <f ca="1" t="shared" si="3"/>
        <v>6.55</v>
      </c>
      <c r="P21" s="6"/>
      <c r="Q21" s="6"/>
    </row>
    <row r="22" s="21" customFormat="1" ht="20" customHeight="1" spans="1:17">
      <c r="A22" s="27">
        <v>46094</v>
      </c>
      <c r="B22" s="6">
        <v>11</v>
      </c>
      <c r="C22" s="28">
        <f ca="1" t="shared" si="5"/>
        <v>1.10505050505051</v>
      </c>
      <c r="D22" s="6" t="s">
        <v>107</v>
      </c>
      <c r="E22" s="6" t="s">
        <v>108</v>
      </c>
      <c r="F22" s="6">
        <v>260</v>
      </c>
      <c r="G22" s="6" t="s">
        <v>24</v>
      </c>
      <c r="H22" s="6">
        <f ca="1" t="array" ref="H22">INDEX(成本核算表!J:J,MATCH(1,(成本核算表!D:D=E22)*(成本核算表!C:C=G22),0))</f>
        <v>50</v>
      </c>
      <c r="I22" s="6">
        <v>400</v>
      </c>
      <c r="J22" s="6">
        <f ca="1" t="shared" si="1"/>
        <v>20000</v>
      </c>
      <c r="K22" s="6"/>
      <c r="L22" s="6"/>
      <c r="M22" s="6"/>
      <c r="N22" s="6">
        <f ca="1" t="shared" si="2"/>
        <v>20000</v>
      </c>
      <c r="O22" s="6">
        <f ca="1" t="shared" si="3"/>
        <v>5.55555555555556</v>
      </c>
      <c r="P22" s="6"/>
      <c r="Q22" s="6"/>
    </row>
    <row r="23" s="21" customFormat="1" ht="20" customHeight="1" spans="1:17">
      <c r="A23" s="27">
        <v>46094</v>
      </c>
      <c r="B23" s="6"/>
      <c r="C23" s="28"/>
      <c r="D23" s="6" t="s">
        <v>107</v>
      </c>
      <c r="E23" s="6" t="s">
        <v>108</v>
      </c>
      <c r="F23" s="6">
        <v>260</v>
      </c>
      <c r="G23" s="6" t="s">
        <v>25</v>
      </c>
      <c r="H23" s="6">
        <f ca="1" t="array" ref="H23">INDEX(成本核算表!J:J,MATCH(1,(成本核算表!D:D=E23)*(成本核算表!C:C=G23),0))</f>
        <v>60</v>
      </c>
      <c r="I23" s="6">
        <v>400</v>
      </c>
      <c r="J23" s="6">
        <f ca="1" t="shared" si="1"/>
        <v>24000</v>
      </c>
      <c r="K23" s="6">
        <v>4</v>
      </c>
      <c r="L23" s="6"/>
      <c r="M23" s="6">
        <f ca="1">K23*H23</f>
        <v>240</v>
      </c>
      <c r="N23" s="6">
        <f ca="1" t="shared" si="2"/>
        <v>23760</v>
      </c>
      <c r="O23" s="6">
        <f ca="1" t="shared" si="3"/>
        <v>6.6</v>
      </c>
      <c r="P23" s="6"/>
      <c r="Q23" s="6"/>
    </row>
    <row r="24" s="21" customFormat="1" ht="20" customHeight="1" spans="1:17">
      <c r="A24" s="27">
        <v>46095</v>
      </c>
      <c r="B24" s="6">
        <v>11</v>
      </c>
      <c r="C24" s="28">
        <f ca="1">SUM(O24:O28)/B24</f>
        <v>1.13522727272727</v>
      </c>
      <c r="D24" s="5" t="s">
        <v>17</v>
      </c>
      <c r="E24" s="6" t="s">
        <v>18</v>
      </c>
      <c r="F24" s="6">
        <v>1942</v>
      </c>
      <c r="G24" s="5" t="s">
        <v>140</v>
      </c>
      <c r="H24" s="6">
        <f ca="1" t="array" ref="H24">INDEX(成本核算表!J:J,MATCH(1,(成本核算表!D:D=E24)*(成本核算表!C:C=G24),0))</f>
        <v>30</v>
      </c>
      <c r="I24" s="6">
        <f>1487/2</f>
        <v>743.5</v>
      </c>
      <c r="J24" s="6">
        <f ca="1" t="shared" si="1"/>
        <v>22305</v>
      </c>
      <c r="K24" s="6"/>
      <c r="L24" s="6"/>
      <c r="M24" s="6"/>
      <c r="N24" s="6">
        <f ca="1" t="shared" si="2"/>
        <v>22305</v>
      </c>
      <c r="O24" s="6">
        <f ca="1" t="shared" si="3"/>
        <v>6.19583333333333</v>
      </c>
      <c r="P24" s="6"/>
      <c r="Q24" s="6"/>
    </row>
    <row r="25" s="21" customFormat="1" ht="20" customHeight="1" spans="1:17">
      <c r="A25" s="27">
        <v>46095</v>
      </c>
      <c r="B25" s="6"/>
      <c r="C25" s="28"/>
      <c r="D25" s="5" t="s">
        <v>20</v>
      </c>
      <c r="E25" s="6" t="s">
        <v>18</v>
      </c>
      <c r="F25" s="6">
        <v>1942</v>
      </c>
      <c r="G25" s="5" t="s">
        <v>140</v>
      </c>
      <c r="H25" s="6">
        <f ca="1" t="array" ref="H25">INDEX(成本核算表!J:J,MATCH(1,(成本核算表!D:D=E25)*(成本核算表!C:C=G25),0))</f>
        <v>30</v>
      </c>
      <c r="I25" s="6">
        <f>318/2</f>
        <v>159</v>
      </c>
      <c r="J25" s="6">
        <f ca="1" t="shared" si="1"/>
        <v>4770</v>
      </c>
      <c r="K25" s="6"/>
      <c r="L25" s="6"/>
      <c r="M25" s="6"/>
      <c r="N25" s="6">
        <f ca="1" t="shared" si="2"/>
        <v>4770</v>
      </c>
      <c r="O25" s="6">
        <f ca="1" t="shared" si="3"/>
        <v>1.325</v>
      </c>
      <c r="P25" s="6"/>
      <c r="Q25" s="6"/>
    </row>
    <row r="26" s="21" customFormat="1" ht="20" customHeight="1" spans="1:17">
      <c r="A26" s="27">
        <v>46095</v>
      </c>
      <c r="B26" s="6"/>
      <c r="C26" s="28"/>
      <c r="D26" s="5" t="s">
        <v>80</v>
      </c>
      <c r="E26" s="5" t="s">
        <v>78</v>
      </c>
      <c r="F26" s="6">
        <v>1960</v>
      </c>
      <c r="G26" s="5" t="s">
        <v>22</v>
      </c>
      <c r="H26" s="6">
        <f ca="1" t="array" ref="H26">INDEX(成本核算表!J:J,MATCH(1,(成本核算表!D:D=E26)*(成本核算表!C:C=G26),0))</f>
        <v>60</v>
      </c>
      <c r="I26" s="6">
        <v>73</v>
      </c>
      <c r="J26" s="6">
        <f ca="1" t="shared" si="1"/>
        <v>4380</v>
      </c>
      <c r="K26" s="6"/>
      <c r="L26" s="6"/>
      <c r="M26" s="6"/>
      <c r="N26" s="6">
        <f ca="1" t="shared" si="2"/>
        <v>4380</v>
      </c>
      <c r="O26" s="6">
        <f ca="1" t="shared" si="3"/>
        <v>1.21666666666667</v>
      </c>
      <c r="P26" s="6"/>
      <c r="Q26" s="6"/>
    </row>
    <row r="27" s="21" customFormat="1" ht="20" customHeight="1" spans="1:17">
      <c r="A27" s="27">
        <v>46095</v>
      </c>
      <c r="B27" s="6"/>
      <c r="C27" s="28"/>
      <c r="D27" s="5" t="s">
        <v>77</v>
      </c>
      <c r="E27" s="5" t="s">
        <v>78</v>
      </c>
      <c r="F27" s="6">
        <v>1960</v>
      </c>
      <c r="G27" s="5" t="s">
        <v>22</v>
      </c>
      <c r="H27" s="6">
        <f ca="1" t="array" ref="H27">INDEX(成本核算表!J:J,MATCH(1,(成本核算表!D:D=E27)*(成本核算表!C:C=G27),0))</f>
        <v>60</v>
      </c>
      <c r="I27" s="6">
        <v>106</v>
      </c>
      <c r="J27" s="6">
        <f ca="1" t="shared" si="1"/>
        <v>6360</v>
      </c>
      <c r="K27" s="6"/>
      <c r="L27" s="6"/>
      <c r="M27" s="6"/>
      <c r="N27" s="6">
        <f ca="1" t="shared" si="2"/>
        <v>6360</v>
      </c>
      <c r="O27" s="6">
        <f ca="1" t="shared" si="3"/>
        <v>1.76666666666667</v>
      </c>
      <c r="P27" s="6"/>
      <c r="Q27" s="6"/>
    </row>
    <row r="28" s="21" customFormat="1" ht="20" customHeight="1" spans="1:17">
      <c r="A28" s="27">
        <v>46095</v>
      </c>
      <c r="B28" s="6"/>
      <c r="C28" s="28"/>
      <c r="D28" s="5" t="s">
        <v>199</v>
      </c>
      <c r="E28" s="5" t="s">
        <v>200</v>
      </c>
      <c r="F28" s="6">
        <v>130</v>
      </c>
      <c r="G28" s="5" t="s">
        <v>22</v>
      </c>
      <c r="H28" s="6">
        <f ca="1" t="array" ref="H28">INDEX(成本核算表!J:J,MATCH(1,(成本核算表!D:D=E28)*(成本核算表!C:C=G28),0))</f>
        <v>70</v>
      </c>
      <c r="I28" s="6">
        <v>102</v>
      </c>
      <c r="J28" s="6">
        <f ca="1" t="shared" si="1"/>
        <v>7140</v>
      </c>
      <c r="K28" s="6"/>
      <c r="L28" s="6"/>
      <c r="M28" s="6"/>
      <c r="N28" s="6">
        <f ca="1" t="shared" si="2"/>
        <v>7140</v>
      </c>
      <c r="O28" s="6">
        <f ca="1" t="shared" si="3"/>
        <v>1.98333333333333</v>
      </c>
      <c r="P28" s="6"/>
      <c r="Q28" s="6"/>
    </row>
    <row r="29" s="21" customFormat="1" ht="20" customHeight="1" spans="1:17">
      <c r="A29" s="27">
        <v>46096</v>
      </c>
      <c r="B29" s="6">
        <v>12</v>
      </c>
      <c r="C29" s="28">
        <f ca="1">SUM(O29:O30)/B29</f>
        <v>1.01574074074074</v>
      </c>
      <c r="D29" s="6" t="s">
        <v>107</v>
      </c>
      <c r="E29" s="6" t="s">
        <v>108</v>
      </c>
      <c r="F29" s="6">
        <v>260</v>
      </c>
      <c r="G29" s="6" t="s">
        <v>24</v>
      </c>
      <c r="H29" s="6">
        <f ca="1" t="array" ref="H29">INDEX(成本核算表!J:J,MATCH(1,(成本核算表!D:D=E29)*(成本核算表!C:C=G29),0))</f>
        <v>50</v>
      </c>
      <c r="I29" s="6">
        <v>400</v>
      </c>
      <c r="J29" s="6">
        <f ca="1" t="shared" si="1"/>
        <v>20000</v>
      </c>
      <c r="K29" s="6"/>
      <c r="L29" s="6"/>
      <c r="M29" s="6"/>
      <c r="N29" s="6">
        <f ca="1" t="shared" si="2"/>
        <v>20000</v>
      </c>
      <c r="O29" s="6">
        <f ca="1" t="shared" si="3"/>
        <v>5.55555555555556</v>
      </c>
      <c r="P29" s="6"/>
      <c r="Q29" s="6"/>
    </row>
    <row r="30" s="21" customFormat="1" ht="20" customHeight="1" spans="1:17">
      <c r="A30" s="27">
        <v>46096</v>
      </c>
      <c r="B30" s="6"/>
      <c r="C30" s="28"/>
      <c r="D30" s="6" t="s">
        <v>107</v>
      </c>
      <c r="E30" s="6" t="s">
        <v>108</v>
      </c>
      <c r="F30" s="6">
        <v>260</v>
      </c>
      <c r="G30" s="6" t="s">
        <v>25</v>
      </c>
      <c r="H30" s="6">
        <f ca="1" t="array" ref="H30">INDEX(成本核算表!J:J,MATCH(1,(成本核算表!D:D=E30)*(成本核算表!C:C=G30),0))</f>
        <v>60</v>
      </c>
      <c r="I30" s="6">
        <v>400</v>
      </c>
      <c r="J30" s="6">
        <f ca="1" t="shared" si="1"/>
        <v>24000</v>
      </c>
      <c r="K30" s="6">
        <v>2</v>
      </c>
      <c r="L30" s="6"/>
      <c r="M30" s="6">
        <f ca="1" t="shared" ref="M30:M34" si="6">K30*H30</f>
        <v>120</v>
      </c>
      <c r="N30" s="6">
        <f ca="1" t="shared" si="2"/>
        <v>23880</v>
      </c>
      <c r="O30" s="6">
        <f ca="1" t="shared" si="3"/>
        <v>6.63333333333333</v>
      </c>
      <c r="P30" s="6"/>
      <c r="Q30" s="6"/>
    </row>
    <row r="31" s="21" customFormat="1" ht="20" customHeight="1" spans="1:17">
      <c r="A31" s="27">
        <v>46097</v>
      </c>
      <c r="B31" s="6">
        <v>12</v>
      </c>
      <c r="C31" s="28">
        <f ca="1">SUM(O31:O33)/B31</f>
        <v>1.14178240740741</v>
      </c>
      <c r="D31" s="5" t="s">
        <v>94</v>
      </c>
      <c r="E31" s="5" t="s">
        <v>48</v>
      </c>
      <c r="F31" s="6">
        <v>950</v>
      </c>
      <c r="G31" s="5" t="s">
        <v>49</v>
      </c>
      <c r="H31" s="6">
        <f ca="1" t="array" ref="H31">INDEX(成本核算表!J:J,MATCH(1,(成本核算表!D:D=E31)*(成本核算表!C:C=G31),0))</f>
        <v>25</v>
      </c>
      <c r="I31" s="6">
        <v>300</v>
      </c>
      <c r="J31" s="6">
        <f ca="1" t="shared" si="1"/>
        <v>7500</v>
      </c>
      <c r="K31" s="6"/>
      <c r="L31" s="6"/>
      <c r="M31" s="6"/>
      <c r="N31" s="6">
        <f ca="1" t="shared" si="2"/>
        <v>7500</v>
      </c>
      <c r="O31" s="6">
        <f ca="1" t="shared" si="3"/>
        <v>2.08333333333333</v>
      </c>
      <c r="P31" s="6"/>
      <c r="Q31" s="6"/>
    </row>
    <row r="32" s="21" customFormat="1" ht="20" customHeight="1" spans="1:17">
      <c r="A32" s="27">
        <v>46097</v>
      </c>
      <c r="B32" s="6"/>
      <c r="C32" s="28"/>
      <c r="D32" s="5" t="s">
        <v>90</v>
      </c>
      <c r="E32" s="5" t="s">
        <v>48</v>
      </c>
      <c r="F32" s="6">
        <v>950</v>
      </c>
      <c r="G32" s="5" t="s">
        <v>49</v>
      </c>
      <c r="H32" s="6">
        <f ca="1" t="array" ref="H32">INDEX(成本核算表!J:J,MATCH(1,(成本核算表!D:D=E32)*(成本核算表!C:C=G32),0))</f>
        <v>25</v>
      </c>
      <c r="I32" s="6">
        <v>1056</v>
      </c>
      <c r="J32" s="6">
        <f ca="1" t="shared" si="1"/>
        <v>26400</v>
      </c>
      <c r="K32" s="6"/>
      <c r="L32" s="6"/>
      <c r="M32" s="6"/>
      <c r="N32" s="6">
        <f ca="1" t="shared" si="2"/>
        <v>26400</v>
      </c>
      <c r="O32" s="6">
        <f ca="1" t="shared" si="3"/>
        <v>7.33333333333333</v>
      </c>
      <c r="P32" s="6"/>
      <c r="Q32" s="6"/>
    </row>
    <row r="33" s="21" customFormat="1" ht="20" customHeight="1" spans="1:17">
      <c r="A33" s="27">
        <v>46097</v>
      </c>
      <c r="B33" s="6"/>
      <c r="C33" s="28"/>
      <c r="D33" s="5" t="s">
        <v>92</v>
      </c>
      <c r="E33" s="5" t="s">
        <v>48</v>
      </c>
      <c r="F33" s="6">
        <v>950</v>
      </c>
      <c r="G33" s="5" t="s">
        <v>49</v>
      </c>
      <c r="H33" s="6">
        <f ca="1" t="array" ref="H33">INDEX(成本核算表!J:J,MATCH(1,(成本核算表!D:D=E33)*(成本核算表!C:C=G33),0))</f>
        <v>25</v>
      </c>
      <c r="I33" s="6">
        <v>623</v>
      </c>
      <c r="J33" s="6">
        <f ca="1" t="shared" si="1"/>
        <v>15575</v>
      </c>
      <c r="K33" s="6">
        <v>6</v>
      </c>
      <c r="L33" s="6"/>
      <c r="M33" s="6">
        <f ca="1" t="shared" si="6"/>
        <v>150</v>
      </c>
      <c r="N33" s="6">
        <f ca="1" t="shared" si="2"/>
        <v>15425</v>
      </c>
      <c r="O33" s="6">
        <f ca="1" t="shared" si="3"/>
        <v>4.28472222222222</v>
      </c>
      <c r="P33" s="6"/>
      <c r="Q33" s="6"/>
    </row>
    <row r="34" s="21" customFormat="1" ht="20" customHeight="1" spans="1:17">
      <c r="A34" s="27">
        <v>46098</v>
      </c>
      <c r="B34" s="6">
        <v>12</v>
      </c>
      <c r="C34" s="28">
        <f ca="1">SUM(O34:O35)/B34</f>
        <v>1.00925925925926</v>
      </c>
      <c r="D34" s="6" t="s">
        <v>107</v>
      </c>
      <c r="E34" s="6" t="s">
        <v>108</v>
      </c>
      <c r="F34" s="6">
        <v>260</v>
      </c>
      <c r="G34" s="6" t="s">
        <v>24</v>
      </c>
      <c r="H34" s="6">
        <f ca="1" t="array" ref="H34">INDEX(成本核算表!J:J,MATCH(1,(成本核算表!D:D=E34)*(成本核算表!C:C=G34),0))</f>
        <v>50</v>
      </c>
      <c r="I34" s="6">
        <v>400</v>
      </c>
      <c r="J34" s="6">
        <f ca="1" t="shared" si="1"/>
        <v>20000</v>
      </c>
      <c r="K34" s="6">
        <v>8</v>
      </c>
      <c r="L34" s="6"/>
      <c r="M34" s="6">
        <f ca="1" t="shared" si="6"/>
        <v>400</v>
      </c>
      <c r="N34" s="6">
        <f ca="1" t="shared" si="2"/>
        <v>19600</v>
      </c>
      <c r="O34" s="6">
        <f ca="1" t="shared" si="3"/>
        <v>5.44444444444444</v>
      </c>
      <c r="P34" s="6"/>
      <c r="Q34" s="6"/>
    </row>
    <row r="35" s="21" customFormat="1" ht="20" customHeight="1" spans="1:17">
      <c r="A35" s="27">
        <v>46098</v>
      </c>
      <c r="B35" s="6"/>
      <c r="C35" s="28"/>
      <c r="D35" s="6" t="s">
        <v>107</v>
      </c>
      <c r="E35" s="6" t="s">
        <v>108</v>
      </c>
      <c r="F35" s="6">
        <v>260</v>
      </c>
      <c r="G35" s="6" t="s">
        <v>25</v>
      </c>
      <c r="H35" s="6">
        <f ca="1" t="array" ref="H35">INDEX(成本核算表!J:J,MATCH(1,(成本核算表!D:D=E35)*(成本核算表!C:C=G35),0))</f>
        <v>60</v>
      </c>
      <c r="I35" s="6">
        <v>400</v>
      </c>
      <c r="J35" s="6">
        <f ca="1" t="shared" si="1"/>
        <v>24000</v>
      </c>
      <c r="K35" s="6"/>
      <c r="L35" s="6"/>
      <c r="M35" s="6"/>
      <c r="N35" s="6">
        <f ca="1" t="shared" si="2"/>
        <v>24000</v>
      </c>
      <c r="O35" s="6">
        <f ca="1" t="shared" si="3"/>
        <v>6.66666666666667</v>
      </c>
      <c r="P35" s="6"/>
      <c r="Q35" s="6"/>
    </row>
    <row r="36" s="21" customFormat="1" ht="20" customHeight="1" spans="1:17">
      <c r="A36" s="27">
        <v>46099</v>
      </c>
      <c r="B36" s="6">
        <v>12</v>
      </c>
      <c r="C36" s="28">
        <f ca="1">O36/B36</f>
        <v>0.916666666666667</v>
      </c>
      <c r="D36" s="6"/>
      <c r="E36" s="5" t="s">
        <v>55</v>
      </c>
      <c r="F36" s="6">
        <v>1.5</v>
      </c>
      <c r="G36" s="5" t="s">
        <v>22</v>
      </c>
      <c r="H36" s="6">
        <f ca="1" t="array" ref="H36">INDEX(成本核算表!J:J,MATCH(1,(成本核算表!D:D=E36)*(成本核算表!C:C=G36),0))</f>
        <v>110</v>
      </c>
      <c r="I36" s="6">
        <v>360</v>
      </c>
      <c r="J36" s="6">
        <f ca="1" t="shared" si="1"/>
        <v>39600</v>
      </c>
      <c r="K36" s="6"/>
      <c r="L36" s="6"/>
      <c r="M36" s="6"/>
      <c r="N36" s="6">
        <f ca="1" t="shared" si="2"/>
        <v>39600</v>
      </c>
      <c r="O36" s="6">
        <f ca="1" t="shared" si="3"/>
        <v>11</v>
      </c>
      <c r="P36" s="6"/>
      <c r="Q36" s="6"/>
    </row>
    <row r="37" s="21" customFormat="1" ht="20" customHeight="1" spans="1:17">
      <c r="A37" s="27">
        <v>46100</v>
      </c>
      <c r="B37" s="6">
        <v>12</v>
      </c>
      <c r="C37" s="28">
        <f ca="1">SUM(O37:O39)/B37</f>
        <v>0.940277777777778</v>
      </c>
      <c r="D37" s="5" t="s">
        <v>84</v>
      </c>
      <c r="E37" s="5" t="s">
        <v>78</v>
      </c>
      <c r="F37" s="6">
        <v>780</v>
      </c>
      <c r="G37" s="5" t="s">
        <v>22</v>
      </c>
      <c r="H37" s="6">
        <f ca="1" t="array" ref="H37">INDEX(成本核算表!J:J,MATCH(1,(成本核算表!D:D=E37)*(成本核算表!C:C=G37),0))</f>
        <v>60</v>
      </c>
      <c r="I37" s="6">
        <v>26</v>
      </c>
      <c r="J37" s="6">
        <f ca="1" t="shared" si="1"/>
        <v>1560</v>
      </c>
      <c r="K37" s="6"/>
      <c r="L37" s="6"/>
      <c r="M37" s="6"/>
      <c r="N37" s="6">
        <f ca="1" t="shared" si="2"/>
        <v>1560</v>
      </c>
      <c r="O37" s="6">
        <f ca="1" t="shared" si="3"/>
        <v>0.433333333333333</v>
      </c>
      <c r="P37" s="6"/>
      <c r="Q37" s="6"/>
    </row>
    <row r="38" s="21" customFormat="1" ht="20" customHeight="1" spans="1:17">
      <c r="A38" s="27">
        <v>46100</v>
      </c>
      <c r="B38" s="6"/>
      <c r="C38" s="28"/>
      <c r="D38" s="5" t="s">
        <v>77</v>
      </c>
      <c r="E38" s="5" t="s">
        <v>78</v>
      </c>
      <c r="F38" s="6">
        <v>1960</v>
      </c>
      <c r="G38" s="5" t="s">
        <v>22</v>
      </c>
      <c r="H38" s="6">
        <f ca="1" t="array" ref="H38">INDEX(成本核算表!J:J,MATCH(1,(成本核算表!D:D=E38)*(成本核算表!C:C=G38),0))</f>
        <v>60</v>
      </c>
      <c r="I38" s="6">
        <v>382</v>
      </c>
      <c r="J38" s="6">
        <f ca="1" t="shared" si="1"/>
        <v>22920</v>
      </c>
      <c r="K38" s="6"/>
      <c r="L38" s="6"/>
      <c r="M38" s="6"/>
      <c r="N38" s="6">
        <f ca="1" t="shared" si="2"/>
        <v>22920</v>
      </c>
      <c r="O38" s="6">
        <f ca="1" t="shared" si="3"/>
        <v>6.36666666666667</v>
      </c>
      <c r="P38" s="6"/>
      <c r="Q38" s="6"/>
    </row>
    <row r="39" s="21" customFormat="1" ht="20" customHeight="1" spans="1:17">
      <c r="A39" s="27">
        <v>46100</v>
      </c>
      <c r="B39" s="6"/>
      <c r="C39" s="28"/>
      <c r="D39" s="5" t="s">
        <v>80</v>
      </c>
      <c r="E39" s="5" t="s">
        <v>78</v>
      </c>
      <c r="F39" s="6">
        <v>1960</v>
      </c>
      <c r="G39" s="5" t="s">
        <v>22</v>
      </c>
      <c r="H39" s="6">
        <f ca="1" t="array" ref="H39">INDEX(成本核算表!J:J,MATCH(1,(成本核算表!D:D=E39)*(成本核算表!C:C=G39),0))</f>
        <v>60</v>
      </c>
      <c r="I39" s="6">
        <v>269</v>
      </c>
      <c r="J39" s="6">
        <f ca="1" t="shared" si="1"/>
        <v>16140</v>
      </c>
      <c r="K39" s="6"/>
      <c r="L39" s="6"/>
      <c r="M39" s="6"/>
      <c r="N39" s="6">
        <f ca="1" t="shared" si="2"/>
        <v>16140</v>
      </c>
      <c r="O39" s="6">
        <f ca="1" t="shared" si="3"/>
        <v>4.48333333333333</v>
      </c>
      <c r="P39" s="6"/>
      <c r="Q39" s="6"/>
    </row>
    <row r="40" s="21" customFormat="1" ht="20" customHeight="1" spans="1:17">
      <c r="A40" s="27">
        <v>46101</v>
      </c>
      <c r="B40" s="6">
        <v>12</v>
      </c>
      <c r="C40" s="28">
        <f ca="1">SUM(O40:O41)/B40</f>
        <v>1.01851851851852</v>
      </c>
      <c r="D40" s="6" t="s">
        <v>107</v>
      </c>
      <c r="E40" s="6" t="s">
        <v>108</v>
      </c>
      <c r="F40" s="6">
        <v>260</v>
      </c>
      <c r="G40" s="6" t="s">
        <v>24</v>
      </c>
      <c r="H40" s="6">
        <f ca="1" t="array" ref="H40">INDEX(成本核算表!J:J,MATCH(1,(成本核算表!D:D=E40)*(成本核算表!C:C=G40),0))</f>
        <v>50</v>
      </c>
      <c r="I40" s="6">
        <v>400</v>
      </c>
      <c r="J40" s="6">
        <f ca="1" t="shared" si="1"/>
        <v>20000</v>
      </c>
      <c r="K40" s="6"/>
      <c r="L40" s="6"/>
      <c r="M40" s="6"/>
      <c r="N40" s="6">
        <f ca="1" t="shared" si="2"/>
        <v>20000</v>
      </c>
      <c r="O40" s="6">
        <f ca="1" t="shared" si="3"/>
        <v>5.55555555555556</v>
      </c>
      <c r="P40" s="6"/>
      <c r="Q40" s="6"/>
    </row>
    <row r="41" s="21" customFormat="1" ht="20" customHeight="1" spans="1:17">
      <c r="A41" s="27">
        <v>46101</v>
      </c>
      <c r="B41" s="6"/>
      <c r="C41" s="28"/>
      <c r="D41" s="6" t="s">
        <v>107</v>
      </c>
      <c r="E41" s="6" t="s">
        <v>108</v>
      </c>
      <c r="F41" s="6">
        <v>260</v>
      </c>
      <c r="G41" s="6" t="s">
        <v>25</v>
      </c>
      <c r="H41" s="6">
        <f ca="1" t="array" ref="H41">INDEX(成本核算表!J:J,MATCH(1,(成本核算表!D:D=E41)*(成本核算表!C:C=G41),0))</f>
        <v>60</v>
      </c>
      <c r="I41" s="6">
        <v>400</v>
      </c>
      <c r="J41" s="6">
        <f ca="1" t="shared" si="1"/>
        <v>24000</v>
      </c>
      <c r="K41" s="6"/>
      <c r="L41" s="6"/>
      <c r="M41" s="6"/>
      <c r="N41" s="6">
        <f ca="1" t="shared" si="2"/>
        <v>24000</v>
      </c>
      <c r="O41" s="6">
        <f ca="1" t="shared" si="3"/>
        <v>6.66666666666667</v>
      </c>
      <c r="P41" s="6"/>
      <c r="Q41" s="6"/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1"/>
        <v>0</v>
      </c>
      <c r="K42" s="23"/>
      <c r="L42" s="23"/>
      <c r="N42" s="6">
        <f ca="1" t="shared" si="2"/>
        <v>0</v>
      </c>
      <c r="O42" s="6">
        <f ca="1" t="shared" si="3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1"/>
        <v>0</v>
      </c>
      <c r="K43" s="23"/>
      <c r="L43" s="23"/>
      <c r="N43" s="6">
        <f ca="1" t="shared" si="2"/>
        <v>0</v>
      </c>
      <c r="O43" s="6">
        <f ca="1" t="shared" si="3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1"/>
        <v>0</v>
      </c>
      <c r="K44" s="23"/>
      <c r="L44" s="23"/>
      <c r="N44" s="6">
        <f ca="1" t="shared" si="2"/>
        <v>0</v>
      </c>
      <c r="O44" s="6">
        <f ca="1" t="shared" si="3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1"/>
        <v>0</v>
      </c>
      <c r="K45" s="23"/>
      <c r="L45" s="23"/>
      <c r="N45" s="6">
        <f ca="1" t="shared" si="2"/>
        <v>0</v>
      </c>
      <c r="O45" s="6">
        <f ca="1" t="shared" si="3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1"/>
        <v>0</v>
      </c>
      <c r="K46" s="23"/>
      <c r="L46" s="23"/>
      <c r="N46" s="6">
        <f ca="1" t="shared" si="2"/>
        <v>0</v>
      </c>
      <c r="O46" s="6">
        <f ca="1" t="shared" si="3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1"/>
        <v>0</v>
      </c>
      <c r="K47" s="23"/>
      <c r="L47" s="23"/>
      <c r="N47" s="6">
        <f ca="1" t="shared" si="2"/>
        <v>0</v>
      </c>
      <c r="O47" s="6">
        <f ca="1" t="shared" si="3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1"/>
        <v>0</v>
      </c>
      <c r="K48" s="23"/>
      <c r="L48" s="23"/>
      <c r="N48" s="6">
        <f ca="1" t="shared" si="2"/>
        <v>0</v>
      </c>
      <c r="O48" s="6">
        <f ca="1" t="shared" si="3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1"/>
        <v>0</v>
      </c>
      <c r="K49" s="23"/>
      <c r="L49" s="23"/>
      <c r="N49" s="6">
        <f ca="1" t="shared" si="2"/>
        <v>0</v>
      </c>
      <c r="O49" s="6">
        <f ca="1" t="shared" si="3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1"/>
        <v>0</v>
      </c>
      <c r="K50" s="23"/>
      <c r="L50" s="23"/>
      <c r="N50" s="6">
        <f ca="1" t="shared" si="2"/>
        <v>0</v>
      </c>
      <c r="O50" s="6">
        <f ca="1" t="shared" si="3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1"/>
        <v>0</v>
      </c>
      <c r="K51" s="23"/>
      <c r="L51" s="23"/>
      <c r="N51" s="6">
        <f ca="1" t="shared" si="2"/>
        <v>0</v>
      </c>
      <c r="O51" s="6">
        <f ca="1" t="shared" si="3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1"/>
        <v>0</v>
      </c>
      <c r="K52" s="23"/>
      <c r="L52" s="23"/>
      <c r="N52" s="6">
        <f ca="1" t="shared" si="2"/>
        <v>0</v>
      </c>
      <c r="O52" s="6">
        <f ca="1" t="shared" si="3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1"/>
        <v>0</v>
      </c>
      <c r="K53" s="23"/>
      <c r="L53" s="23"/>
      <c r="N53" s="6">
        <f ca="1" t="shared" si="2"/>
        <v>0</v>
      </c>
      <c r="O53" s="6">
        <f ca="1" t="shared" si="3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1"/>
        <v>0</v>
      </c>
      <c r="K54" s="23"/>
      <c r="L54" s="23"/>
      <c r="N54" s="6">
        <f ca="1" t="shared" si="2"/>
        <v>0</v>
      </c>
      <c r="O54" s="6">
        <f ca="1" t="shared" si="3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1"/>
        <v>0</v>
      </c>
      <c r="K55" s="23"/>
      <c r="L55" s="23"/>
      <c r="N55" s="6">
        <f ca="1" t="shared" si="2"/>
        <v>0</v>
      </c>
      <c r="O55" s="6">
        <f ca="1" t="shared" si="3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1"/>
        <v>0</v>
      </c>
      <c r="K56" s="23"/>
      <c r="L56" s="23"/>
      <c r="N56" s="6">
        <f ca="1" t="shared" si="2"/>
        <v>0</v>
      </c>
      <c r="O56" s="6">
        <f ca="1" t="shared" si="3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1"/>
        <v>0</v>
      </c>
      <c r="K57" s="23"/>
      <c r="L57" s="23"/>
      <c r="N57" s="6">
        <f ca="1" t="shared" si="2"/>
        <v>0</v>
      </c>
      <c r="O57" s="6">
        <f ca="1" t="shared" si="3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1"/>
        <v>0</v>
      </c>
      <c r="K58" s="23"/>
      <c r="L58" s="23"/>
      <c r="N58" s="6">
        <f ca="1" t="shared" si="2"/>
        <v>0</v>
      </c>
      <c r="O58" s="6">
        <f ca="1" t="shared" si="3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1"/>
        <v>0</v>
      </c>
      <c r="K59" s="23"/>
      <c r="L59" s="23"/>
      <c r="N59" s="6">
        <f ca="1" t="shared" si="2"/>
        <v>0</v>
      </c>
      <c r="O59" s="6">
        <f ca="1" t="shared" si="3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1"/>
        <v>0</v>
      </c>
      <c r="K60" s="23"/>
      <c r="L60" s="23"/>
      <c r="N60" s="6">
        <f ca="1" t="shared" si="2"/>
        <v>0</v>
      </c>
      <c r="O60" s="6">
        <f ca="1" t="shared" si="3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1"/>
        <v>0</v>
      </c>
      <c r="K61" s="23"/>
      <c r="L61" s="23"/>
      <c r="N61" s="6">
        <f ca="1" t="shared" si="2"/>
        <v>0</v>
      </c>
      <c r="O61" s="6">
        <f ca="1" t="shared" si="3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1"/>
        <v>0</v>
      </c>
      <c r="K62" s="23"/>
      <c r="L62" s="23"/>
      <c r="N62" s="6">
        <f ca="1" t="shared" si="2"/>
        <v>0</v>
      </c>
      <c r="O62" s="6">
        <f ca="1" t="shared" si="3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1"/>
        <v>0</v>
      </c>
      <c r="K63" s="23"/>
      <c r="L63" s="23"/>
      <c r="N63" s="6">
        <f ca="1" t="shared" si="2"/>
        <v>0</v>
      </c>
      <c r="O63" s="6">
        <f ca="1" t="shared" si="3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1"/>
        <v>0</v>
      </c>
      <c r="K64" s="23"/>
      <c r="L64" s="23"/>
      <c r="N64" s="6">
        <f ca="1" t="shared" si="2"/>
        <v>0</v>
      </c>
      <c r="O64" s="6">
        <f ca="1" t="shared" si="3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1"/>
        <v>0</v>
      </c>
      <c r="K65" s="23"/>
      <c r="L65" s="23"/>
      <c r="N65" s="6">
        <f ca="1" t="shared" si="2"/>
        <v>0</v>
      </c>
      <c r="O65" s="6">
        <f ca="1" t="shared" si="3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101" si="7">H66*I66</f>
        <v>0</v>
      </c>
      <c r="K66" s="23"/>
      <c r="L66" s="23"/>
      <c r="N66" s="6">
        <f ca="1" t="shared" ref="N66:N101" si="8">J66-M66+L66</f>
        <v>0</v>
      </c>
      <c r="O66" s="6">
        <f ca="1" t="shared" ref="O66:O101" si="9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7"/>
        <v>0</v>
      </c>
      <c r="K67" s="23"/>
      <c r="L67" s="23"/>
      <c r="N67" s="6">
        <f ca="1" t="shared" si="8"/>
        <v>0</v>
      </c>
      <c r="O67" s="6">
        <f ca="1" t="shared" si="9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7"/>
        <v>0</v>
      </c>
      <c r="K68" s="23"/>
      <c r="L68" s="23"/>
      <c r="N68" s="6">
        <f ca="1" t="shared" si="8"/>
        <v>0</v>
      </c>
      <c r="O68" s="6">
        <f ca="1" t="shared" si="9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7"/>
        <v>0</v>
      </c>
      <c r="K69" s="23"/>
      <c r="L69" s="23"/>
      <c r="N69" s="6">
        <f ca="1" t="shared" si="8"/>
        <v>0</v>
      </c>
      <c r="O69" s="6">
        <f ca="1" t="shared" si="9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7"/>
        <v>0</v>
      </c>
      <c r="K70" s="23"/>
      <c r="L70" s="23"/>
      <c r="N70" s="6">
        <f ca="1" t="shared" si="8"/>
        <v>0</v>
      </c>
      <c r="O70" s="6">
        <f ca="1" t="shared" si="9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7"/>
        <v>0</v>
      </c>
      <c r="K71" s="23"/>
      <c r="L71" s="23"/>
      <c r="N71" s="6">
        <f ca="1" t="shared" si="8"/>
        <v>0</v>
      </c>
      <c r="O71" s="6">
        <f ca="1" t="shared" si="9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7"/>
        <v>0</v>
      </c>
      <c r="K72" s="23"/>
      <c r="L72" s="23"/>
      <c r="N72" s="6">
        <f ca="1" t="shared" si="8"/>
        <v>0</v>
      </c>
      <c r="O72" s="6">
        <f ca="1" t="shared" si="9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7"/>
        <v>0</v>
      </c>
      <c r="K73" s="23"/>
      <c r="L73" s="23"/>
      <c r="N73" s="6">
        <f ca="1" t="shared" si="8"/>
        <v>0</v>
      </c>
      <c r="O73" s="6">
        <f ca="1" t="shared" si="9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7"/>
        <v>0</v>
      </c>
      <c r="K74" s="23"/>
      <c r="L74" s="23"/>
      <c r="N74" s="6">
        <f ca="1" t="shared" si="8"/>
        <v>0</v>
      </c>
      <c r="O74" s="6">
        <f ca="1" t="shared" si="9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7"/>
        <v>0</v>
      </c>
      <c r="K75" s="23"/>
      <c r="L75" s="23"/>
      <c r="N75" s="6">
        <f ca="1" t="shared" si="8"/>
        <v>0</v>
      </c>
      <c r="O75" s="6">
        <f ca="1" t="shared" si="9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7"/>
        <v>0</v>
      </c>
      <c r="K76" s="23"/>
      <c r="L76" s="23"/>
      <c r="N76" s="6">
        <f ca="1" t="shared" si="8"/>
        <v>0</v>
      </c>
      <c r="O76" s="6">
        <f ca="1" t="shared" si="9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7"/>
        <v>0</v>
      </c>
      <c r="K77" s="23"/>
      <c r="L77" s="23"/>
      <c r="N77" s="6">
        <f ca="1" t="shared" si="8"/>
        <v>0</v>
      </c>
      <c r="O77" s="6">
        <f ca="1" t="shared" si="9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7"/>
        <v>0</v>
      </c>
      <c r="K78" s="23"/>
      <c r="L78" s="23"/>
      <c r="N78" s="6">
        <f ca="1" t="shared" si="8"/>
        <v>0</v>
      </c>
      <c r="O78" s="6">
        <f ca="1" t="shared" si="9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7"/>
        <v>0</v>
      </c>
      <c r="K79" s="23"/>
      <c r="L79" s="23"/>
      <c r="N79" s="6">
        <f ca="1" t="shared" si="8"/>
        <v>0</v>
      </c>
      <c r="O79" s="6">
        <f ca="1" t="shared" si="9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7"/>
        <v>0</v>
      </c>
      <c r="K80" s="23"/>
      <c r="L80" s="23"/>
      <c r="N80" s="6">
        <f ca="1" t="shared" si="8"/>
        <v>0</v>
      </c>
      <c r="O80" s="6">
        <f ca="1" t="shared" si="9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7"/>
        <v>0</v>
      </c>
      <c r="K81" s="23"/>
      <c r="L81" s="23"/>
      <c r="N81" s="6">
        <f ca="1" t="shared" si="8"/>
        <v>0</v>
      </c>
      <c r="O81" s="6">
        <f ca="1" t="shared" si="9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7"/>
        <v>0</v>
      </c>
      <c r="K82" s="23"/>
      <c r="L82" s="23"/>
      <c r="N82" s="6">
        <f ca="1" t="shared" si="8"/>
        <v>0</v>
      </c>
      <c r="O82" s="6">
        <f ca="1" t="shared" si="9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7"/>
        <v>0</v>
      </c>
      <c r="K83" s="23"/>
      <c r="L83" s="23"/>
      <c r="N83" s="6">
        <f ca="1" t="shared" si="8"/>
        <v>0</v>
      </c>
      <c r="O83" s="6">
        <f ca="1" t="shared" si="9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7"/>
        <v>0</v>
      </c>
      <c r="K84" s="23"/>
      <c r="L84" s="23"/>
      <c r="N84" s="6">
        <f ca="1" t="shared" si="8"/>
        <v>0</v>
      </c>
      <c r="O84" s="6">
        <f ca="1" t="shared" si="9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7"/>
        <v>0</v>
      </c>
      <c r="K85" s="23"/>
      <c r="L85" s="23"/>
      <c r="N85" s="6">
        <f ca="1" t="shared" si="8"/>
        <v>0</v>
      </c>
      <c r="O85" s="6">
        <f ca="1" t="shared" si="9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7"/>
        <v>0</v>
      </c>
      <c r="K86" s="23"/>
      <c r="L86" s="23"/>
      <c r="N86" s="6">
        <f ca="1" t="shared" si="8"/>
        <v>0</v>
      </c>
      <c r="O86" s="6">
        <f ca="1" t="shared" si="9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7"/>
        <v>0</v>
      </c>
      <c r="K87" s="23"/>
      <c r="L87" s="23"/>
      <c r="N87" s="6">
        <f ca="1" t="shared" si="8"/>
        <v>0</v>
      </c>
      <c r="O87" s="6">
        <f ca="1" t="shared" si="9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7"/>
        <v>0</v>
      </c>
      <c r="K88" s="23"/>
      <c r="L88" s="23"/>
      <c r="N88" s="6">
        <f ca="1" t="shared" si="8"/>
        <v>0</v>
      </c>
      <c r="O88" s="6">
        <f ca="1" t="shared" si="9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7"/>
        <v>0</v>
      </c>
      <c r="K89" s="23"/>
      <c r="L89" s="23"/>
      <c r="N89" s="6">
        <f ca="1" t="shared" si="8"/>
        <v>0</v>
      </c>
      <c r="O89" s="6">
        <f ca="1" t="shared" si="9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7"/>
        <v>0</v>
      </c>
      <c r="K90" s="23"/>
      <c r="L90" s="23"/>
      <c r="N90" s="6">
        <f ca="1" t="shared" si="8"/>
        <v>0</v>
      </c>
      <c r="O90" s="6">
        <f ca="1" t="shared" si="9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7"/>
        <v>0</v>
      </c>
      <c r="K91" s="23"/>
      <c r="L91" s="23"/>
      <c r="N91" s="6">
        <f ca="1" t="shared" si="8"/>
        <v>0</v>
      </c>
      <c r="O91" s="6">
        <f ca="1" t="shared" si="9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7"/>
        <v>0</v>
      </c>
      <c r="K92" s="23"/>
      <c r="L92" s="23"/>
      <c r="N92" s="6">
        <f ca="1" t="shared" si="8"/>
        <v>0</v>
      </c>
      <c r="O92" s="6">
        <f ca="1" t="shared" si="9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7"/>
        <v>0</v>
      </c>
      <c r="K93" s="23"/>
      <c r="L93" s="23"/>
      <c r="N93" s="6">
        <f ca="1" t="shared" si="8"/>
        <v>0</v>
      </c>
      <c r="O93" s="6">
        <f ca="1" t="shared" si="9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7"/>
        <v>0</v>
      </c>
      <c r="K94" s="23"/>
      <c r="L94" s="23"/>
      <c r="N94" s="6">
        <f ca="1" t="shared" si="8"/>
        <v>0</v>
      </c>
      <c r="O94" s="6">
        <f ca="1" t="shared" si="9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7"/>
        <v>0</v>
      </c>
      <c r="K95" s="23"/>
      <c r="L95" s="23"/>
      <c r="N95" s="6">
        <f ca="1" t="shared" si="8"/>
        <v>0</v>
      </c>
      <c r="O95" s="6">
        <f ca="1" t="shared" si="9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7"/>
        <v>0</v>
      </c>
      <c r="K96" s="23"/>
      <c r="L96" s="23"/>
      <c r="N96" s="6">
        <f ca="1" t="shared" si="8"/>
        <v>0</v>
      </c>
      <c r="O96" s="6">
        <f ca="1" t="shared" si="9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7"/>
        <v>0</v>
      </c>
      <c r="K97" s="23"/>
      <c r="L97" s="23"/>
      <c r="N97" s="6">
        <f ca="1" t="shared" si="8"/>
        <v>0</v>
      </c>
      <c r="O97" s="6">
        <f ca="1" t="shared" si="9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7"/>
        <v>0</v>
      </c>
      <c r="K98" s="23"/>
      <c r="L98" s="23"/>
      <c r="N98" s="6">
        <f ca="1" t="shared" si="8"/>
        <v>0</v>
      </c>
      <c r="O98" s="6">
        <f ca="1" t="shared" si="9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7"/>
        <v>0</v>
      </c>
      <c r="K99" s="23"/>
      <c r="L99" s="23"/>
      <c r="N99" s="6">
        <f ca="1" t="shared" si="8"/>
        <v>0</v>
      </c>
      <c r="O99" s="6">
        <f ca="1" t="shared" si="9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7"/>
        <v>0</v>
      </c>
      <c r="K100" s="23"/>
      <c r="L100" s="23"/>
      <c r="N100" s="6">
        <f ca="1" t="shared" si="8"/>
        <v>0</v>
      </c>
      <c r="O100" s="6">
        <f ca="1" t="shared" si="9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7"/>
        <v>0</v>
      </c>
      <c r="K101" s="23"/>
      <c r="L101" s="23"/>
      <c r="N101" s="6">
        <f ca="1" t="shared" si="8"/>
        <v>0</v>
      </c>
      <c r="O101" s="6">
        <f ca="1" t="shared" si="9"/>
        <v>0</v>
      </c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6">
        <f ca="1" t="array" ref="H102">INDEX(成本核算表!J:J,MATCH(1,(成本核算表!D:D=E102)*(成本核算表!C:C=G102),0))</f>
        <v>0</v>
      </c>
      <c r="I102" s="6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6">
        <f ca="1" t="array" ref="H103">INDEX(成本核算表!J:J,MATCH(1,(成本核算表!D:D=E103)*(成本核算表!C:C=G103),0))</f>
        <v>0</v>
      </c>
      <c r="I103" s="6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6">
        <f ca="1" t="array" ref="H104">INDEX(成本核算表!J:J,MATCH(1,(成本核算表!D:D=E104)*(成本核算表!C:C=G104),0))</f>
        <v>0</v>
      </c>
      <c r="I104" s="6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6">
        <f ca="1" t="array" ref="H105">INDEX(成本核算表!J:J,MATCH(1,(成本核算表!D:D=E105)*(成本核算表!C:C=G105),0))</f>
        <v>0</v>
      </c>
      <c r="I105" s="6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6">
        <f ca="1" t="array" ref="H106">INDEX(成本核算表!J:J,MATCH(1,(成本核算表!D:D=E106)*(成本核算表!C:C=G106),0))</f>
        <v>0</v>
      </c>
      <c r="I106" s="6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6">
        <f ca="1" t="array" ref="H107">INDEX(成本核算表!J:J,MATCH(1,(成本核算表!D:D=E107)*(成本核算表!C:C=G107),0))</f>
        <v>0</v>
      </c>
      <c r="I107" s="6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6">
        <f ca="1" t="array" ref="H108">INDEX(成本核算表!J:J,MATCH(1,(成本核算表!D:D=E108)*(成本核算表!C:C=G108),0))</f>
        <v>0</v>
      </c>
      <c r="I108" s="6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6">
        <f ca="1" t="array" ref="H109">INDEX(成本核算表!J:J,MATCH(1,(成本核算表!D:D=E109)*(成本核算表!C:C=G109),0))</f>
        <v>0</v>
      </c>
      <c r="I109" s="6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6">
        <f ca="1" t="array" ref="H110">INDEX(成本核算表!J:J,MATCH(1,(成本核算表!D:D=E110)*(成本核算表!C:C=G110),0))</f>
        <v>0</v>
      </c>
      <c r="I110" s="6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6">
        <f ca="1" t="array" ref="H111">INDEX(成本核算表!J:J,MATCH(1,(成本核算表!D:D=E111)*(成本核算表!C:C=G111),0))</f>
        <v>0</v>
      </c>
      <c r="I111" s="6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6">
        <f ca="1" t="array" ref="H112">INDEX(成本核算表!J:J,MATCH(1,(成本核算表!D:D=E112)*(成本核算表!C:C=G112),0))</f>
        <v>0</v>
      </c>
      <c r="I112" s="6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6">
        <f ca="1" t="array" ref="H113">INDEX(成本核算表!J:J,MATCH(1,(成本核算表!D:D=E113)*(成本核算表!C:C=G113),0))</f>
        <v>0</v>
      </c>
      <c r="I113" s="6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6">
        <f ca="1" t="array" ref="H114">INDEX(成本核算表!J:J,MATCH(1,(成本核算表!D:D=E114)*(成本核算表!C:C=G114),0))</f>
        <v>0</v>
      </c>
      <c r="I114" s="6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6">
        <f ca="1" t="array" ref="H115">INDEX(成本核算表!J:J,MATCH(1,(成本核算表!D:D=E115)*(成本核算表!C:C=G115),0))</f>
        <v>0</v>
      </c>
      <c r="I115" s="6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6">
        <f ca="1" t="array" ref="H116">INDEX(成本核算表!J:J,MATCH(1,(成本核算表!D:D=E116)*(成本核算表!C:C=G116),0))</f>
        <v>0</v>
      </c>
      <c r="I116" s="6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6">
        <f ca="1" t="array" ref="H117">INDEX(成本核算表!J:J,MATCH(1,(成本核算表!D:D=E117)*(成本核算表!C:C=G117),0))</f>
        <v>0</v>
      </c>
      <c r="I117" s="6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6">
        <f ca="1" t="array" ref="H118">INDEX(成本核算表!J:J,MATCH(1,(成本核算表!D:D=E118)*(成本核算表!C:C=G118),0))</f>
        <v>0</v>
      </c>
      <c r="I118" s="6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6">
        <f ca="1" t="array" ref="H119">INDEX(成本核算表!J:J,MATCH(1,(成本核算表!D:D=E119)*(成本核算表!C:C=G119),0))</f>
        <v>0</v>
      </c>
      <c r="I119" s="6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6">
        <f ca="1" t="array" ref="H120">INDEX(成本核算表!J:J,MATCH(1,(成本核算表!D:D=E120)*(成本核算表!C:C=G120),0))</f>
        <v>0</v>
      </c>
      <c r="I120" s="6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6">
        <f ca="1" t="array" ref="H121">INDEX(成本核算表!J:J,MATCH(1,(成本核算表!D:D=E121)*(成本核算表!C:C=G121),0))</f>
        <v>0</v>
      </c>
      <c r="I121" s="6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6">
        <f ca="1" t="array" ref="H122">INDEX(成本核算表!J:J,MATCH(1,(成本核算表!D:D=E122)*(成本核算表!C:C=G122),0))</f>
        <v>0</v>
      </c>
      <c r="I122" s="6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6">
        <f ca="1" t="array" ref="H123">INDEX(成本核算表!J:J,MATCH(1,(成本核算表!D:D=E123)*(成本核算表!C:C=G123),0))</f>
        <v>0</v>
      </c>
      <c r="I123" s="6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6">
        <f ca="1" t="array" ref="H124">INDEX(成本核算表!J:J,MATCH(1,(成本核算表!D:D=E124)*(成本核算表!C:C=G124),0))</f>
        <v>0</v>
      </c>
      <c r="I124" s="6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6">
        <f ca="1" t="array" ref="H125">INDEX(成本核算表!J:J,MATCH(1,(成本核算表!D:D=E125)*(成本核算表!C:C=G125),0))</f>
        <v>0</v>
      </c>
      <c r="I125" s="6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6">
        <f ca="1" t="array" ref="H126">INDEX(成本核算表!J:J,MATCH(1,(成本核算表!D:D=E126)*(成本核算表!C:C=G126),0))</f>
        <v>0</v>
      </c>
      <c r="I126" s="6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6">
        <f ca="1" t="array" ref="H127">INDEX(成本核算表!J:J,MATCH(1,(成本核算表!D:D=E127)*(成本核算表!C:C=G127),0))</f>
        <v>0</v>
      </c>
      <c r="I127" s="6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6">
        <f ca="1" t="array" ref="H128">INDEX(成本核算表!J:J,MATCH(1,(成本核算表!D:D=E128)*(成本核算表!C:C=G128),0))</f>
        <v>0</v>
      </c>
      <c r="I128" s="6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6">
        <f ca="1" t="array" ref="H129">INDEX(成本核算表!J:J,MATCH(1,(成本核算表!D:D=E129)*(成本核算表!C:C=G129),0))</f>
        <v>0</v>
      </c>
      <c r="I129" s="6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6">
        <f ca="1" t="array" ref="H130">INDEX(成本核算表!J:J,MATCH(1,(成本核算表!D:D=E130)*(成本核算表!C:C=G130),0))</f>
        <v>0</v>
      </c>
      <c r="I130" s="6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6">
        <f ca="1" t="array" ref="H131">INDEX(成本核算表!J:J,MATCH(1,(成本核算表!D:D=E131)*(成本核算表!C:C=G131),0))</f>
        <v>0</v>
      </c>
      <c r="I131" s="6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6">
        <f ca="1" t="array" ref="H132">INDEX(成本核算表!J:J,MATCH(1,(成本核算表!D:D=E132)*(成本核算表!C:C=G132),0))</f>
        <v>0</v>
      </c>
      <c r="I132" s="6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6">
        <f ca="1" t="array" ref="H133">INDEX(成本核算表!J:J,MATCH(1,(成本核算表!D:D=E133)*(成本核算表!C:C=G133),0))</f>
        <v>0</v>
      </c>
      <c r="I133" s="6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6">
        <f ca="1" t="array" ref="H134">INDEX(成本核算表!J:J,MATCH(1,(成本核算表!D:D=E134)*(成本核算表!C:C=G134),0))</f>
        <v>0</v>
      </c>
      <c r="I134" s="6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6">
        <f ca="1" t="array" ref="H135">INDEX(成本核算表!J:J,MATCH(1,(成本核算表!D:D=E135)*(成本核算表!C:C=G135),0))</f>
        <v>0</v>
      </c>
      <c r="I135" s="6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6">
        <f ca="1" t="array" ref="H136">INDEX(成本核算表!J:J,MATCH(1,(成本核算表!D:D=E136)*(成本核算表!C:C=G136),0))</f>
        <v>0</v>
      </c>
      <c r="I136" s="6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6">
        <f ca="1" t="array" ref="H137">INDEX(成本核算表!J:J,MATCH(1,(成本核算表!D:D=E137)*(成本核算表!C:C=G137),0))</f>
        <v>0</v>
      </c>
      <c r="I137" s="6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6">
        <f ca="1" t="array" ref="H138">INDEX(成本核算表!J:J,MATCH(1,(成本核算表!D:D=E138)*(成本核算表!C:C=G138),0))</f>
        <v>0</v>
      </c>
      <c r="I138" s="6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6">
        <f ca="1" t="array" ref="H139">INDEX(成本核算表!J:J,MATCH(1,(成本核算表!D:D=E139)*(成本核算表!C:C=G139),0))</f>
        <v>0</v>
      </c>
      <c r="I139" s="6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6">
        <f ca="1" t="array" ref="H140">INDEX(成本核算表!J:J,MATCH(1,(成本核算表!D:D=E140)*(成本核算表!C:C=G140),0))</f>
        <v>0</v>
      </c>
      <c r="I140" s="6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6">
        <f ca="1" t="array" ref="H141">INDEX(成本核算表!J:J,MATCH(1,(成本核算表!D:D=E141)*(成本核算表!C:C=G141),0))</f>
        <v>0</v>
      </c>
      <c r="I141" s="6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6">
        <f ca="1" t="array" ref="H142">INDEX(成本核算表!J:J,MATCH(1,(成本核算表!D:D=E142)*(成本核算表!C:C=G142),0))</f>
        <v>0</v>
      </c>
      <c r="I142" s="6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6">
        <f ca="1" t="array" ref="H143">INDEX(成本核算表!J:J,MATCH(1,(成本核算表!D:D=E143)*(成本核算表!C:C=G143),0))</f>
        <v>0</v>
      </c>
      <c r="I143" s="6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6">
        <f ca="1" t="array" ref="H144">INDEX(成本核算表!J:J,MATCH(1,(成本核算表!D:D=E144)*(成本核算表!C:C=G144),0))</f>
        <v>0</v>
      </c>
      <c r="I144" s="6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6">
        <f ca="1" t="array" ref="H145">INDEX(成本核算表!J:J,MATCH(1,(成本核算表!D:D=E145)*(成本核算表!C:C=G145),0))</f>
        <v>0</v>
      </c>
      <c r="I145" s="6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6">
        <f ca="1" t="array" ref="H146">INDEX(成本核算表!J:J,MATCH(1,(成本核算表!D:D=E146)*(成本核算表!C:C=G146),0))</f>
        <v>0</v>
      </c>
      <c r="I146" s="6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6">
        <f ca="1" t="array" ref="H147">INDEX(成本核算表!J:J,MATCH(1,(成本核算表!D:D=E147)*(成本核算表!C:C=G147),0))</f>
        <v>0</v>
      </c>
      <c r="I147" s="6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6">
        <f ca="1" t="array" ref="H148">INDEX(成本核算表!J:J,MATCH(1,(成本核算表!D:D=E148)*(成本核算表!C:C=G148),0))</f>
        <v>0</v>
      </c>
      <c r="I148" s="6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6">
        <f ca="1" t="array" ref="H149">INDEX(成本核算表!J:J,MATCH(1,(成本核算表!D:D=E149)*(成本核算表!C:C=G149),0))</f>
        <v>0</v>
      </c>
      <c r="I149" s="6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6">
        <f ca="1" t="array" ref="H150">INDEX(成本核算表!J:J,MATCH(1,(成本核算表!D:D=E150)*(成本核算表!C:C=G150),0))</f>
        <v>0</v>
      </c>
      <c r="I150" s="6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6">
        <f ca="1" t="array" ref="H151">INDEX(成本核算表!J:J,MATCH(1,(成本核算表!D:D=E151)*(成本核算表!C:C=G151),0))</f>
        <v>0</v>
      </c>
      <c r="I151" s="6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6">
        <f ca="1" t="array" ref="H152">INDEX(成本核算表!J:J,MATCH(1,(成本核算表!D:D=E152)*(成本核算表!C:C=G152),0))</f>
        <v>0</v>
      </c>
      <c r="I152" s="6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6">
        <f ca="1" t="array" ref="H153">INDEX(成本核算表!J:J,MATCH(1,(成本核算表!D:D=E153)*(成本核算表!C:C=G153),0))</f>
        <v>0</v>
      </c>
      <c r="I153" s="6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6">
        <f ca="1" t="array" ref="H154">INDEX(成本核算表!J:J,MATCH(1,(成本核算表!D:D=E154)*(成本核算表!C:C=G154),0))</f>
        <v>0</v>
      </c>
      <c r="I154" s="6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6">
        <f ca="1" t="array" ref="H155">INDEX(成本核算表!J:J,MATCH(1,(成本核算表!D:D=E155)*(成本核算表!C:C=G155),0))</f>
        <v>0</v>
      </c>
      <c r="I155" s="6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6">
        <f ca="1" t="array" ref="H156">INDEX(成本核算表!J:J,MATCH(1,(成本核算表!D:D=E156)*(成本核算表!C:C=G156),0))</f>
        <v>0</v>
      </c>
      <c r="I156" s="6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6">
        <f ca="1" t="array" ref="H157">INDEX(成本核算表!J:J,MATCH(1,(成本核算表!D:D=E157)*(成本核算表!C:C=G157),0))</f>
        <v>0</v>
      </c>
      <c r="I157" s="6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6">
        <f ca="1" t="array" ref="H158">INDEX(成本核算表!J:J,MATCH(1,(成本核算表!D:D=E158)*(成本核算表!C:C=G158),0))</f>
        <v>0</v>
      </c>
      <c r="I158" s="6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6">
        <f ca="1" t="array" ref="H159">INDEX(成本核算表!J:J,MATCH(1,(成本核算表!D:D=E159)*(成本核算表!C:C=G159),0))</f>
        <v>0</v>
      </c>
      <c r="I159" s="6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6">
        <f ca="1" t="array" ref="H160">INDEX(成本核算表!J:J,MATCH(1,(成本核算表!D:D=E160)*(成本核算表!C:C=G160),0))</f>
        <v>0</v>
      </c>
      <c r="I160" s="6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6">
        <f ca="1" t="array" ref="H161">INDEX(成本核算表!J:J,MATCH(1,(成本核算表!D:D=E161)*(成本核算表!C:C=G161),0))</f>
        <v>0</v>
      </c>
      <c r="I161" s="6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6">
        <f ca="1" t="array" ref="H162">INDEX(成本核算表!J:J,MATCH(1,(成本核算表!D:D=E162)*(成本核算表!C:C=G162),0))</f>
        <v>0</v>
      </c>
      <c r="I162" s="6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6">
        <f ca="1" t="array" ref="H163">INDEX(成本核算表!J:J,MATCH(1,(成本核算表!D:D=E163)*(成本核算表!C:C=G163),0))</f>
        <v>0</v>
      </c>
      <c r="I163" s="6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6">
        <f ca="1" t="array" ref="H164">INDEX(成本核算表!J:J,MATCH(1,(成本核算表!D:D=E164)*(成本核算表!C:C=G164),0))</f>
        <v>0</v>
      </c>
      <c r="I164" s="6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6">
        <f ca="1" t="array" ref="H165">INDEX(成本核算表!J:J,MATCH(1,(成本核算表!D:D=E165)*(成本核算表!C:C=G165),0))</f>
        <v>0</v>
      </c>
      <c r="I165" s="6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6">
        <f ca="1" t="array" ref="H166">INDEX(成本核算表!J:J,MATCH(1,(成本核算表!D:D=E166)*(成本核算表!C:C=G166),0))</f>
        <v>0</v>
      </c>
      <c r="I166" s="6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6">
        <f ca="1" t="array" ref="H167">INDEX(成本核算表!J:J,MATCH(1,(成本核算表!D:D=E167)*(成本核算表!C:C=G167),0))</f>
        <v>0</v>
      </c>
      <c r="I167" s="6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6">
        <f ca="1" t="array" ref="H168">INDEX(成本核算表!J:J,MATCH(1,(成本核算表!D:D=E168)*(成本核算表!C:C=G168),0))</f>
        <v>0</v>
      </c>
      <c r="I168" s="6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6">
        <f ca="1" t="array" ref="H169">INDEX(成本核算表!J:J,MATCH(1,(成本核算表!D:D=E169)*(成本核算表!C:C=G169),0))</f>
        <v>0</v>
      </c>
      <c r="I169" s="6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6">
        <f ca="1" t="array" ref="H170">INDEX(成本核算表!J:J,MATCH(1,(成本核算表!D:D=E170)*(成本核算表!C:C=G170),0))</f>
        <v>0</v>
      </c>
      <c r="I170" s="6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6">
        <f ca="1" t="array" ref="H171">INDEX(成本核算表!J:J,MATCH(1,(成本核算表!D:D=E171)*(成本核算表!C:C=G171),0))</f>
        <v>0</v>
      </c>
      <c r="I171" s="6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6">
        <f ca="1" t="array" ref="H172">INDEX(成本核算表!J:J,MATCH(1,(成本核算表!D:D=E172)*(成本核算表!C:C=G172),0))</f>
        <v>0</v>
      </c>
      <c r="I172" s="6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6">
        <f ca="1" t="array" ref="H173">INDEX(成本核算表!J:J,MATCH(1,(成本核算表!D:D=E173)*(成本核算表!C:C=G173),0))</f>
        <v>0</v>
      </c>
      <c r="I173" s="6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6">
        <f ca="1" t="array" ref="H174">INDEX(成本核算表!J:J,MATCH(1,(成本核算表!D:D=E174)*(成本核算表!C:C=G174),0))</f>
        <v>0</v>
      </c>
      <c r="I174" s="6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6">
        <f ca="1" t="array" ref="H175">INDEX(成本核算表!J:J,MATCH(1,(成本核算表!D:D=E175)*(成本核算表!C:C=G175),0))</f>
        <v>0</v>
      </c>
      <c r="I175" s="6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6">
        <f ca="1" t="array" ref="H176">INDEX(成本核算表!J:J,MATCH(1,(成本核算表!D:D=E176)*(成本核算表!C:C=G176),0))</f>
        <v>0</v>
      </c>
      <c r="I176" s="6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6">
        <f ca="1" t="array" ref="H177">INDEX(成本核算表!J:J,MATCH(1,(成本核算表!D:D=E177)*(成本核算表!C:C=G177),0))</f>
        <v>0</v>
      </c>
      <c r="I177" s="6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6">
        <f ca="1" t="array" ref="H178">INDEX(成本核算表!J:J,MATCH(1,(成本核算表!D:D=E178)*(成本核算表!C:C=G178),0))</f>
        <v>0</v>
      </c>
      <c r="I178" s="6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6">
        <f ca="1" t="array" ref="H179">INDEX(成本核算表!J:J,MATCH(1,(成本核算表!D:D=E179)*(成本核算表!C:C=G179),0))</f>
        <v>0</v>
      </c>
      <c r="I179" s="6"/>
      <c r="J179" s="23"/>
      <c r="K179" s="23"/>
      <c r="L179" s="23"/>
    </row>
    <row r="180" customHeight="1" spans="1:12">
      <c r="H180" s="6">
        <f ca="1" t="array" ref="H180">INDEX(成本核算表!J:J,MATCH(1,(成本核算表!D:D=E180)*(成本核算表!C:C=G180),0))</f>
        <v>0</v>
      </c>
      <c r="I180" s="6"/>
    </row>
    <row r="181" customHeight="1" spans="1:12">
      <c r="H181" s="6">
        <f ca="1" t="array" ref="H181">INDEX(成本核算表!J:J,MATCH(1,(成本核算表!D:D=E181)*(成本核算表!C:C=G181),0))</f>
        <v>0</v>
      </c>
      <c r="I181" s="6"/>
    </row>
    <row r="182" customHeight="1" spans="1:12">
      <c r="H182" s="6">
        <f ca="1" t="array" ref="H182">INDEX(成本核算表!J:J,MATCH(1,(成本核算表!D:D=E182)*(成本核算表!C:C=G182),0))</f>
        <v>0</v>
      </c>
      <c r="I182" s="6"/>
    </row>
    <row r="183" customHeight="1" spans="1:12">
      <c r="H183" s="6">
        <f ca="1" t="array" ref="H183">INDEX(成本核算表!J:J,MATCH(1,(成本核算表!D:D=E183)*(成本核算表!C:C=G183),0))</f>
        <v>0</v>
      </c>
      <c r="I183" s="6"/>
    </row>
    <row r="184" customHeight="1" spans="1:12">
      <c r="H184" s="6">
        <f ca="1" t="array" ref="H184">INDEX(成本核算表!J:J,MATCH(1,(成本核算表!D:D=E184)*(成本核算表!C:C=G184),0))</f>
        <v>0</v>
      </c>
      <c r="I184" s="6"/>
    </row>
    <row r="185" customHeight="1" spans="1:12">
      <c r="H185" s="6">
        <f ca="1" t="array" ref="H185">INDEX(成本核算表!J:J,MATCH(1,(成本核算表!D:D=E185)*(成本核算表!C:C=G185),0))</f>
        <v>0</v>
      </c>
      <c r="I185" s="6"/>
    </row>
    <row r="186" customHeight="1" spans="1:12">
      <c r="H186" s="6">
        <f ca="1" t="array" ref="H186">INDEX(成本核算表!J:J,MATCH(1,(成本核算表!D:D=E186)*(成本核算表!C:C=G186),0))</f>
        <v>0</v>
      </c>
      <c r="I186" s="6"/>
    </row>
    <row r="187" customHeight="1" spans="1:12">
      <c r="H187" s="6">
        <f ca="1" t="array" ref="H187">INDEX(成本核算表!J:J,MATCH(1,(成本核算表!D:D=E187)*(成本核算表!C:C=G187),0))</f>
        <v>0</v>
      </c>
      <c r="I187" s="6"/>
    </row>
    <row r="188" customHeight="1" spans="1:12">
      <c r="H188" s="6">
        <f ca="1" t="array" ref="H188">INDEX(成本核算表!J:J,MATCH(1,(成本核算表!D:D=E188)*(成本核算表!C:C=G188),0))</f>
        <v>0</v>
      </c>
      <c r="I188" s="6"/>
    </row>
    <row r="189" customHeight="1" spans="1:12">
      <c r="H189" s="6">
        <f ca="1" t="array" ref="H189">INDEX(成本核算表!J:J,MATCH(1,(成本核算表!D:D=E189)*(成本核算表!C:C=G189),0))</f>
        <v>0</v>
      </c>
      <c r="I189" s="6"/>
    </row>
    <row r="190" customHeight="1" spans="1:12">
      <c r="H190" s="6">
        <f ca="1" t="array" ref="H190">INDEX(成本核算表!J:J,MATCH(1,(成本核算表!D:D=E190)*(成本核算表!C:C=G190),0))</f>
        <v>0</v>
      </c>
      <c r="I190" s="6"/>
    </row>
    <row r="191" customHeight="1" spans="1:12">
      <c r="H191" s="6">
        <f ca="1" t="array" ref="H191">INDEX(成本核算表!J:J,MATCH(1,(成本核算表!D:D=E191)*(成本核算表!C:C=G191),0))</f>
        <v>0</v>
      </c>
      <c r="I191" s="6"/>
    </row>
    <row r="192" customHeight="1" spans="1:12">
      <c r="H192" s="6">
        <f ca="1" t="array" ref="H192">INDEX(成本核算表!J:J,MATCH(1,(成本核算表!D:D=E192)*(成本核算表!C:C=G192),0))</f>
        <v>0</v>
      </c>
      <c r="I192" s="6"/>
    </row>
    <row r="193" customHeight="1" spans="8:9">
      <c r="H193" s="6">
        <f ca="1" t="array" ref="H193">INDEX(成本核算表!J:J,MATCH(1,(成本核算表!D:D=E193)*(成本核算表!C:C=G193),0))</f>
        <v>0</v>
      </c>
      <c r="I193" s="6"/>
    </row>
    <row r="194" customHeight="1" spans="8:9">
      <c r="H194" s="6">
        <f ca="1" t="array" ref="H194">INDEX(成本核算表!J:J,MATCH(1,(成本核算表!D:D=E194)*(成本核算表!C:C=G194),0))</f>
        <v>0</v>
      </c>
      <c r="I194" s="6"/>
    </row>
    <row r="195" customHeight="1" spans="8:9">
      <c r="H195" s="6">
        <f ca="1" t="array" ref="H195">INDEX(成本核算表!J:J,MATCH(1,(成本核算表!D:D=E195)*(成本核算表!C:C=G195),0))</f>
        <v>0</v>
      </c>
      <c r="I195" s="6"/>
    </row>
    <row r="196" customHeight="1" spans="8:9">
      <c r="H196" s="6">
        <f ca="1" t="array" ref="H196">INDEX(成本核算表!J:J,MATCH(1,(成本核算表!D:D=E196)*(成本核算表!C:C=G196),0))</f>
        <v>0</v>
      </c>
      <c r="I196" s="6"/>
    </row>
    <row r="197" customHeight="1" spans="8:9">
      <c r="H197" s="6">
        <f ca="1" t="array" ref="H197">INDEX(成本核算表!J:J,MATCH(1,(成本核算表!D:D=E197)*(成本核算表!C:C=G197),0))</f>
        <v>0</v>
      </c>
      <c r="I197" s="6"/>
    </row>
    <row r="198" customHeight="1" spans="8:9">
      <c r="H198" s="6">
        <f ca="1" t="array" ref="H198">INDEX(成本核算表!J:J,MATCH(1,(成本核算表!D:D=E198)*(成本核算表!C:C=G198),0))</f>
        <v>0</v>
      </c>
      <c r="I198" s="6"/>
    </row>
    <row r="199" customHeight="1" spans="8:9">
      <c r="H199" s="6">
        <f ca="1" t="array" ref="H199">INDEX(成本核算表!J:J,MATCH(1,(成本核算表!D:D=E199)*(成本核算表!C:C=G199),0))</f>
        <v>0</v>
      </c>
      <c r="I199" s="6"/>
    </row>
    <row r="200" customHeight="1" spans="8:9">
      <c r="H200" s="6">
        <f ca="1" t="array" ref="H200">INDEX(成本核算表!J:J,MATCH(1,(成本核算表!D:D=E200)*(成本核算表!C:C=G200),0))</f>
        <v>0</v>
      </c>
      <c r="I200" s="6"/>
    </row>
    <row r="201" customHeight="1" spans="8:9">
      <c r="H201" s="6">
        <f ca="1" t="array" ref="H201">INDEX(成本核算表!J:J,MATCH(1,(成本核算表!D:D=E201)*(成本核算表!C:C=G201),0))</f>
        <v>0</v>
      </c>
      <c r="I201" s="6"/>
    </row>
    <row r="202" customHeight="1" spans="8:9">
      <c r="H202" s="6">
        <f ca="1" t="array" ref="H202">INDEX(成本核算表!J:J,MATCH(1,(成本核算表!D:D=E202)*(成本核算表!C:C=G202),0))</f>
        <v>0</v>
      </c>
      <c r="I202" s="6"/>
    </row>
    <row r="203" customHeight="1" spans="8:9">
      <c r="H203" s="6">
        <f ca="1" t="array" ref="H203">INDEX(成本核算表!J:J,MATCH(1,(成本核算表!D:D=E203)*(成本核算表!C:C=G203),0))</f>
        <v>0</v>
      </c>
      <c r="I203" s="6"/>
    </row>
    <row r="204" customHeight="1" spans="8:9">
      <c r="H204" s="6">
        <f ca="1" t="array" ref="H204">INDEX(成本核算表!J:J,MATCH(1,(成本核算表!D:D=E204)*(成本核算表!C:C=G204),0))</f>
        <v>0</v>
      </c>
      <c r="I204" s="6"/>
    </row>
    <row r="205" customHeight="1" spans="8:9">
      <c r="H205" s="6">
        <f ca="1" t="array" ref="H205">INDEX(成本核算表!J:J,MATCH(1,(成本核算表!D:D=E205)*(成本核算表!C:C=G205),0))</f>
        <v>0</v>
      </c>
      <c r="I205" s="6"/>
    </row>
    <row r="206" customHeight="1" spans="8:9">
      <c r="H206" s="6">
        <f ca="1" t="array" ref="H206">INDEX(成本核算表!J:J,MATCH(1,(成本核算表!D:D=E206)*(成本核算表!C:C=G206),0))</f>
        <v>0</v>
      </c>
      <c r="I206" s="6"/>
    </row>
    <row r="207" customHeight="1" spans="8:9">
      <c r="H207" s="6">
        <f ca="1" t="array" ref="H207">INDEX(成本核算表!J:J,MATCH(1,(成本核算表!D:D=E207)*(成本核算表!C:C=G207),0))</f>
        <v>0</v>
      </c>
      <c r="I207" s="6"/>
    </row>
    <row r="208" customHeight="1" spans="8:9">
      <c r="H208" s="6">
        <f ca="1" t="array" ref="H208">INDEX(成本核算表!J:J,MATCH(1,(成本核算表!D:D=E208)*(成本核算表!C:C=G208),0))</f>
        <v>0</v>
      </c>
      <c r="I208" s="6"/>
    </row>
    <row r="209" customHeight="1" spans="8:9">
      <c r="H209" s="6">
        <f ca="1" t="array" ref="H209">INDEX(成本核算表!J:J,MATCH(1,(成本核算表!D:D=E209)*(成本核算表!C:C=G209),0))</f>
        <v>0</v>
      </c>
      <c r="I209" s="6"/>
    </row>
    <row r="210" customHeight="1" spans="8:9">
      <c r="H210" s="6">
        <f ca="1" t="array" ref="H210">INDEX(成本核算表!J:J,MATCH(1,(成本核算表!D:D=E210)*(成本核算表!C:C=G210),0))</f>
        <v>0</v>
      </c>
      <c r="I210" s="6"/>
    </row>
    <row r="211" customHeight="1" spans="8:9">
      <c r="H211" s="6">
        <f ca="1" t="array" ref="H211">INDEX(成本核算表!J:J,MATCH(1,(成本核算表!D:D=E211)*(成本核算表!C:C=G211),0))</f>
        <v>0</v>
      </c>
      <c r="I211" s="6"/>
    </row>
    <row r="212" customHeight="1" spans="8:9">
      <c r="H212" s="6">
        <f ca="1" t="array" ref="H212">INDEX(成本核算表!J:J,MATCH(1,(成本核算表!D:D=E212)*(成本核算表!C:C=G212),0))</f>
        <v>0</v>
      </c>
      <c r="I212" s="6"/>
    </row>
    <row r="213" customHeight="1" spans="8:9">
      <c r="H213" s="6">
        <f ca="1" t="array" ref="H213">INDEX(成本核算表!J:J,MATCH(1,(成本核算表!D:D=E213)*(成本核算表!C:C=G213),0))</f>
        <v>0</v>
      </c>
      <c r="I213" s="6"/>
    </row>
    <row r="214" customHeight="1" spans="8:9">
      <c r="H214" s="6">
        <f ca="1" t="array" ref="H214">INDEX(成本核算表!J:J,MATCH(1,(成本核算表!D:D=E214)*(成本核算表!C:C=G214),0))</f>
        <v>0</v>
      </c>
      <c r="I214" s="6"/>
    </row>
    <row r="215" customHeight="1" spans="8:9">
      <c r="H215" s="6">
        <f ca="1" t="array" ref="H215">INDEX(成本核算表!J:J,MATCH(1,(成本核算表!D:D=E215)*(成本核算表!C:C=G215),0))</f>
        <v>0</v>
      </c>
      <c r="I215" s="6"/>
    </row>
    <row r="216" customHeight="1" spans="8:9">
      <c r="H216" s="6">
        <f ca="1" t="array" ref="H216">INDEX(成本核算表!J:J,MATCH(1,(成本核算表!D:D=E216)*(成本核算表!C:C=G216),0))</f>
        <v>0</v>
      </c>
      <c r="I216" s="6"/>
    </row>
    <row r="217" customHeight="1" spans="8:9">
      <c r="H217" s="6">
        <f ca="1" t="array" ref="H217">INDEX(成本核算表!J:J,MATCH(1,(成本核算表!D:D=E217)*(成本核算表!C:C=G217),0))</f>
        <v>0</v>
      </c>
      <c r="I217" s="6"/>
    </row>
    <row r="218" customHeight="1" spans="8:9">
      <c r="H218" s="6">
        <f ca="1" t="array" ref="H218">INDEX(成本核算表!J:J,MATCH(1,(成本核算表!D:D=E218)*(成本核算表!C:C=G218),0))</f>
        <v>0</v>
      </c>
      <c r="I218" s="6"/>
    </row>
    <row r="219" customHeight="1" spans="8:9">
      <c r="H219" s="6">
        <f ca="1" t="array" ref="H219">INDEX(成本核算表!J:J,MATCH(1,(成本核算表!D:D=E219)*(成本核算表!C:C=G219),0))</f>
        <v>0</v>
      </c>
      <c r="I219" s="6"/>
    </row>
    <row r="220" customHeight="1" spans="8:9">
      <c r="H220" s="6">
        <f ca="1" t="array" ref="H220">INDEX(成本核算表!J:J,MATCH(1,(成本核算表!D:D=E220)*(成本核算表!C:C=G220),0))</f>
        <v>0</v>
      </c>
      <c r="I220" s="6"/>
    </row>
    <row r="221" customHeight="1" spans="8:9">
      <c r="H221" s="6">
        <f ca="1" t="array" ref="H221">INDEX(成本核算表!J:J,MATCH(1,(成本核算表!D:D=E221)*(成本核算表!C:C=G221),0))</f>
        <v>0</v>
      </c>
      <c r="I221" s="6"/>
    </row>
    <row r="222" customHeight="1" spans="8:9">
      <c r="H222" s="6">
        <f ca="1" t="array" ref="H222">INDEX(成本核算表!J:J,MATCH(1,(成本核算表!D:D=E222)*(成本核算表!C:C=G222),0))</f>
        <v>0</v>
      </c>
      <c r="I222" s="6"/>
    </row>
    <row r="223" customHeight="1" spans="8:9">
      <c r="H223" s="6">
        <f ca="1" t="array" ref="H223">INDEX(成本核算表!J:J,MATCH(1,(成本核算表!D:D=E223)*(成本核算表!C:C=G223),0))</f>
        <v>0</v>
      </c>
      <c r="I223" s="6"/>
    </row>
    <row r="224" customHeight="1" spans="8:9">
      <c r="H224" s="6">
        <f ca="1" t="array" ref="H224">INDEX(成本核算表!J:J,MATCH(1,(成本核算表!D:D=E224)*(成本核算表!C:C=G224),0))</f>
        <v>0</v>
      </c>
      <c r="I224" s="6"/>
    </row>
    <row r="225" customHeight="1" spans="8:9">
      <c r="H225" s="6">
        <f ca="1" t="array" ref="H225">INDEX(成本核算表!J:J,MATCH(1,(成本核算表!D:D=E225)*(成本核算表!C:C=G225),0))</f>
        <v>0</v>
      </c>
      <c r="I225" s="6"/>
    </row>
    <row r="226" customHeight="1" spans="8:9">
      <c r="H226" s="6">
        <f ca="1" t="array" ref="H226">INDEX(成本核算表!J:J,MATCH(1,(成本核算表!D:D=E226)*(成本核算表!C:C=G226),0))</f>
        <v>0</v>
      </c>
      <c r="I226" s="6"/>
    </row>
    <row r="227" customHeight="1" spans="8:9">
      <c r="H227" s="6">
        <f ca="1" t="array" ref="H227">INDEX(成本核算表!J:J,MATCH(1,(成本核算表!D:D=E227)*(成本核算表!C:C=G227),0))</f>
        <v>0</v>
      </c>
      <c r="I227" s="6"/>
    </row>
    <row r="228" customHeight="1" spans="8:9">
      <c r="H228" s="6">
        <f ca="1" t="array" ref="H228">INDEX(成本核算表!J:J,MATCH(1,(成本核算表!D:D=E228)*(成本核算表!C:C=G228),0))</f>
        <v>0</v>
      </c>
      <c r="I228" s="6"/>
    </row>
    <row r="229" customHeight="1" spans="8:9">
      <c r="H229" s="6">
        <f ca="1" t="array" ref="H229">INDEX(成本核算表!J:J,MATCH(1,(成本核算表!D:D=E229)*(成本核算表!C:C=G229),0))</f>
        <v>0</v>
      </c>
      <c r="I229" s="6"/>
    </row>
    <row r="230" customHeight="1" spans="8:9">
      <c r="H230" s="6">
        <f ca="1" t="array" ref="H230">INDEX(成本核算表!J:J,MATCH(1,(成本核算表!D:D=E230)*(成本核算表!C:C=G230),0))</f>
        <v>0</v>
      </c>
      <c r="I230" s="6"/>
    </row>
    <row r="231" customHeight="1" spans="8:9">
      <c r="H231" s="6">
        <f ca="1" t="array" ref="H231">INDEX(成本核算表!J:J,MATCH(1,(成本核算表!D:D=E231)*(成本核算表!C:C=G231),0))</f>
        <v>0</v>
      </c>
      <c r="I231" s="6"/>
    </row>
    <row r="232" customHeight="1" spans="8:9">
      <c r="H232" s="6">
        <f ca="1" t="array" ref="H232">INDEX(成本核算表!J:J,MATCH(1,(成本核算表!D:D=E232)*(成本核算表!C:C=G232),0))</f>
        <v>0</v>
      </c>
      <c r="I232" s="6"/>
    </row>
    <row r="233" customHeight="1" spans="8:9">
      <c r="H233" s="6">
        <f ca="1" t="array" ref="H233">INDEX(成本核算表!J:J,MATCH(1,(成本核算表!D:D=E233)*(成本核算表!C:C=G233),0))</f>
        <v>0</v>
      </c>
      <c r="I233" s="6"/>
    </row>
    <row r="234" customHeight="1" spans="8:9">
      <c r="H234" s="6">
        <f ca="1" t="array" ref="H234">INDEX(成本核算表!J:J,MATCH(1,(成本核算表!D:D=E234)*(成本核算表!C:C=G234),0))</f>
        <v>0</v>
      </c>
      <c r="I234" s="6"/>
    </row>
    <row r="235" customHeight="1" spans="8:9">
      <c r="H235" s="6">
        <f ca="1" t="array" ref="H235">INDEX(成本核算表!J:J,MATCH(1,(成本核算表!D:D=E235)*(成本核算表!C:C=G235),0))</f>
        <v>0</v>
      </c>
      <c r="I235" s="6"/>
    </row>
    <row r="236" customHeight="1" spans="8:9">
      <c r="H236" s="6">
        <f ca="1" t="array" ref="H236">INDEX(成本核算表!J:J,MATCH(1,(成本核算表!D:D=E236)*(成本核算表!C:C=G236),0))</f>
        <v>0</v>
      </c>
      <c r="I236" s="6"/>
    </row>
    <row r="237" customHeight="1" spans="8:9">
      <c r="H237" s="6">
        <f ca="1" t="array" ref="H237">INDEX(成本核算表!J:J,MATCH(1,(成本核算表!D:D=E237)*(成本核算表!C:C=G237),0))</f>
        <v>0</v>
      </c>
      <c r="I237" s="6"/>
    </row>
    <row r="238" customHeight="1" spans="8:9">
      <c r="H238" s="6">
        <f ca="1" t="array" ref="H238">INDEX(成本核算表!J:J,MATCH(1,(成本核算表!D:D=E238)*(成本核算表!C:C=G238),0))</f>
        <v>0</v>
      </c>
      <c r="I238" s="6"/>
    </row>
    <row r="239" customHeight="1" spans="8:9">
      <c r="H239" s="6">
        <f ca="1" t="array" ref="H239">INDEX(成本核算表!J:J,MATCH(1,(成本核算表!D:D=E239)*(成本核算表!C:C=G239),0))</f>
        <v>0</v>
      </c>
      <c r="I239" s="6"/>
    </row>
    <row r="240" customHeight="1" spans="8:9">
      <c r="H240" s="6">
        <f ca="1" t="array" ref="H240">INDEX(成本核算表!J:J,MATCH(1,(成本核算表!D:D=E240)*(成本核算表!C:C=G240),0))</f>
        <v>0</v>
      </c>
      <c r="I240" s="6"/>
    </row>
    <row r="241" customHeight="1" spans="8:9">
      <c r="H241" s="6">
        <f ca="1" t="array" ref="H241">INDEX(成本核算表!J:J,MATCH(1,(成本核算表!D:D=E241)*(成本核算表!C:C=G241),0))</f>
        <v>0</v>
      </c>
      <c r="I241" s="6"/>
    </row>
    <row r="242" customHeight="1" spans="8:9">
      <c r="H242" s="6">
        <f ca="1" t="array" ref="H242">INDEX(成本核算表!J:J,MATCH(1,(成本核算表!D:D=E242)*(成本核算表!C:C=G242),0))</f>
        <v>0</v>
      </c>
      <c r="I242" s="6"/>
    </row>
    <row r="243" customHeight="1" spans="8:9">
      <c r="H243" s="6">
        <f ca="1" t="array" ref="H243">INDEX(成本核算表!J:J,MATCH(1,(成本核算表!D:D=E243)*(成本核算表!C:C=G243),0))</f>
        <v>0</v>
      </c>
      <c r="I243" s="6"/>
    </row>
    <row r="244" customHeight="1" spans="8:9">
      <c r="H244" s="6">
        <f ca="1" t="array" ref="H244">INDEX(成本核算表!J:J,MATCH(1,(成本核算表!D:D=E244)*(成本核算表!C:C=G244),0))</f>
        <v>0</v>
      </c>
      <c r="I244" s="6"/>
    </row>
    <row r="245" customHeight="1" spans="8:9">
      <c r="H245" s="6">
        <f ca="1" t="array" ref="H245">INDEX(成本核算表!J:J,MATCH(1,(成本核算表!D:D=E245)*(成本核算表!C:C=G245),0))</f>
        <v>0</v>
      </c>
      <c r="I245" s="6"/>
    </row>
    <row r="246" customHeight="1" spans="8:9">
      <c r="H246" s="6">
        <f ca="1" t="array" ref="H246">INDEX(成本核算表!J:J,MATCH(1,(成本核算表!D:D=E246)*(成本核算表!C:C=G246),0))</f>
        <v>0</v>
      </c>
      <c r="I246" s="6"/>
    </row>
    <row r="247" customHeight="1" spans="8:9">
      <c r="H247" s="6">
        <f ca="1" t="array" ref="H247">INDEX(成本核算表!J:J,MATCH(1,(成本核算表!D:D=E247)*(成本核算表!C:C=G247),0))</f>
        <v>0</v>
      </c>
      <c r="I247" s="6"/>
    </row>
    <row r="248" customHeight="1" spans="8:9">
      <c r="H248" s="6">
        <f ca="1" t="array" ref="H248">INDEX(成本核算表!J:J,MATCH(1,(成本核算表!D:D=E248)*(成本核算表!C:C=G248),0))</f>
        <v>0</v>
      </c>
      <c r="I248" s="6"/>
    </row>
    <row r="249" customHeight="1" spans="8:9">
      <c r="H249" s="6">
        <f ca="1" t="array" ref="H249">INDEX(成本核算表!J:J,MATCH(1,(成本核算表!D:D=E249)*(成本核算表!C:C=G249),0))</f>
        <v>0</v>
      </c>
      <c r="I249" s="6"/>
    </row>
    <row r="250" customHeight="1" spans="8:9">
      <c r="H250" s="6">
        <f ca="1" t="array" ref="H250">INDEX(成本核算表!J:J,MATCH(1,(成本核算表!D:D=E250)*(成本核算表!C:C=G250),0))</f>
        <v>0</v>
      </c>
      <c r="I250" s="6"/>
    </row>
    <row r="251" customHeight="1" spans="8:9">
      <c r="H251" s="6">
        <f ca="1" t="array" ref="H251">INDEX(成本核算表!J:J,MATCH(1,(成本核算表!D:D=E251)*(成本核算表!C:C=G251),0))</f>
        <v>0</v>
      </c>
      <c r="I251" s="6"/>
    </row>
    <row r="252" customHeight="1" spans="8:9">
      <c r="H252" s="6">
        <f ca="1" t="array" ref="H252">INDEX(成本核算表!J:J,MATCH(1,(成本核算表!D:D=E252)*(成本核算表!C:C=G252),0))</f>
        <v>0</v>
      </c>
      <c r="I252" s="6"/>
    </row>
    <row r="253" customHeight="1" spans="8:9">
      <c r="H253" s="6">
        <f ca="1" t="array" ref="H253">INDEX(成本核算表!J:J,MATCH(1,(成本核算表!D:D=E253)*(成本核算表!C:C=G253),0))</f>
        <v>0</v>
      </c>
      <c r="I253" s="6"/>
    </row>
    <row r="254" customHeight="1" spans="8:9">
      <c r="H254" s="6">
        <f ca="1" t="array" ref="H254">INDEX(成本核算表!J:J,MATCH(1,(成本核算表!D:D=E254)*(成本核算表!C:C=G254),0))</f>
        <v>0</v>
      </c>
      <c r="I254" s="6"/>
    </row>
    <row r="255" customHeight="1" spans="8:9">
      <c r="H255" s="6">
        <f ca="1" t="array" ref="H255">INDEX(成本核算表!J:J,MATCH(1,(成本核算表!D:D=E255)*(成本核算表!C:C=G255),0))</f>
        <v>0</v>
      </c>
      <c r="I255" s="6"/>
    </row>
    <row r="256" customHeight="1" spans="8:9">
      <c r="H256" s="6">
        <f ca="1" t="array" ref="H256">INDEX(成本核算表!J:J,MATCH(1,(成本核算表!D:D=E256)*(成本核算表!C:C=G256),0))</f>
        <v>0</v>
      </c>
      <c r="I256" s="6"/>
    </row>
    <row r="257" customHeight="1" spans="8:9">
      <c r="H257" s="6">
        <f ca="1" t="array" ref="H257">INDEX(成本核算表!J:J,MATCH(1,(成本核算表!D:D=E257)*(成本核算表!C:C=G257),0))</f>
        <v>0</v>
      </c>
      <c r="I257" s="6"/>
    </row>
    <row r="258" customHeight="1" spans="8:9">
      <c r="H258" s="6">
        <f ca="1" t="array" ref="H258">INDEX(成本核算表!J:J,MATCH(1,(成本核算表!D:D=E258)*(成本核算表!C:C=G258),0))</f>
        <v>0</v>
      </c>
      <c r="I258" s="6"/>
    </row>
    <row r="259" customHeight="1" spans="8:9">
      <c r="H259" s="6">
        <f ca="1" t="array" ref="H259">INDEX(成本核算表!J:J,MATCH(1,(成本核算表!D:D=E259)*(成本核算表!C:C=G259),0))</f>
        <v>0</v>
      </c>
      <c r="I259" s="6"/>
    </row>
    <row r="260" customHeight="1" spans="8:9">
      <c r="H260" s="6">
        <f ca="1" t="array" ref="H260">INDEX(成本核算表!J:J,MATCH(1,(成本核算表!D:D=E260)*(成本核算表!C:C=G260),0))</f>
        <v>0</v>
      </c>
      <c r="I260" s="6"/>
    </row>
    <row r="261" customHeight="1" spans="8:9">
      <c r="H261" s="6">
        <f ca="1" t="array" ref="H261">INDEX(成本核算表!J:J,MATCH(1,(成本核算表!D:D=E261)*(成本核算表!C:C=G261),0))</f>
        <v>0</v>
      </c>
      <c r="I261" s="6"/>
    </row>
    <row r="262" customHeight="1" spans="8:9">
      <c r="H262" s="6">
        <f ca="1" t="array" ref="H262">INDEX(成本核算表!J:J,MATCH(1,(成本核算表!D:D=E262)*(成本核算表!C:C=G262),0))</f>
        <v>0</v>
      </c>
      <c r="I262" s="6"/>
    </row>
    <row r="263" customHeight="1" spans="8:9">
      <c r="H263" s="6">
        <f ca="1" t="array" ref="H263">INDEX(成本核算表!J:J,MATCH(1,(成本核算表!D:D=E263)*(成本核算表!C:C=G263),0))</f>
        <v>0</v>
      </c>
      <c r="I263" s="6"/>
    </row>
    <row r="264" customHeight="1" spans="8:9">
      <c r="H264" s="6">
        <f ca="1" t="array" ref="H264">INDEX(成本核算表!J:J,MATCH(1,(成本核算表!D:D=E264)*(成本核算表!C:C=G264),0))</f>
        <v>0</v>
      </c>
      <c r="I264" s="6"/>
    </row>
    <row r="265" customHeight="1" spans="8:9">
      <c r="H265" s="6">
        <f ca="1" t="array" ref="H265">INDEX(成本核算表!J:J,MATCH(1,(成本核算表!D:D=E265)*(成本核算表!C:C=G265),0))</f>
        <v>0</v>
      </c>
      <c r="I265" s="6"/>
    </row>
    <row r="266" customHeight="1" spans="8:9">
      <c r="H266" s="6">
        <f ca="1" t="array" ref="H266">INDEX(成本核算表!J:J,MATCH(1,(成本核算表!D:D=E266)*(成本核算表!C:C=G266),0))</f>
        <v>0</v>
      </c>
      <c r="I266" s="6"/>
    </row>
    <row r="267" customHeight="1" spans="8:9">
      <c r="H267" s="6">
        <f ca="1" t="array" ref="H267">INDEX(成本核算表!J:J,MATCH(1,(成本核算表!D:D=E267)*(成本核算表!C:C=G267),0))</f>
        <v>0</v>
      </c>
      <c r="I267" s="6"/>
    </row>
    <row r="268" customHeight="1" spans="8:9">
      <c r="H268" s="6">
        <f ca="1" t="array" ref="H268">INDEX(成本核算表!J:J,MATCH(1,(成本核算表!D:D=E268)*(成本核算表!C:C=G268),0))</f>
        <v>0</v>
      </c>
      <c r="I268" s="6"/>
    </row>
    <row r="269" customHeight="1" spans="8:9">
      <c r="H269" s="6">
        <f ca="1" t="array" ref="H269">INDEX(成本核算表!J:J,MATCH(1,(成本核算表!D:D=E269)*(成本核算表!C:C=G269),0))</f>
        <v>0</v>
      </c>
      <c r="I269" s="6"/>
    </row>
    <row r="270" customHeight="1" spans="8:9">
      <c r="H270" s="6">
        <f ca="1" t="array" ref="H270">INDEX(成本核算表!J:J,MATCH(1,(成本核算表!D:D=E270)*(成本核算表!C:C=G270),0))</f>
        <v>0</v>
      </c>
      <c r="I270" s="6"/>
    </row>
    <row r="271" customHeight="1" spans="8:9">
      <c r="H271" s="6">
        <f ca="1" t="array" ref="H271">INDEX(成本核算表!J:J,MATCH(1,(成本核算表!D:D=E271)*(成本核算表!C:C=G271),0))</f>
        <v>0</v>
      </c>
      <c r="I271" s="6"/>
    </row>
    <row r="272" customHeight="1" spans="8:9">
      <c r="H272" s="6">
        <f ca="1" t="array" ref="H272">INDEX(成本核算表!J:J,MATCH(1,(成本核算表!D:D=E272)*(成本核算表!C:C=G272),0))</f>
        <v>0</v>
      </c>
      <c r="I272" s="6"/>
    </row>
    <row r="273" customHeight="1" spans="8:9">
      <c r="H273" s="6">
        <f ca="1" t="array" ref="H273">INDEX(成本核算表!J:J,MATCH(1,(成本核算表!D:D=E273)*(成本核算表!C:C=G273),0))</f>
        <v>0</v>
      </c>
      <c r="I273" s="6"/>
    </row>
    <row r="274" customHeight="1" spans="8:9">
      <c r="H274" s="6">
        <f ca="1" t="array" ref="H274">INDEX(成本核算表!J:J,MATCH(1,(成本核算表!D:D=E274)*(成本核算表!C:C=G274),0))</f>
        <v>0</v>
      </c>
      <c r="I274" s="6"/>
    </row>
    <row r="275" customHeight="1" spans="8:9">
      <c r="H275" s="6">
        <f ca="1" t="array" ref="H275">INDEX(成本核算表!J:J,MATCH(1,(成本核算表!D:D=E275)*(成本核算表!C:C=G275),0))</f>
        <v>0</v>
      </c>
      <c r="I275" s="6"/>
    </row>
    <row r="276" customHeight="1" spans="8:9">
      <c r="H276" s="6">
        <f ca="1" t="array" ref="H276">INDEX(成本核算表!J:J,MATCH(1,(成本核算表!D:D=E276)*(成本核算表!C:C=G276),0))</f>
        <v>0</v>
      </c>
      <c r="I276" s="6"/>
    </row>
    <row r="277" customHeight="1" spans="8:9">
      <c r="H277" s="6">
        <f ca="1" t="array" ref="H277">INDEX(成本核算表!J:J,MATCH(1,(成本核算表!D:D=E277)*(成本核算表!C:C=G277),0))</f>
        <v>0</v>
      </c>
      <c r="I277" s="6"/>
    </row>
    <row r="278" customHeight="1" spans="8:9">
      <c r="H278" s="6">
        <f ca="1" t="array" ref="H278">INDEX(成本核算表!J:J,MATCH(1,(成本核算表!D:D=E278)*(成本核算表!C:C=G278),0))</f>
        <v>0</v>
      </c>
      <c r="I278" s="6"/>
    </row>
    <row r="279" customHeight="1" spans="8:9">
      <c r="H279" s="6">
        <f ca="1" t="array" ref="H279">INDEX(成本核算表!J:J,MATCH(1,(成本核算表!D:D=E279)*(成本核算表!C:C=G279),0))</f>
        <v>0</v>
      </c>
      <c r="I279" s="6"/>
    </row>
    <row r="280" customHeight="1" spans="8:9">
      <c r="H280" s="6">
        <f ca="1" t="array" ref="H280">INDEX(成本核算表!J:J,MATCH(1,(成本核算表!D:D=E280)*(成本核算表!C:C=G280),0))</f>
        <v>0</v>
      </c>
      <c r="I280" s="6"/>
    </row>
    <row r="281" customHeight="1" spans="8:9">
      <c r="H281" s="6">
        <f ca="1" t="array" ref="H281">INDEX(成本核算表!J:J,MATCH(1,(成本核算表!D:D=E281)*(成本核算表!C:C=G281),0))</f>
        <v>0</v>
      </c>
      <c r="I281" s="6"/>
    </row>
    <row r="282" customHeight="1" spans="8:9">
      <c r="H282" s="6">
        <f ca="1" t="array" ref="H282">INDEX(成本核算表!J:J,MATCH(1,(成本核算表!D:D=E282)*(成本核算表!C:C=G282),0))</f>
        <v>0</v>
      </c>
      <c r="I282" s="6"/>
    </row>
    <row r="283" customHeight="1" spans="8:9">
      <c r="H283" s="6">
        <f ca="1" t="array" ref="H283">INDEX(成本核算表!J:J,MATCH(1,(成本核算表!D:D=E283)*(成本核算表!C:C=G283),0))</f>
        <v>0</v>
      </c>
      <c r="I283" s="6"/>
    </row>
    <row r="284" customHeight="1" spans="8:9">
      <c r="H284" s="6">
        <f ca="1" t="array" ref="H284">INDEX(成本核算表!J:J,MATCH(1,(成本核算表!D:D=E284)*(成本核算表!C:C=G284),0))</f>
        <v>0</v>
      </c>
      <c r="I284" s="6"/>
    </row>
    <row r="285" customHeight="1" spans="8:9">
      <c r="H285" s="6">
        <f ca="1" t="array" ref="H285">INDEX(成本核算表!J:J,MATCH(1,(成本核算表!D:D=E285)*(成本核算表!C:C=G285),0))</f>
        <v>0</v>
      </c>
      <c r="I285" s="6"/>
    </row>
    <row r="286" customHeight="1" spans="8:9">
      <c r="H286" s="6">
        <f ca="1" t="array" ref="H286">INDEX(成本核算表!J:J,MATCH(1,(成本核算表!D:D=E286)*(成本核算表!C:C=G286),0))</f>
        <v>0</v>
      </c>
      <c r="I286" s="6"/>
    </row>
    <row r="287" customHeight="1" spans="8:9">
      <c r="H287" s="6">
        <f ca="1" t="array" ref="H287">INDEX(成本核算表!J:J,MATCH(1,(成本核算表!D:D=E287)*(成本核算表!C:C=G287),0))</f>
        <v>0</v>
      </c>
      <c r="I287" s="6"/>
    </row>
    <row r="288" customHeight="1" spans="8:9">
      <c r="H288" s="6">
        <f ca="1" t="array" ref="H288">INDEX(成本核算表!J:J,MATCH(1,(成本核算表!D:D=E288)*(成本核算表!C:C=G288),0))</f>
        <v>0</v>
      </c>
      <c r="I288" s="6"/>
    </row>
    <row r="289" customHeight="1" spans="8:9">
      <c r="H289" s="6">
        <f ca="1" t="array" ref="H289">INDEX(成本核算表!J:J,MATCH(1,(成本核算表!D:D=E289)*(成本核算表!C:C=G289),0))</f>
        <v>0</v>
      </c>
      <c r="I289" s="6"/>
    </row>
    <row r="290" customHeight="1" spans="8:9">
      <c r="H290" s="6">
        <f ca="1" t="array" ref="H290">INDEX(成本核算表!J:J,MATCH(1,(成本核算表!D:D=E290)*(成本核算表!C:C=G290),0))</f>
        <v>0</v>
      </c>
      <c r="I290" s="6"/>
    </row>
    <row r="291" customHeight="1" spans="8:9">
      <c r="H291" s="6">
        <f ca="1" t="array" ref="H291">INDEX(成本核算表!J:J,MATCH(1,(成本核算表!D:D=E291)*(成本核算表!C:C=G291),0))</f>
        <v>0</v>
      </c>
      <c r="I291" s="6"/>
    </row>
    <row r="292" customHeight="1" spans="8:9">
      <c r="H292" s="6">
        <f ca="1" t="array" ref="H292">INDEX(成本核算表!J:J,MATCH(1,(成本核算表!D:D=E292)*(成本核算表!C:C=G292),0))</f>
        <v>0</v>
      </c>
      <c r="I292" s="6"/>
    </row>
    <row r="293" customHeight="1" spans="8:9">
      <c r="H293" s="6">
        <f ca="1" t="array" ref="H293">INDEX(成本核算表!J:J,MATCH(1,(成本核算表!D:D=E293)*(成本核算表!C:C=G293),0))</f>
        <v>0</v>
      </c>
      <c r="I293" s="6"/>
    </row>
    <row r="294" customHeight="1" spans="8:9">
      <c r="H294" s="6">
        <f ca="1" t="array" ref="H294">INDEX(成本核算表!J:J,MATCH(1,(成本核算表!D:D=E294)*(成本核算表!C:C=G294),0))</f>
        <v>0</v>
      </c>
      <c r="I294" s="6"/>
    </row>
    <row r="295" customHeight="1" spans="8:9">
      <c r="H295" s="6">
        <f ca="1" t="array" ref="H295">INDEX(成本核算表!J:J,MATCH(1,(成本核算表!D:D=E295)*(成本核算表!C:C=G295),0))</f>
        <v>0</v>
      </c>
      <c r="I295" s="6"/>
    </row>
    <row r="296" customHeight="1" spans="8:9">
      <c r="H296" s="6">
        <f ca="1" t="array" ref="H296">INDEX(成本核算表!J:J,MATCH(1,(成本核算表!D:D=E296)*(成本核算表!C:C=G296),0))</f>
        <v>0</v>
      </c>
      <c r="I296" s="6"/>
    </row>
    <row r="297" customHeight="1" spans="8:9">
      <c r="H297" s="6">
        <f ca="1" t="array" ref="H297">INDEX(成本核算表!J:J,MATCH(1,(成本核算表!D:D=E297)*(成本核算表!C:C=G297),0))</f>
        <v>0</v>
      </c>
      <c r="I297" s="6"/>
    </row>
    <row r="298" customHeight="1" spans="8:9">
      <c r="H298" s="6">
        <f ca="1" t="array" ref="H298">INDEX(成本核算表!J:J,MATCH(1,(成本核算表!D:D=E298)*(成本核算表!C:C=G298),0))</f>
        <v>0</v>
      </c>
      <c r="I298" s="6"/>
    </row>
    <row r="299" customHeight="1" spans="8:9">
      <c r="H299" s="6">
        <f ca="1" t="array" ref="H299">INDEX(成本核算表!J:J,MATCH(1,(成本核算表!D:D=E299)*(成本核算表!C:C=G299),0))</f>
        <v>0</v>
      </c>
      <c r="I299" s="6"/>
    </row>
    <row r="300" customHeight="1" spans="8:9">
      <c r="H300" s="6">
        <f ca="1" t="array" ref="H300">INDEX(成本核算表!J:J,MATCH(1,(成本核算表!D:D=E300)*(成本核算表!C:C=G300),0))</f>
        <v>0</v>
      </c>
      <c r="I300" s="6"/>
    </row>
    <row r="301" customHeight="1" spans="8:9">
      <c r="H301" s="6">
        <f ca="1" t="array" ref="H301">INDEX(成本核算表!J:J,MATCH(1,(成本核算表!D:D=E301)*(成本核算表!C:C=G301),0))</f>
        <v>0</v>
      </c>
      <c r="I301" s="6"/>
    </row>
    <row r="302" customHeight="1" spans="8:9">
      <c r="H302" s="6">
        <f ca="1" t="array" ref="H302">INDEX(成本核算表!J:J,MATCH(1,(成本核算表!D:D=E302)*(成本核算表!C:C=G302),0))</f>
        <v>0</v>
      </c>
      <c r="I302" s="6"/>
    </row>
    <row r="303" customHeight="1" spans="8:9">
      <c r="H303" s="6">
        <f ca="1" t="array" ref="H303">INDEX(成本核算表!J:J,MATCH(1,(成本核算表!D:D=E303)*(成本核算表!C:C=G303),0))</f>
        <v>0</v>
      </c>
      <c r="I303" s="6"/>
    </row>
    <row r="304" customHeight="1" spans="8:9">
      <c r="H304" s="6">
        <f ca="1" t="array" ref="H304">INDEX(成本核算表!J:J,MATCH(1,(成本核算表!D:D=E304)*(成本核算表!C:C=G304),0))</f>
        <v>0</v>
      </c>
      <c r="I304" s="6"/>
    </row>
    <row r="305" customHeight="1" spans="8:9">
      <c r="H305" s="6">
        <f ca="1" t="array" ref="H305">INDEX(成本核算表!J:J,MATCH(1,(成本核算表!D:D=E305)*(成本核算表!C:C=G305),0))</f>
        <v>0</v>
      </c>
      <c r="I305" s="6"/>
    </row>
    <row r="306" customHeight="1" spans="8:9">
      <c r="H306" s="6">
        <f ca="1" t="array" ref="H306">INDEX(成本核算表!J:J,MATCH(1,(成本核算表!D:D=E306)*(成本核算表!C:C=G306),0))</f>
        <v>0</v>
      </c>
      <c r="I306" s="6"/>
    </row>
    <row r="307" customHeight="1" spans="8:9">
      <c r="H307" s="6">
        <f ca="1" t="array" ref="H307">INDEX(成本核算表!J:J,MATCH(1,(成本核算表!D:D=E307)*(成本核算表!C:C=G307),0))</f>
        <v>0</v>
      </c>
      <c r="I307" s="6"/>
    </row>
    <row r="308" customHeight="1" spans="8:9">
      <c r="H308" s="6">
        <f ca="1" t="array" ref="H308">INDEX(成本核算表!J:J,MATCH(1,(成本核算表!D:D=E308)*(成本核算表!C:C=G308),0))</f>
        <v>0</v>
      </c>
      <c r="I308" s="6"/>
    </row>
    <row r="309" customHeight="1" spans="8:9">
      <c r="I309" s="6"/>
    </row>
  </sheetData>
  <sheetCalcPr fullCalcOnLoad="1"/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0"/>
  <sheetViews>
    <sheetView topLeftCell="C1" workbookViewId="0">
      <pane ySplit="1" topLeftCell="A5" activePane="bottomLeft" state="frozen"/>
      <selection/>
      <selection pane="bottomLeft" activeCell="C5" sqref="C5"/>
    </sheetView>
  </sheetViews>
  <sheetFormatPr defaultColWidth="9" defaultRowHeight="14.25" customHeight="1"/>
  <cols>
    <col min="1" max="1" width="9" style="31"/>
    <col min="2" max="2" width="15.625" style="32" customWidth="1"/>
    <col min="3" max="3" width="15.625" style="33" customWidth="1"/>
    <col min="4" max="4" width="12.625" style="32" customWidth="1"/>
    <col min="5" max="6" width="14.125" style="32"/>
    <col min="7" max="7" width="9" style="32"/>
    <col min="8" max="8" width="14.125" style="34"/>
    <col min="9" max="9" width="11" style="34" customWidth="1"/>
    <col min="10" max="10" width="9.875" style="32" customWidth="1"/>
    <col min="11" max="12" width="9" style="32"/>
    <col min="13" max="14" width="9" style="30"/>
    <col min="15" max="15" width="14.125" style="30"/>
    <col min="16" max="16384" width="9" style="30"/>
  </cols>
  <sheetData>
    <row r="1" s="30" customFormat="1" ht="40.5" spans="1:17">
      <c r="A1" s="35" t="s">
        <v>0</v>
      </c>
      <c r="B1" s="35" t="s">
        <v>1</v>
      </c>
      <c r="C1" s="2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</row>
    <row r="2" s="30" customFormat="1" ht="20" customHeight="1" spans="1:17">
      <c r="A2" s="36"/>
      <c r="B2" s="37"/>
      <c r="C2" s="38"/>
      <c r="D2" s="37"/>
      <c r="E2" s="37"/>
      <c r="F2" s="37"/>
      <c r="G2" s="37"/>
      <c r="H2" s="37"/>
      <c r="I2" s="37"/>
      <c r="J2" s="37">
        <f t="shared" ref="J2:J65" si="0">H2*I2</f>
        <v>0</v>
      </c>
      <c r="K2" s="37"/>
      <c r="L2" s="37"/>
      <c r="M2" s="37"/>
      <c r="N2" s="37">
        <f t="shared" ref="N2:N65" si="1">J2-M2+L2</f>
        <v>0</v>
      </c>
      <c r="O2" s="37">
        <f t="shared" ref="O2:O65" si="2">N2/3600</f>
        <v>0</v>
      </c>
      <c r="P2" s="37"/>
      <c r="Q2" s="37"/>
    </row>
    <row r="3" s="30" customFormat="1" ht="20" customHeight="1" spans="1:17">
      <c r="A3" s="36"/>
      <c r="B3" s="37"/>
      <c r="C3" s="38"/>
      <c r="D3" s="37"/>
      <c r="E3" s="37"/>
      <c r="F3" s="37"/>
      <c r="G3" s="37"/>
      <c r="H3" s="37"/>
      <c r="I3" s="37"/>
      <c r="J3" s="37">
        <f t="shared" si="0"/>
        <v>0</v>
      </c>
      <c r="K3" s="37"/>
      <c r="L3" s="37"/>
      <c r="M3" s="37"/>
      <c r="N3" s="37">
        <f t="shared" si="1"/>
        <v>0</v>
      </c>
      <c r="O3" s="37">
        <f t="shared" si="2"/>
        <v>0</v>
      </c>
      <c r="P3" s="37"/>
      <c r="Q3" s="37"/>
    </row>
    <row r="4" s="30" customFormat="1" ht="20" customHeight="1" spans="1:17">
      <c r="A4" s="36"/>
      <c r="B4" s="37"/>
      <c r="C4" s="38"/>
      <c r="D4" s="37"/>
      <c r="E4" s="37"/>
      <c r="F4" s="37"/>
      <c r="G4" s="37"/>
      <c r="H4" s="37"/>
      <c r="I4" s="37"/>
      <c r="J4" s="37">
        <f t="shared" si="0"/>
        <v>0</v>
      </c>
      <c r="K4" s="37"/>
      <c r="L4" s="37"/>
      <c r="M4" s="37"/>
      <c r="N4" s="37">
        <f t="shared" si="1"/>
        <v>0</v>
      </c>
      <c r="O4" s="37">
        <f t="shared" si="2"/>
        <v>0</v>
      </c>
      <c r="P4" s="37"/>
      <c r="Q4" s="37"/>
    </row>
    <row r="5" s="30" customFormat="1" ht="20" customHeight="1" spans="1:17">
      <c r="A5" s="36">
        <v>46085</v>
      </c>
      <c r="B5" s="37">
        <v>11</v>
      </c>
      <c r="C5" s="38">
        <f ca="1">SUM(O5:O13)/B5</f>
        <v>1.21199494949495</v>
      </c>
      <c r="D5" s="5" t="s">
        <v>201</v>
      </c>
      <c r="E5" s="5" t="s">
        <v>55</v>
      </c>
      <c r="F5" s="37">
        <v>950</v>
      </c>
      <c r="G5" s="5" t="s">
        <v>56</v>
      </c>
      <c r="H5" s="37">
        <f ca="1" t="array" ref="H5">INDEX(成本核算表!J:J,MATCH(1,(成本核算表!D:D=E5)*(成本核算表!C:C=G5),0))</f>
        <v>15</v>
      </c>
      <c r="I5" s="37">
        <v>460</v>
      </c>
      <c r="J5" s="37">
        <f ca="1" t="shared" si="0"/>
        <v>6900</v>
      </c>
      <c r="K5" s="37"/>
      <c r="L5" s="37"/>
      <c r="M5" s="37"/>
      <c r="N5" s="37">
        <f ca="1" t="shared" si="1"/>
        <v>6900</v>
      </c>
      <c r="O5" s="37">
        <f ca="1" t="shared" si="2"/>
        <v>1.91666666666667</v>
      </c>
      <c r="P5" s="37"/>
      <c r="Q5" s="37"/>
    </row>
    <row r="6" s="30" customFormat="1" ht="20" customHeight="1" spans="1:17">
      <c r="A6" s="36">
        <v>46085</v>
      </c>
      <c r="B6" s="37"/>
      <c r="C6" s="38"/>
      <c r="D6" s="5" t="s">
        <v>201</v>
      </c>
      <c r="E6" s="5" t="s">
        <v>55</v>
      </c>
      <c r="F6" s="37">
        <v>950</v>
      </c>
      <c r="G6" s="5" t="s">
        <v>57</v>
      </c>
      <c r="H6" s="37">
        <f ca="1" t="array" ref="H6">INDEX(成本核算表!J:J,MATCH(1,(成本核算表!D:D=E6)*(成本核算表!C:C=G6),0))</f>
        <v>25</v>
      </c>
      <c r="I6" s="37">
        <v>460</v>
      </c>
      <c r="J6" s="37">
        <f ca="1" t="shared" si="0"/>
        <v>11500</v>
      </c>
      <c r="K6" s="37"/>
      <c r="L6" s="37"/>
      <c r="M6" s="37"/>
      <c r="N6" s="37">
        <f ca="1" t="shared" si="1"/>
        <v>11500</v>
      </c>
      <c r="O6" s="37">
        <f ca="1" t="shared" si="2"/>
        <v>3.19444444444444</v>
      </c>
      <c r="P6" s="37"/>
      <c r="Q6" s="37"/>
    </row>
    <row r="7" s="30" customFormat="1" ht="20" customHeight="1" spans="1:17">
      <c r="A7" s="36">
        <v>46085</v>
      </c>
      <c r="B7" s="37"/>
      <c r="C7" s="38"/>
      <c r="D7" s="5" t="s">
        <v>202</v>
      </c>
      <c r="E7" s="5" t="s">
        <v>55</v>
      </c>
      <c r="F7" s="37">
        <v>950</v>
      </c>
      <c r="G7" s="5" t="s">
        <v>56</v>
      </c>
      <c r="H7" s="37">
        <f ca="1" t="array" ref="H7">INDEX(成本核算表!J:J,MATCH(1,(成本核算表!D:D=E7)*(成本核算表!C:C=G7),0))</f>
        <v>15</v>
      </c>
      <c r="I7" s="37">
        <v>309</v>
      </c>
      <c r="J7" s="37">
        <f ca="1" t="shared" si="0"/>
        <v>4635</v>
      </c>
      <c r="K7" s="37"/>
      <c r="L7" s="37"/>
      <c r="M7" s="37"/>
      <c r="N7" s="37">
        <f ca="1" t="shared" si="1"/>
        <v>4635</v>
      </c>
      <c r="O7" s="37">
        <f ca="1" t="shared" si="2"/>
        <v>1.2875</v>
      </c>
      <c r="P7" s="37"/>
      <c r="Q7" s="37"/>
    </row>
    <row r="8" s="30" customFormat="1" ht="20" customHeight="1" spans="1:17">
      <c r="A8" s="36">
        <v>46085</v>
      </c>
      <c r="B8" s="37"/>
      <c r="C8" s="38"/>
      <c r="D8" s="5" t="s">
        <v>202</v>
      </c>
      <c r="E8" s="5" t="s">
        <v>55</v>
      </c>
      <c r="F8" s="37">
        <v>950</v>
      </c>
      <c r="G8" s="5" t="s">
        <v>57</v>
      </c>
      <c r="H8" s="37">
        <f ca="1" t="array" ref="H8">INDEX(成本核算表!J:J,MATCH(1,(成本核算表!D:D=E8)*(成本核算表!C:C=G8),0))</f>
        <v>25</v>
      </c>
      <c r="I8" s="37">
        <v>304</v>
      </c>
      <c r="J8" s="37">
        <f ca="1" t="shared" si="0"/>
        <v>7600</v>
      </c>
      <c r="K8" s="37"/>
      <c r="L8" s="37"/>
      <c r="M8" s="37"/>
      <c r="N8" s="37">
        <f ca="1" t="shared" si="1"/>
        <v>7600</v>
      </c>
      <c r="O8" s="37">
        <f ca="1" t="shared" si="2"/>
        <v>2.11111111111111</v>
      </c>
      <c r="P8" s="37"/>
      <c r="Q8" s="37"/>
    </row>
    <row r="9" s="30" customFormat="1" ht="20" customHeight="1" spans="1:17">
      <c r="A9" s="36">
        <v>46085</v>
      </c>
      <c r="B9" s="37"/>
      <c r="C9" s="38"/>
      <c r="D9" s="5" t="s">
        <v>203</v>
      </c>
      <c r="E9" s="5" t="s">
        <v>55</v>
      </c>
      <c r="F9" s="37">
        <v>950</v>
      </c>
      <c r="G9" s="5" t="s">
        <v>56</v>
      </c>
      <c r="H9" s="37">
        <f ca="1" t="array" ref="H9">INDEX(成本核算表!J:J,MATCH(1,(成本核算表!D:D=E9)*(成本核算表!C:C=G9),0))</f>
        <v>15</v>
      </c>
      <c r="I9" s="37">
        <v>564</v>
      </c>
      <c r="J9" s="37">
        <f ca="1" t="shared" si="0"/>
        <v>8460</v>
      </c>
      <c r="K9" s="37"/>
      <c r="L9" s="37"/>
      <c r="M9" s="37"/>
      <c r="N9" s="37">
        <f ca="1" t="shared" si="1"/>
        <v>8460</v>
      </c>
      <c r="O9" s="37">
        <f ca="1" t="shared" si="2"/>
        <v>2.35</v>
      </c>
      <c r="P9" s="37"/>
      <c r="Q9" s="37"/>
    </row>
    <row r="10" s="30" customFormat="1" ht="20" customHeight="1" spans="1:17">
      <c r="A10" s="36">
        <v>46085</v>
      </c>
      <c r="B10" s="37"/>
      <c r="C10" s="38"/>
      <c r="D10" s="5" t="s">
        <v>204</v>
      </c>
      <c r="E10" s="5" t="s">
        <v>55</v>
      </c>
      <c r="F10" s="37">
        <v>1150</v>
      </c>
      <c r="G10" s="5" t="s">
        <v>56</v>
      </c>
      <c r="H10" s="37">
        <f ca="1" t="array" ref="H10">INDEX(成本核算表!J:J,MATCH(1,(成本核算表!D:D=E10)*(成本核算表!C:C=G10),0))</f>
        <v>15</v>
      </c>
      <c r="I10" s="37">
        <v>385</v>
      </c>
      <c r="J10" s="37">
        <f ca="1" t="shared" si="0"/>
        <v>5775</v>
      </c>
      <c r="K10" s="37"/>
      <c r="L10" s="37"/>
      <c r="M10" s="37"/>
      <c r="N10" s="37">
        <f ca="1" t="shared" si="1"/>
        <v>5775</v>
      </c>
      <c r="O10" s="37">
        <f ca="1" t="shared" si="2"/>
        <v>1.60416666666667</v>
      </c>
      <c r="P10" s="37"/>
      <c r="Q10" s="37"/>
    </row>
    <row r="11" s="30" customFormat="1" ht="20" customHeight="1" spans="1:17">
      <c r="A11" s="36">
        <v>46085</v>
      </c>
      <c r="B11" s="37"/>
      <c r="C11" s="38"/>
      <c r="D11" s="5" t="s">
        <v>205</v>
      </c>
      <c r="E11" s="5" t="s">
        <v>55</v>
      </c>
      <c r="F11" s="37">
        <v>1150</v>
      </c>
      <c r="G11" s="5" t="s">
        <v>56</v>
      </c>
      <c r="H11" s="37">
        <f ca="1" t="array" ref="H11">INDEX(成本核算表!J:J,MATCH(1,(成本核算表!D:D=E11)*(成本核算表!C:C=G11),0))</f>
        <v>15</v>
      </c>
      <c r="I11" s="37">
        <v>75</v>
      </c>
      <c r="J11" s="37">
        <f ca="1" t="shared" si="0"/>
        <v>1125</v>
      </c>
      <c r="K11" s="37"/>
      <c r="L11" s="37"/>
      <c r="M11" s="37"/>
      <c r="N11" s="37">
        <f ca="1" t="shared" si="1"/>
        <v>1125</v>
      </c>
      <c r="O11" s="37">
        <f ca="1" t="shared" si="2"/>
        <v>0.3125</v>
      </c>
      <c r="P11" s="37"/>
      <c r="Q11" s="37"/>
    </row>
    <row r="12" s="30" customFormat="1" ht="20" customHeight="1" spans="1:17">
      <c r="A12" s="36">
        <v>46085</v>
      </c>
      <c r="B12" s="37"/>
      <c r="C12" s="38"/>
      <c r="D12" s="5" t="s">
        <v>54</v>
      </c>
      <c r="E12" s="5" t="s">
        <v>55</v>
      </c>
      <c r="F12" s="37">
        <v>1150</v>
      </c>
      <c r="G12" s="5" t="s">
        <v>56</v>
      </c>
      <c r="H12" s="37">
        <f ca="1" t="array" ref="H12">INDEX(成本核算表!J:J,MATCH(1,(成本核算表!D:D=E12)*(成本核算表!C:C=G12),0))</f>
        <v>15</v>
      </c>
      <c r="I12" s="37">
        <v>50</v>
      </c>
      <c r="J12" s="37">
        <f ca="1" t="shared" si="0"/>
        <v>750</v>
      </c>
      <c r="K12" s="37"/>
      <c r="L12" s="37"/>
      <c r="M12" s="37"/>
      <c r="N12" s="37">
        <f ca="1" t="shared" si="1"/>
        <v>750</v>
      </c>
      <c r="O12" s="37">
        <f ca="1" t="shared" si="2"/>
        <v>0.208333333333333</v>
      </c>
      <c r="P12" s="37"/>
      <c r="Q12" s="37"/>
    </row>
    <row r="13" s="30" customFormat="1" ht="20" customHeight="1" spans="1:17">
      <c r="A13" s="36">
        <v>46085</v>
      </c>
      <c r="B13" s="37"/>
      <c r="C13" s="38"/>
      <c r="D13" s="5" t="s">
        <v>54</v>
      </c>
      <c r="E13" s="5" t="s">
        <v>55</v>
      </c>
      <c r="F13" s="37">
        <v>1150</v>
      </c>
      <c r="G13" s="5" t="s">
        <v>57</v>
      </c>
      <c r="H13" s="37">
        <f ca="1" t="array" ref="H13">INDEX(成本核算表!J:J,MATCH(1,(成本核算表!D:D=E13)*(成本核算表!C:C=G13),0))</f>
        <v>25</v>
      </c>
      <c r="I13" s="37">
        <v>50</v>
      </c>
      <c r="J13" s="37">
        <f ca="1" t="shared" si="0"/>
        <v>1250</v>
      </c>
      <c r="K13" s="37"/>
      <c r="L13" s="37"/>
      <c r="M13" s="37"/>
      <c r="N13" s="37">
        <f ca="1" t="shared" si="1"/>
        <v>1250</v>
      </c>
      <c r="O13" s="37">
        <f ca="1" t="shared" si="2"/>
        <v>0.347222222222222</v>
      </c>
      <c r="P13" s="37"/>
      <c r="Q13" s="37"/>
    </row>
    <row r="14" s="30" customFormat="1" ht="20" customHeight="1" spans="1:17">
      <c r="A14" s="36">
        <v>46086</v>
      </c>
      <c r="B14" s="37">
        <v>11</v>
      </c>
      <c r="C14" s="38">
        <f ca="1">O14/B14</f>
        <v>0.946969696969697</v>
      </c>
      <c r="D14" s="5" t="s">
        <v>115</v>
      </c>
      <c r="E14" s="5" t="s">
        <v>116</v>
      </c>
      <c r="F14" s="37">
        <v>138.8</v>
      </c>
      <c r="G14" s="5" t="s">
        <v>22</v>
      </c>
      <c r="H14" s="37">
        <f ca="1" t="array" ref="H14">INDEX(成本核算表!J:J,MATCH(1,(成本核算表!D:D=E14)*(成本核算表!C:C=G14),0))</f>
        <v>300</v>
      </c>
      <c r="I14" s="37">
        <v>125</v>
      </c>
      <c r="J14" s="37">
        <f ca="1" t="shared" si="0"/>
        <v>37500</v>
      </c>
      <c r="K14" s="37"/>
      <c r="L14" s="37"/>
      <c r="M14" s="37">
        <f ca="1">K14*H14</f>
        <v>0</v>
      </c>
      <c r="N14" s="37">
        <f ca="1" t="shared" si="1"/>
        <v>37500</v>
      </c>
      <c r="O14" s="37">
        <f ca="1" t="shared" si="2"/>
        <v>10.4166666666667</v>
      </c>
      <c r="P14" s="37"/>
      <c r="Q14" s="37"/>
    </row>
    <row r="15" s="30" customFormat="1" ht="20" customHeight="1" spans="1:17">
      <c r="A15" s="36">
        <v>46087</v>
      </c>
      <c r="B15" s="37">
        <v>11</v>
      </c>
      <c r="C15" s="38">
        <f ca="1">SUM(O15:O17)/B15</f>
        <v>1.03626262626263</v>
      </c>
      <c r="D15" s="5" t="s">
        <v>115</v>
      </c>
      <c r="E15" s="5" t="s">
        <v>116</v>
      </c>
      <c r="F15" s="37">
        <v>138.8</v>
      </c>
      <c r="G15" s="5" t="s">
        <v>22</v>
      </c>
      <c r="H15" s="37">
        <f ca="1" t="array" ref="H15">INDEX(成本核算表!J:J,MATCH(1,(成本核算表!D:D=E15)*(成本核算表!C:C=G15),0))</f>
        <v>300</v>
      </c>
      <c r="I15" s="37">
        <v>17</v>
      </c>
      <c r="J15" s="37">
        <f ca="1" t="shared" si="0"/>
        <v>5100</v>
      </c>
      <c r="K15" s="37"/>
      <c r="L15" s="37"/>
      <c r="M15" s="37"/>
      <c r="N15" s="37">
        <f ca="1" t="shared" si="1"/>
        <v>5100</v>
      </c>
      <c r="O15" s="37">
        <f ca="1" t="shared" si="2"/>
        <v>1.41666666666667</v>
      </c>
      <c r="P15" s="37"/>
      <c r="Q15" s="37"/>
    </row>
    <row r="16" s="30" customFormat="1" ht="20" customHeight="1" spans="1:17">
      <c r="A16" s="36">
        <v>46087</v>
      </c>
      <c r="B16" s="37"/>
      <c r="C16" s="38"/>
      <c r="D16" s="5" t="s">
        <v>117</v>
      </c>
      <c r="E16" s="5" t="s">
        <v>118</v>
      </c>
      <c r="F16" s="37">
        <v>138.8</v>
      </c>
      <c r="G16" s="5" t="s">
        <v>22</v>
      </c>
      <c r="H16" s="37">
        <f ca="1" t="array" ref="H16">INDEX(成本核算表!J:J,MATCH(1,(成本核算表!D:D=E16)*(成本核算表!C:C=G16),0))</f>
        <v>276</v>
      </c>
      <c r="I16" s="37">
        <v>62</v>
      </c>
      <c r="J16" s="37">
        <f ca="1" t="shared" si="0"/>
        <v>17112</v>
      </c>
      <c r="K16" s="37">
        <v>6</v>
      </c>
      <c r="L16" s="37"/>
      <c r="M16" s="37">
        <f ca="1">K16*H16</f>
        <v>1656</v>
      </c>
      <c r="N16" s="37">
        <f ca="1" t="shared" si="1"/>
        <v>15456</v>
      </c>
      <c r="O16" s="37">
        <f ca="1" t="shared" si="2"/>
        <v>4.29333333333333</v>
      </c>
      <c r="P16" s="37"/>
      <c r="Q16" s="37"/>
    </row>
    <row r="17" s="30" customFormat="1" ht="20" customHeight="1" spans="1:17">
      <c r="A17" s="36">
        <v>46087</v>
      </c>
      <c r="B17" s="37"/>
      <c r="C17" s="38"/>
      <c r="D17" s="37"/>
      <c r="E17" s="5" t="s">
        <v>101</v>
      </c>
      <c r="F17" s="37">
        <v>138.8</v>
      </c>
      <c r="G17" s="5" t="s">
        <v>22</v>
      </c>
      <c r="H17" s="37">
        <f ca="1" t="array" ref="H17">INDEX(成本核算表!J:J,MATCH(1,(成本核算表!D:D=E17)*(成本核算表!C:C=G17),0))</f>
        <v>160</v>
      </c>
      <c r="I17" s="37">
        <f>384/3</f>
        <v>128</v>
      </c>
      <c r="J17" s="37">
        <f ca="1" t="shared" si="0"/>
        <v>20480</v>
      </c>
      <c r="K17" s="37"/>
      <c r="L17" s="37"/>
      <c r="M17" s="37"/>
      <c r="N17" s="37">
        <f ca="1" t="shared" si="1"/>
        <v>20480</v>
      </c>
      <c r="O17" s="37">
        <f ca="1" t="shared" si="2"/>
        <v>5.68888888888889</v>
      </c>
      <c r="P17" s="37"/>
      <c r="Q17" s="37"/>
    </row>
    <row r="18" s="30" customFormat="1" ht="20" customHeight="1" spans="1:17">
      <c r="A18" s="36">
        <v>46088</v>
      </c>
      <c r="B18" s="37">
        <v>11</v>
      </c>
      <c r="C18" s="38">
        <f ca="1">SUM(O18:O19)/B18</f>
        <v>1.33585858585859</v>
      </c>
      <c r="D18" s="5" t="s">
        <v>128</v>
      </c>
      <c r="E18" s="5" t="s">
        <v>129</v>
      </c>
      <c r="F18" s="37">
        <v>1633.7</v>
      </c>
      <c r="G18" s="5" t="s">
        <v>22</v>
      </c>
      <c r="H18" s="37">
        <f ca="1" t="array" ref="H18">INDEX(成本核算表!J:J,MATCH(1,(成本核算表!D:D=E18)*(成本核算表!C:C=G18),0))</f>
        <v>400</v>
      </c>
      <c r="I18" s="37">
        <v>78</v>
      </c>
      <c r="J18" s="37">
        <f ca="1" t="shared" si="0"/>
        <v>31200</v>
      </c>
      <c r="K18" s="37"/>
      <c r="L18" s="37"/>
      <c r="M18" s="37">
        <v>14000</v>
      </c>
      <c r="N18" s="37">
        <f ca="1" t="shared" si="1"/>
        <v>17200</v>
      </c>
      <c r="O18" s="37">
        <f ca="1" t="shared" si="2"/>
        <v>4.77777777777778</v>
      </c>
      <c r="P18" s="37"/>
      <c r="Q18" s="37"/>
    </row>
    <row r="19" s="30" customFormat="1" ht="20" customHeight="1" spans="1:17">
      <c r="A19" s="36">
        <v>46088</v>
      </c>
      <c r="B19" s="37"/>
      <c r="C19" s="38"/>
      <c r="D19" s="5" t="s">
        <v>130</v>
      </c>
      <c r="E19" s="5" t="s">
        <v>131</v>
      </c>
      <c r="F19" s="37">
        <v>140</v>
      </c>
      <c r="G19" s="5" t="s">
        <v>25</v>
      </c>
      <c r="H19" s="37">
        <f ca="1" t="array" ref="H19">INDEX(成本核算表!J:J,MATCH(1,(成本核算表!D:D=E19)*(成本核算表!C:C=G19),0))</f>
        <v>700</v>
      </c>
      <c r="I19" s="37">
        <v>51</v>
      </c>
      <c r="J19" s="37">
        <f ca="1" t="shared" si="0"/>
        <v>35700</v>
      </c>
      <c r="K19" s="37"/>
      <c r="L19" s="37"/>
      <c r="M19" s="37"/>
      <c r="N19" s="37">
        <f ca="1" t="shared" si="1"/>
        <v>35700</v>
      </c>
      <c r="O19" s="37">
        <f ca="1" t="shared" si="2"/>
        <v>9.91666666666667</v>
      </c>
      <c r="P19" s="37"/>
      <c r="Q19" s="37"/>
    </row>
    <row r="20" s="30" customFormat="1" ht="20" customHeight="1" spans="1:17">
      <c r="A20" s="36">
        <v>46089</v>
      </c>
      <c r="B20" s="37">
        <v>12</v>
      </c>
      <c r="C20" s="38">
        <f ca="1">SUM(O20:O21)/B20</f>
        <v>1.01851851851852</v>
      </c>
      <c r="D20" s="5" t="s">
        <v>107</v>
      </c>
      <c r="E20" s="5" t="s">
        <v>108</v>
      </c>
      <c r="F20" s="37">
        <v>260</v>
      </c>
      <c r="G20" s="5" t="s">
        <v>24</v>
      </c>
      <c r="H20" s="37">
        <f ca="1" t="array" ref="H20">INDEX(成本核算表!J:J,MATCH(1,(成本核算表!D:D=E20)*(成本核算表!C:C=G20),0))</f>
        <v>50</v>
      </c>
      <c r="I20" s="37">
        <v>400</v>
      </c>
      <c r="J20" s="37">
        <f ca="1" t="shared" si="0"/>
        <v>20000</v>
      </c>
      <c r="K20" s="37"/>
      <c r="L20" s="37"/>
      <c r="M20" s="37"/>
      <c r="N20" s="37">
        <f ca="1" t="shared" si="1"/>
        <v>20000</v>
      </c>
      <c r="O20" s="37">
        <f ca="1" t="shared" si="2"/>
        <v>5.55555555555556</v>
      </c>
      <c r="P20" s="37"/>
      <c r="Q20" s="37"/>
    </row>
    <row r="21" s="30" customFormat="1" ht="20" customHeight="1" spans="1:17">
      <c r="A21" s="36">
        <v>46089</v>
      </c>
      <c r="B21" s="37"/>
      <c r="C21" s="38"/>
      <c r="D21" s="5" t="s">
        <v>107</v>
      </c>
      <c r="E21" s="5" t="s">
        <v>108</v>
      </c>
      <c r="F21" s="37">
        <v>260</v>
      </c>
      <c r="G21" s="5" t="s">
        <v>25</v>
      </c>
      <c r="H21" s="37">
        <f ca="1" t="array" ref="H21">INDEX(成本核算表!J:J,MATCH(1,(成本核算表!D:D=E21)*(成本核算表!C:C=G21),0))</f>
        <v>60</v>
      </c>
      <c r="I21" s="37">
        <v>400</v>
      </c>
      <c r="J21" s="37">
        <f ca="1" t="shared" si="0"/>
        <v>24000</v>
      </c>
      <c r="K21" s="37"/>
      <c r="L21" s="37"/>
      <c r="M21" s="37"/>
      <c r="N21" s="37">
        <f ca="1" t="shared" si="1"/>
        <v>24000</v>
      </c>
      <c r="O21" s="37">
        <f ca="1" t="shared" si="2"/>
        <v>6.66666666666667</v>
      </c>
      <c r="P21" s="37"/>
      <c r="Q21" s="37"/>
    </row>
    <row r="22" s="30" customFormat="1" ht="20" customHeight="1" spans="1:17">
      <c r="A22" s="36">
        <v>46090</v>
      </c>
      <c r="B22" s="37">
        <v>12</v>
      </c>
      <c r="C22" s="38">
        <f ca="1">SUM(O22:O23)/B22</f>
        <v>1.00208333333333</v>
      </c>
      <c r="D22" s="5" t="s">
        <v>206</v>
      </c>
      <c r="E22" s="5" t="s">
        <v>207</v>
      </c>
      <c r="F22" s="37"/>
      <c r="G22" s="5" t="s">
        <v>24</v>
      </c>
      <c r="H22" s="37">
        <f ca="1" t="array" ref="H22">INDEX(成本核算表!J:J,MATCH(1,(成本核算表!D:D=E22)*(成本核算表!C:C=G22),0))</f>
        <v>270</v>
      </c>
      <c r="I22" s="37">
        <v>43</v>
      </c>
      <c r="J22" s="37">
        <f ca="1" t="shared" si="0"/>
        <v>11610</v>
      </c>
      <c r="K22" s="37"/>
      <c r="L22" s="37">
        <v>27000</v>
      </c>
      <c r="M22" s="37"/>
      <c r="N22" s="37">
        <f ca="1" t="shared" si="1"/>
        <v>38610</v>
      </c>
      <c r="O22" s="37">
        <f ca="1" t="shared" si="2"/>
        <v>10.725</v>
      </c>
      <c r="P22" s="37"/>
      <c r="Q22" s="37"/>
    </row>
    <row r="23" s="30" customFormat="1" ht="20" customHeight="1" spans="1:17">
      <c r="A23" s="36">
        <v>46090</v>
      </c>
      <c r="B23" s="37"/>
      <c r="C23" s="38"/>
      <c r="D23" s="37"/>
      <c r="E23" s="5" t="s">
        <v>186</v>
      </c>
      <c r="F23" s="37">
        <v>51.1</v>
      </c>
      <c r="G23" s="5" t="s">
        <v>22</v>
      </c>
      <c r="H23" s="37">
        <v>18</v>
      </c>
      <c r="I23" s="37">
        <v>260</v>
      </c>
      <c r="J23" s="37">
        <f t="shared" si="0"/>
        <v>4680</v>
      </c>
      <c r="K23" s="37"/>
      <c r="L23" s="37"/>
      <c r="M23" s="37"/>
      <c r="N23" s="37">
        <f t="shared" si="1"/>
        <v>4680</v>
      </c>
      <c r="O23" s="37">
        <f t="shared" si="2"/>
        <v>1.3</v>
      </c>
      <c r="P23" s="37"/>
      <c r="Q23" s="37"/>
    </row>
    <row r="24" s="30" customFormat="1" ht="20" customHeight="1" spans="1:17">
      <c r="A24" s="36">
        <v>46091</v>
      </c>
      <c r="B24" s="37">
        <v>12</v>
      </c>
      <c r="C24" s="38">
        <v>1.01851851851852</v>
      </c>
      <c r="D24" s="39" t="s">
        <v>107</v>
      </c>
      <c r="E24" s="39" t="s">
        <v>108</v>
      </c>
      <c r="F24" s="37">
        <v>260</v>
      </c>
      <c r="G24" s="39" t="s">
        <v>24</v>
      </c>
      <c r="H24" s="37">
        <v>50</v>
      </c>
      <c r="I24" s="37">
        <v>400</v>
      </c>
      <c r="J24" s="37">
        <f t="shared" si="0"/>
        <v>20000</v>
      </c>
      <c r="K24" s="37"/>
      <c r="L24" s="37"/>
      <c r="M24" s="37"/>
      <c r="N24" s="37">
        <f t="shared" si="1"/>
        <v>20000</v>
      </c>
      <c r="O24" s="37">
        <f t="shared" si="2"/>
        <v>5.55555555555556</v>
      </c>
      <c r="P24" s="37"/>
      <c r="Q24" s="37"/>
    </row>
    <row r="25" s="30" customFormat="1" ht="20" customHeight="1" spans="1:17">
      <c r="A25" s="36">
        <v>46091</v>
      </c>
      <c r="B25" s="37"/>
      <c r="C25" s="38"/>
      <c r="D25" s="39" t="s">
        <v>107</v>
      </c>
      <c r="E25" s="39" t="s">
        <v>108</v>
      </c>
      <c r="F25" s="37">
        <v>260</v>
      </c>
      <c r="G25" s="39" t="s">
        <v>25</v>
      </c>
      <c r="H25" s="37">
        <v>60</v>
      </c>
      <c r="I25" s="37">
        <v>400</v>
      </c>
      <c r="J25" s="37">
        <f t="shared" si="0"/>
        <v>24000</v>
      </c>
      <c r="K25" s="37"/>
      <c r="L25" s="37"/>
      <c r="M25" s="37"/>
      <c r="N25" s="37">
        <f t="shared" si="1"/>
        <v>24000</v>
      </c>
      <c r="O25" s="37">
        <f t="shared" si="2"/>
        <v>6.66666666666667</v>
      </c>
      <c r="P25" s="37"/>
      <c r="Q25" s="37"/>
    </row>
    <row r="26" s="30" customFormat="1" ht="20" customHeight="1" spans="1:17">
      <c r="A26" s="36">
        <v>46092</v>
      </c>
      <c r="B26" s="37">
        <v>12</v>
      </c>
      <c r="C26" s="38">
        <f ca="1">SUM(O26:O27)/B26</f>
        <v>1.13333333333333</v>
      </c>
      <c r="D26" s="5" t="s">
        <v>80</v>
      </c>
      <c r="E26" s="5" t="s">
        <v>78</v>
      </c>
      <c r="F26" s="37">
        <v>1960</v>
      </c>
      <c r="G26" s="5" t="s">
        <v>22</v>
      </c>
      <c r="H26" s="37">
        <f ca="1" t="array" ref="H26">INDEX(成本核算表!J:J,MATCH(1,(成本核算表!D:D=E26)*(成本核算表!C:C=G26),0))</f>
        <v>60</v>
      </c>
      <c r="I26" s="37">
        <v>300</v>
      </c>
      <c r="J26" s="37">
        <f ca="1" t="shared" si="0"/>
        <v>18000</v>
      </c>
      <c r="K26" s="37"/>
      <c r="L26" s="37"/>
      <c r="M26" s="37"/>
      <c r="N26" s="37">
        <f ca="1" t="shared" si="1"/>
        <v>18000</v>
      </c>
      <c r="O26" s="37">
        <f ca="1" t="shared" si="2"/>
        <v>5</v>
      </c>
      <c r="P26" s="37"/>
      <c r="Q26" s="5" t="s">
        <v>208</v>
      </c>
    </row>
    <row r="27" s="30" customFormat="1" ht="20" customHeight="1" spans="1:17">
      <c r="A27" s="36">
        <v>46092</v>
      </c>
      <c r="B27" s="37"/>
      <c r="C27" s="38"/>
      <c r="D27" s="5" t="s">
        <v>77</v>
      </c>
      <c r="E27" s="5" t="s">
        <v>78</v>
      </c>
      <c r="F27" s="37">
        <v>1960</v>
      </c>
      <c r="G27" s="5" t="s">
        <v>22</v>
      </c>
      <c r="H27" s="37">
        <f ca="1" t="array" ref="H27">INDEX(成本核算表!J:J,MATCH(1,(成本核算表!D:D=E27)*(成本核算表!C:C=G27),0))</f>
        <v>60</v>
      </c>
      <c r="I27" s="37">
        <v>516</v>
      </c>
      <c r="J27" s="37">
        <f ca="1" t="shared" si="0"/>
        <v>30960</v>
      </c>
      <c r="K27" s="37"/>
      <c r="L27" s="37"/>
      <c r="M27" s="37"/>
      <c r="N27" s="37">
        <f ca="1" t="shared" si="1"/>
        <v>30960</v>
      </c>
      <c r="O27" s="37">
        <f ca="1" t="shared" si="2"/>
        <v>8.6</v>
      </c>
      <c r="P27" s="37"/>
      <c r="Q27" s="37"/>
    </row>
    <row r="28" s="30" customFormat="1" ht="20" customHeight="1" spans="1:17">
      <c r="A28" s="36">
        <v>46093</v>
      </c>
      <c r="B28" s="37">
        <v>12</v>
      </c>
      <c r="C28" s="38">
        <f ca="1">SUM(O28:O29)/B28</f>
        <v>0.85</v>
      </c>
      <c r="D28" s="5" t="s">
        <v>80</v>
      </c>
      <c r="E28" s="5" t="s">
        <v>78</v>
      </c>
      <c r="F28" s="37">
        <v>1960</v>
      </c>
      <c r="G28" s="5" t="s">
        <v>22</v>
      </c>
      <c r="H28" s="37">
        <f ca="1" t="array" ref="H28">INDEX(成本核算表!J:J,MATCH(1,(成本核算表!D:D=E28)*(成本核算表!C:C=G28),0))</f>
        <v>60</v>
      </c>
      <c r="I28" s="37">
        <v>325</v>
      </c>
      <c r="J28" s="37">
        <f ca="1" t="shared" si="0"/>
        <v>19500</v>
      </c>
      <c r="K28" s="37"/>
      <c r="L28" s="37">
        <v>14400</v>
      </c>
      <c r="M28" s="37"/>
      <c r="N28" s="37">
        <f ca="1" t="shared" si="1"/>
        <v>33900</v>
      </c>
      <c r="O28" s="37">
        <f ca="1" t="shared" si="2"/>
        <v>9.41666666666667</v>
      </c>
      <c r="P28" s="37"/>
      <c r="Q28" s="37"/>
    </row>
    <row r="29" s="30" customFormat="1" ht="20" customHeight="1" spans="1:17">
      <c r="A29" s="36">
        <v>46093</v>
      </c>
      <c r="B29" s="37"/>
      <c r="C29" s="38"/>
      <c r="D29" s="5" t="s">
        <v>77</v>
      </c>
      <c r="E29" s="5" t="s">
        <v>78</v>
      </c>
      <c r="F29" s="37">
        <v>1960</v>
      </c>
      <c r="G29" s="5" t="s">
        <v>22</v>
      </c>
      <c r="H29" s="37">
        <f ca="1" t="array" ref="H29">INDEX(成本核算表!J:J,MATCH(1,(成本核算表!D:D=E29)*(成本核算表!C:C=G29),0))</f>
        <v>60</v>
      </c>
      <c r="I29" s="37">
        <v>47</v>
      </c>
      <c r="J29" s="37">
        <f ca="1" t="shared" si="0"/>
        <v>2820</v>
      </c>
      <c r="K29" s="37"/>
      <c r="L29" s="37"/>
      <c r="M29" s="37"/>
      <c r="N29" s="37">
        <f ca="1" t="shared" si="1"/>
        <v>2820</v>
      </c>
      <c r="O29" s="37">
        <f ca="1" t="shared" si="2"/>
        <v>0.783333333333333</v>
      </c>
      <c r="P29" s="37"/>
      <c r="Q29" s="37"/>
    </row>
    <row r="30" s="30" customFormat="1" ht="20" customHeight="1" spans="1:17">
      <c r="A30" s="37"/>
      <c r="B30" s="37"/>
      <c r="C30" s="38"/>
      <c r="D30" s="37"/>
      <c r="E30" s="37"/>
      <c r="F30" s="37"/>
      <c r="G30" s="37"/>
      <c r="H30" s="37">
        <f ca="1" t="array" ref="H30">INDEX(成本核算表!J:J,MATCH(1,(成本核算表!D:D=E30)*(成本核算表!C:C=G30),0))</f>
        <v>0</v>
      </c>
      <c r="I30" s="37"/>
      <c r="J30" s="37">
        <f ca="1" t="shared" si="0"/>
        <v>0</v>
      </c>
      <c r="K30" s="37"/>
      <c r="L30" s="37"/>
      <c r="M30" s="37"/>
      <c r="N30" s="37">
        <f ca="1" t="shared" si="1"/>
        <v>0</v>
      </c>
      <c r="O30" s="37">
        <f ca="1" t="shared" si="2"/>
        <v>0</v>
      </c>
      <c r="P30" s="37"/>
      <c r="Q30" s="37"/>
    </row>
    <row r="31" s="30" customFormat="1" ht="20" customHeight="1" spans="1:17">
      <c r="A31" s="36">
        <v>46095</v>
      </c>
      <c r="B31" s="37">
        <v>12</v>
      </c>
      <c r="C31" s="38">
        <f ca="1">SUM(O31:O34)/B31</f>
        <v>1.02930555555556</v>
      </c>
      <c r="D31" s="5" t="s">
        <v>149</v>
      </c>
      <c r="E31" s="5" t="s">
        <v>52</v>
      </c>
      <c r="F31" s="37">
        <v>950</v>
      </c>
      <c r="G31" s="5" t="s">
        <v>49</v>
      </c>
      <c r="H31" s="37">
        <f ca="1" t="array" ref="H31">INDEX(成本核算表!J:J,MATCH(1,(成本核算表!D:D=E31)*(成本核算表!C:C=G31),0))</f>
        <v>25</v>
      </c>
      <c r="I31" s="37">
        <v>607</v>
      </c>
      <c r="J31" s="37">
        <f ca="1" t="shared" si="0"/>
        <v>15175</v>
      </c>
      <c r="K31" s="37"/>
      <c r="L31" s="37">
        <v>7200</v>
      </c>
      <c r="M31" s="37"/>
      <c r="N31" s="37">
        <f ca="1" t="shared" si="1"/>
        <v>22375</v>
      </c>
      <c r="O31" s="37">
        <f ca="1" t="shared" si="2"/>
        <v>6.21527777777778</v>
      </c>
      <c r="P31" s="37"/>
      <c r="Q31" s="37"/>
    </row>
    <row r="32" s="30" customFormat="1" ht="20" customHeight="1" spans="1:17">
      <c r="A32" s="36">
        <v>46095</v>
      </c>
      <c r="B32" s="37"/>
      <c r="C32" s="38"/>
      <c r="D32" s="5" t="s">
        <v>86</v>
      </c>
      <c r="E32" s="5" t="s">
        <v>52</v>
      </c>
      <c r="F32" s="37">
        <v>950</v>
      </c>
      <c r="G32" s="5" t="s">
        <v>70</v>
      </c>
      <c r="H32" s="37">
        <f ca="1" t="array" ref="H32">INDEX(成本核算表!J:J,MATCH(1,(成本核算表!D:D=E32)*(成本核算表!C:C=G32),0))</f>
        <v>12</v>
      </c>
      <c r="I32" s="37">
        <v>1200</v>
      </c>
      <c r="J32" s="37">
        <f ca="1" t="shared" si="0"/>
        <v>14400</v>
      </c>
      <c r="K32" s="37"/>
      <c r="L32" s="37"/>
      <c r="M32" s="37"/>
      <c r="N32" s="37">
        <f ca="1" t="shared" si="1"/>
        <v>14400</v>
      </c>
      <c r="O32" s="37">
        <f ca="1" t="shared" si="2"/>
        <v>4</v>
      </c>
      <c r="P32" s="37"/>
      <c r="Q32" s="37"/>
    </row>
    <row r="33" s="30" customFormat="1" ht="20" customHeight="1" spans="1:17">
      <c r="A33" s="36">
        <v>46095</v>
      </c>
      <c r="B33" s="37"/>
      <c r="C33" s="38"/>
      <c r="D33" s="5" t="s">
        <v>87</v>
      </c>
      <c r="E33" s="5" t="s">
        <v>52</v>
      </c>
      <c r="F33" s="37">
        <v>950</v>
      </c>
      <c r="G33" s="5" t="s">
        <v>70</v>
      </c>
      <c r="H33" s="37">
        <f ca="1" t="array" ref="H33">INDEX(成本核算表!J:J,MATCH(1,(成本核算表!D:D=E33)*(成本核算表!C:C=G33),0))</f>
        <v>12</v>
      </c>
      <c r="I33" s="37">
        <v>218</v>
      </c>
      <c r="J33" s="37">
        <f ca="1" t="shared" si="0"/>
        <v>2616</v>
      </c>
      <c r="K33" s="37"/>
      <c r="L33" s="37"/>
      <c r="M33" s="37"/>
      <c r="N33" s="37">
        <f ca="1" t="shared" si="1"/>
        <v>2616</v>
      </c>
      <c r="O33" s="37">
        <f ca="1" t="shared" si="2"/>
        <v>0.726666666666667</v>
      </c>
      <c r="P33" s="37"/>
      <c r="Q33" s="37"/>
    </row>
    <row r="34" s="30" customFormat="1" ht="20" customHeight="1" spans="1:17">
      <c r="A34" s="36">
        <v>46095</v>
      </c>
      <c r="B34" s="37"/>
      <c r="C34" s="38"/>
      <c r="D34" s="5" t="s">
        <v>86</v>
      </c>
      <c r="E34" s="5" t="s">
        <v>52</v>
      </c>
      <c r="F34" s="37">
        <v>950</v>
      </c>
      <c r="G34" s="5" t="s">
        <v>49</v>
      </c>
      <c r="H34" s="37">
        <f ca="1" t="array" ref="H34">INDEX(成本核算表!J:J,MATCH(1,(成本核算表!D:D=E34)*(成本核算表!C:C=G34),0))</f>
        <v>25</v>
      </c>
      <c r="I34" s="37">
        <v>203</v>
      </c>
      <c r="J34" s="37">
        <f ca="1" t="shared" si="0"/>
        <v>5075</v>
      </c>
      <c r="K34" s="37"/>
      <c r="L34" s="37"/>
      <c r="M34" s="37"/>
      <c r="N34" s="37">
        <f ca="1" t="shared" si="1"/>
        <v>5075</v>
      </c>
      <c r="O34" s="37">
        <f ca="1" t="shared" si="2"/>
        <v>1.40972222222222</v>
      </c>
      <c r="P34" s="37"/>
      <c r="Q34" s="37"/>
    </row>
    <row r="35" s="30" customFormat="1" ht="20" customHeight="1" spans="1:17">
      <c r="A35" s="37"/>
      <c r="B35" s="37"/>
      <c r="C35" s="38"/>
      <c r="D35" s="37"/>
      <c r="E35" s="37"/>
      <c r="F35" s="37"/>
      <c r="G35" s="37"/>
      <c r="H35" s="37">
        <f ca="1" t="array" ref="H35">INDEX(成本核算表!J:J,MATCH(1,(成本核算表!D:D=E35)*(成本核算表!C:C=G35),0))</f>
        <v>0</v>
      </c>
      <c r="I35" s="37"/>
      <c r="J35" s="37">
        <f ca="1" t="shared" si="0"/>
        <v>0</v>
      </c>
      <c r="K35" s="37"/>
      <c r="L35" s="37"/>
      <c r="M35" s="37"/>
      <c r="N35" s="37">
        <f ca="1" t="shared" si="1"/>
        <v>0</v>
      </c>
      <c r="O35" s="37">
        <f ca="1" t="shared" si="2"/>
        <v>0</v>
      </c>
      <c r="P35" s="37"/>
      <c r="Q35" s="37"/>
    </row>
    <row r="36" s="30" customFormat="1" ht="20" customHeight="1" spans="1:17">
      <c r="A36" s="36">
        <v>46097</v>
      </c>
      <c r="B36" s="37">
        <v>11</v>
      </c>
      <c r="C36" s="38">
        <f ca="1">SUM(O36:O37)/B36</f>
        <v>1.01848484848485</v>
      </c>
      <c r="D36" s="37"/>
      <c r="E36" s="5" t="s">
        <v>52</v>
      </c>
      <c r="F36" s="5" t="s">
        <v>209</v>
      </c>
      <c r="G36" s="5" t="s">
        <v>70</v>
      </c>
      <c r="H36" s="37">
        <f ca="1" t="array" ref="H36">INDEX(成本核算表!J:J,MATCH(1,(成本核算表!D:D=E36)*(成本核算表!C:C=G36),0))</f>
        <v>12</v>
      </c>
      <c r="I36" s="37">
        <f>80+442+390+346+734+357</f>
        <v>2349</v>
      </c>
      <c r="J36" s="37">
        <f ca="1" t="shared" si="0"/>
        <v>28188</v>
      </c>
      <c r="K36" s="37"/>
      <c r="L36" s="37"/>
      <c r="M36" s="37"/>
      <c r="N36" s="37">
        <f ca="1" t="shared" si="1"/>
        <v>28188</v>
      </c>
      <c r="O36" s="37">
        <f ca="1" t="shared" si="2"/>
        <v>7.83</v>
      </c>
      <c r="P36" s="37"/>
      <c r="Q36" s="37"/>
    </row>
    <row r="37" s="30" customFormat="1" ht="20" customHeight="1" spans="1:17">
      <c r="A37" s="36">
        <v>46097</v>
      </c>
      <c r="B37" s="37"/>
      <c r="C37" s="38"/>
      <c r="D37" s="37"/>
      <c r="E37" s="5" t="s">
        <v>210</v>
      </c>
      <c r="F37" s="37">
        <v>1150</v>
      </c>
      <c r="G37" s="5" t="s">
        <v>70</v>
      </c>
      <c r="H37" s="37">
        <f ca="1" t="array" ref="H37">INDEX(成本核算表!J:J,MATCH(1,(成本核算表!D:D=E37)*(成本核算表!C:C=G37),0))</f>
        <v>12</v>
      </c>
      <c r="I37" s="37">
        <v>1012</v>
      </c>
      <c r="J37" s="37">
        <f ca="1" t="shared" si="0"/>
        <v>12144</v>
      </c>
      <c r="K37" s="37"/>
      <c r="L37" s="37"/>
      <c r="M37" s="37"/>
      <c r="N37" s="37">
        <f ca="1" t="shared" si="1"/>
        <v>12144</v>
      </c>
      <c r="O37" s="37">
        <f ca="1" t="shared" si="2"/>
        <v>3.37333333333333</v>
      </c>
      <c r="P37" s="37"/>
      <c r="Q37" s="37"/>
    </row>
    <row r="38" s="30" customFormat="1" ht="20" customHeight="1" spans="1:17">
      <c r="A38" s="36">
        <v>46098</v>
      </c>
      <c r="B38" s="37">
        <v>11</v>
      </c>
      <c r="C38" s="38">
        <f ca="1">SUM(O38:O39)/B38</f>
        <v>1.01151515151515</v>
      </c>
      <c r="D38" s="37"/>
      <c r="E38" s="5" t="s">
        <v>52</v>
      </c>
      <c r="F38" s="5" t="s">
        <v>209</v>
      </c>
      <c r="G38" s="5" t="s">
        <v>70</v>
      </c>
      <c r="H38" s="37">
        <f ca="1" t="array" ref="H38">INDEX(成本核算表!J:J,MATCH(1,(成本核算表!D:D=E38)*(成本核算表!C:C=G38),0))</f>
        <v>12</v>
      </c>
      <c r="I38" s="37">
        <f>746+290+500+500+473</f>
        <v>2509</v>
      </c>
      <c r="J38" s="37">
        <f ca="1" t="shared" si="0"/>
        <v>30108</v>
      </c>
      <c r="K38" s="37"/>
      <c r="L38" s="37"/>
      <c r="M38" s="37"/>
      <c r="N38" s="37">
        <f ca="1" t="shared" si="1"/>
        <v>30108</v>
      </c>
      <c r="O38" s="37">
        <f ca="1" t="shared" si="2"/>
        <v>8.36333333333333</v>
      </c>
      <c r="P38" s="37"/>
      <c r="Q38" s="37"/>
    </row>
    <row r="39" s="30" customFormat="1" ht="20" customHeight="1" spans="1:17">
      <c r="A39" s="36">
        <v>46098</v>
      </c>
      <c r="B39" s="37"/>
      <c r="C39" s="38"/>
      <c r="D39" s="37"/>
      <c r="E39" s="5" t="s">
        <v>210</v>
      </c>
      <c r="F39" s="37">
        <v>1150</v>
      </c>
      <c r="G39" s="5" t="s">
        <v>70</v>
      </c>
      <c r="H39" s="37">
        <f ca="1" t="array" ref="H39">INDEX(成本核算表!J:J,MATCH(1,(成本核算表!D:D=E39)*(成本核算表!C:C=G39),0))</f>
        <v>12</v>
      </c>
      <c r="I39" s="37">
        <v>529</v>
      </c>
      <c r="J39" s="37">
        <f ca="1" t="shared" si="0"/>
        <v>6348</v>
      </c>
      <c r="K39" s="37"/>
      <c r="L39" s="37">
        <v>3600</v>
      </c>
      <c r="M39" s="37"/>
      <c r="N39" s="37">
        <f ca="1" t="shared" si="1"/>
        <v>9948</v>
      </c>
      <c r="O39" s="37">
        <f ca="1" t="shared" si="2"/>
        <v>2.76333333333333</v>
      </c>
      <c r="P39" s="37"/>
      <c r="Q39" s="37"/>
    </row>
    <row r="40" s="30" customFormat="1" ht="20" customHeight="1" spans="1:17">
      <c r="A40" s="36">
        <v>46099</v>
      </c>
      <c r="B40" s="37"/>
      <c r="C40" s="38"/>
      <c r="D40" s="37"/>
      <c r="E40" s="37"/>
      <c r="F40" s="37"/>
      <c r="G40" s="37"/>
      <c r="H40" s="37">
        <f ca="1" t="array" ref="H40">INDEX(成本核算表!J:J,MATCH(1,(成本核算表!D:D=E40)*(成本核算表!C:C=G40),0))</f>
        <v>0</v>
      </c>
      <c r="I40" s="37"/>
      <c r="J40" s="37">
        <f ca="1" t="shared" si="0"/>
        <v>0</v>
      </c>
      <c r="K40" s="37"/>
      <c r="L40" s="37">
        <f>4*3600</f>
        <v>14400</v>
      </c>
      <c r="M40" s="37"/>
      <c r="N40" s="37">
        <f ca="1" t="shared" si="1"/>
        <v>14400</v>
      </c>
      <c r="O40" s="37">
        <f ca="1" t="shared" si="2"/>
        <v>4</v>
      </c>
      <c r="P40" s="37"/>
      <c r="Q40" s="5" t="s">
        <v>175</v>
      </c>
    </row>
    <row r="41" s="30" customFormat="1" ht="20" customHeight="1" spans="1:17">
      <c r="A41" s="36">
        <v>46100</v>
      </c>
      <c r="B41" s="37">
        <v>11</v>
      </c>
      <c r="C41" s="38">
        <f ca="1">O41/B41</f>
        <v>0.936363636363636</v>
      </c>
      <c r="D41" s="5" t="s">
        <v>142</v>
      </c>
      <c r="E41" s="5" t="s">
        <v>143</v>
      </c>
      <c r="F41" s="37">
        <v>2400</v>
      </c>
      <c r="G41" s="5" t="s">
        <v>22</v>
      </c>
      <c r="H41" s="37">
        <f ca="1" t="array" ref="H41">INDEX(成本核算表!J:J,MATCH(1,(成本核算表!D:D=E41)*(成本核算表!C:C=G41),0))</f>
        <v>240</v>
      </c>
      <c r="I41" s="37">
        <v>138</v>
      </c>
      <c r="J41" s="37">
        <f ca="1" t="shared" si="0"/>
        <v>33120</v>
      </c>
      <c r="K41" s="37">
        <v>6</v>
      </c>
      <c r="L41" s="37">
        <f>1.5*3600</f>
        <v>5400</v>
      </c>
      <c r="M41" s="37">
        <f ca="1">K41*H41</f>
        <v>1440</v>
      </c>
      <c r="N41" s="37">
        <f ca="1" t="shared" si="1"/>
        <v>37080</v>
      </c>
      <c r="O41" s="37">
        <f ca="1" t="shared" si="2"/>
        <v>10.3</v>
      </c>
      <c r="P41" s="37"/>
      <c r="Q41" s="37"/>
    </row>
    <row r="42" s="30" customFormat="1" ht="20" customHeight="1" spans="1:17">
      <c r="A42" s="36">
        <v>46101</v>
      </c>
      <c r="B42" s="32">
        <v>11</v>
      </c>
      <c r="C42" s="38">
        <f ca="1">O42/B42</f>
        <v>1.13030303030303</v>
      </c>
      <c r="D42" s="5" t="s">
        <v>142</v>
      </c>
      <c r="E42" s="5" t="s">
        <v>143</v>
      </c>
      <c r="F42" s="37">
        <v>2400</v>
      </c>
      <c r="G42" s="5" t="s">
        <v>22</v>
      </c>
      <c r="H42" s="37">
        <f ca="1" t="array" ref="H42">INDEX(成本核算表!J:J,MATCH(1,(成本核算表!D:D=E42)*(成本核算表!C:C=G42),0))</f>
        <v>240</v>
      </c>
      <c r="I42" s="37">
        <v>164</v>
      </c>
      <c r="J42" s="37">
        <f ca="1" t="shared" si="0"/>
        <v>39360</v>
      </c>
      <c r="K42" s="32"/>
      <c r="L42" s="32">
        <v>5400</v>
      </c>
      <c r="N42" s="37">
        <f ca="1" t="shared" si="1"/>
        <v>44760</v>
      </c>
      <c r="O42" s="37">
        <f ca="1" t="shared" si="2"/>
        <v>12.4333333333333</v>
      </c>
    </row>
    <row r="43" s="30" customFormat="1" ht="20" customHeight="1" spans="1:17">
      <c r="A43" s="36"/>
      <c r="B43" s="32"/>
      <c r="C43" s="33"/>
      <c r="D43" s="32"/>
      <c r="E43" s="32"/>
      <c r="F43" s="32"/>
      <c r="G43" s="32"/>
      <c r="H43" s="37">
        <f ca="1" t="array" ref="H43">INDEX(成本核算表!J:J,MATCH(1,(成本核算表!D:D=E43)*(成本核算表!C:C=G43),0))</f>
        <v>0</v>
      </c>
      <c r="I43" s="37"/>
      <c r="J43" s="37">
        <f ca="1" t="shared" si="0"/>
        <v>0</v>
      </c>
      <c r="K43" s="32"/>
      <c r="L43" s="32"/>
      <c r="N43" s="37">
        <f ca="1" t="shared" si="1"/>
        <v>0</v>
      </c>
      <c r="O43" s="37">
        <f ca="1" t="shared" si="2"/>
        <v>0</v>
      </c>
    </row>
    <row r="44" s="30" customFormat="1" ht="20" customHeight="1" spans="1:17">
      <c r="A44" s="36"/>
      <c r="B44" s="32"/>
      <c r="C44" s="33"/>
      <c r="D44" s="32"/>
      <c r="E44" s="32"/>
      <c r="F44" s="32"/>
      <c r="G44" s="32"/>
      <c r="H44" s="37">
        <f ca="1" t="array" ref="H44">INDEX(成本核算表!J:J,MATCH(1,(成本核算表!D:D=E44)*(成本核算表!C:C=G44),0))</f>
        <v>0</v>
      </c>
      <c r="I44" s="37"/>
      <c r="J44" s="37">
        <f ca="1" t="shared" si="0"/>
        <v>0</v>
      </c>
      <c r="K44" s="32"/>
      <c r="L44" s="32"/>
      <c r="N44" s="37">
        <f ca="1" t="shared" si="1"/>
        <v>0</v>
      </c>
      <c r="O44" s="37">
        <f ca="1" t="shared" si="2"/>
        <v>0</v>
      </c>
    </row>
    <row r="45" s="30" customFormat="1" ht="20" customHeight="1" spans="1:17">
      <c r="A45" s="36"/>
      <c r="B45" s="32"/>
      <c r="C45" s="33"/>
      <c r="D45" s="32"/>
      <c r="E45" s="32"/>
      <c r="F45" s="32"/>
      <c r="G45" s="32"/>
      <c r="H45" s="37">
        <f ca="1" t="array" ref="H45">INDEX(成本核算表!J:J,MATCH(1,(成本核算表!D:D=E45)*(成本核算表!C:C=G45),0))</f>
        <v>0</v>
      </c>
      <c r="I45" s="37"/>
      <c r="J45" s="37">
        <f ca="1" t="shared" si="0"/>
        <v>0</v>
      </c>
      <c r="K45" s="32"/>
      <c r="L45" s="32"/>
      <c r="N45" s="37">
        <f ca="1" t="shared" si="1"/>
        <v>0</v>
      </c>
      <c r="O45" s="37">
        <f ca="1" t="shared" si="2"/>
        <v>0</v>
      </c>
    </row>
    <row r="46" s="30" customFormat="1" ht="20" customHeight="1" spans="1:17">
      <c r="A46" s="36"/>
      <c r="B46" s="32"/>
      <c r="C46" s="33"/>
      <c r="D46" s="32"/>
      <c r="E46" s="32"/>
      <c r="F46" s="32"/>
      <c r="G46" s="32"/>
      <c r="H46" s="37">
        <f ca="1" t="array" ref="H46">INDEX(成本核算表!J:J,MATCH(1,(成本核算表!D:D=E46)*(成本核算表!C:C=G46),0))</f>
        <v>0</v>
      </c>
      <c r="I46" s="37"/>
      <c r="J46" s="37">
        <f ca="1" t="shared" si="0"/>
        <v>0</v>
      </c>
      <c r="K46" s="32"/>
      <c r="L46" s="32"/>
      <c r="N46" s="37">
        <f ca="1" t="shared" si="1"/>
        <v>0</v>
      </c>
      <c r="O46" s="37">
        <f ca="1" t="shared" si="2"/>
        <v>0</v>
      </c>
    </row>
    <row r="47" s="30" customFormat="1" ht="20" customHeight="1" spans="1:17">
      <c r="A47" s="36"/>
      <c r="B47" s="32"/>
      <c r="C47" s="33"/>
      <c r="D47" s="32"/>
      <c r="E47" s="32"/>
      <c r="F47" s="32"/>
      <c r="G47" s="32"/>
      <c r="H47" s="37">
        <f ca="1" t="array" ref="H47">INDEX(成本核算表!J:J,MATCH(1,(成本核算表!D:D=E47)*(成本核算表!C:C=G47),0))</f>
        <v>0</v>
      </c>
      <c r="I47" s="37"/>
      <c r="J47" s="37">
        <f ca="1" t="shared" si="0"/>
        <v>0</v>
      </c>
      <c r="K47" s="32"/>
      <c r="L47" s="32"/>
      <c r="N47" s="37">
        <f ca="1" t="shared" si="1"/>
        <v>0</v>
      </c>
      <c r="O47" s="37">
        <f ca="1" t="shared" si="2"/>
        <v>0</v>
      </c>
    </row>
    <row r="48" s="30" customFormat="1" ht="20" customHeight="1" spans="1:17">
      <c r="A48" s="36"/>
      <c r="B48" s="32"/>
      <c r="C48" s="33"/>
      <c r="D48" s="32"/>
      <c r="E48" s="32"/>
      <c r="F48" s="32"/>
      <c r="G48" s="32"/>
      <c r="H48" s="37">
        <f ca="1" t="array" ref="H48">INDEX(成本核算表!J:J,MATCH(1,(成本核算表!D:D=E48)*(成本核算表!C:C=G48),0))</f>
        <v>0</v>
      </c>
      <c r="I48" s="37"/>
      <c r="J48" s="37">
        <f ca="1" t="shared" si="0"/>
        <v>0</v>
      </c>
      <c r="K48" s="32"/>
      <c r="L48" s="32"/>
      <c r="N48" s="37">
        <f ca="1" t="shared" si="1"/>
        <v>0</v>
      </c>
      <c r="O48" s="37">
        <f ca="1" t="shared" si="2"/>
        <v>0</v>
      </c>
    </row>
    <row r="49" s="30" customFormat="1" ht="20" customHeight="1" spans="1:15">
      <c r="A49" s="36"/>
      <c r="B49" s="32"/>
      <c r="C49" s="33"/>
      <c r="D49" s="32"/>
      <c r="E49" s="32"/>
      <c r="F49" s="32"/>
      <c r="G49" s="32"/>
      <c r="H49" s="37">
        <f ca="1" t="array" ref="H49">INDEX(成本核算表!J:J,MATCH(1,(成本核算表!D:D=E49)*(成本核算表!C:C=G49),0))</f>
        <v>0</v>
      </c>
      <c r="I49" s="37"/>
      <c r="J49" s="37">
        <f ca="1" t="shared" si="0"/>
        <v>0</v>
      </c>
      <c r="K49" s="32"/>
      <c r="L49" s="32"/>
      <c r="N49" s="37">
        <f ca="1" t="shared" si="1"/>
        <v>0</v>
      </c>
      <c r="O49" s="37">
        <f ca="1" t="shared" si="2"/>
        <v>0</v>
      </c>
    </row>
    <row r="50" s="30" customFormat="1" ht="20" customHeight="1" spans="1:15">
      <c r="A50" s="36"/>
      <c r="B50" s="32"/>
      <c r="C50" s="33"/>
      <c r="D50" s="32"/>
      <c r="E50" s="32"/>
      <c r="F50" s="32"/>
      <c r="G50" s="32"/>
      <c r="H50" s="37">
        <f ca="1" t="array" ref="H50">INDEX(成本核算表!J:J,MATCH(1,(成本核算表!D:D=E50)*(成本核算表!C:C=G50),0))</f>
        <v>0</v>
      </c>
      <c r="I50" s="37"/>
      <c r="J50" s="37">
        <f ca="1" t="shared" si="0"/>
        <v>0</v>
      </c>
      <c r="K50" s="32"/>
      <c r="L50" s="32"/>
      <c r="N50" s="37">
        <f ca="1" t="shared" si="1"/>
        <v>0</v>
      </c>
      <c r="O50" s="37">
        <f ca="1" t="shared" si="2"/>
        <v>0</v>
      </c>
    </row>
    <row r="51" s="30" customFormat="1" ht="20" customHeight="1" spans="1:15">
      <c r="A51" s="36"/>
      <c r="B51" s="32"/>
      <c r="C51" s="33"/>
      <c r="D51" s="32"/>
      <c r="E51" s="32"/>
      <c r="F51" s="32"/>
      <c r="G51" s="32"/>
      <c r="H51" s="37">
        <f ca="1" t="array" ref="H51">INDEX(成本核算表!J:J,MATCH(1,(成本核算表!D:D=E51)*(成本核算表!C:C=G51),0))</f>
        <v>0</v>
      </c>
      <c r="I51" s="37"/>
      <c r="J51" s="37">
        <f ca="1" t="shared" si="0"/>
        <v>0</v>
      </c>
      <c r="K51" s="32"/>
      <c r="L51" s="32"/>
      <c r="N51" s="37">
        <f ca="1" t="shared" si="1"/>
        <v>0</v>
      </c>
      <c r="O51" s="37">
        <f ca="1" t="shared" si="2"/>
        <v>0</v>
      </c>
    </row>
    <row r="52" s="30" customFormat="1" ht="20" customHeight="1" spans="1:15">
      <c r="A52" s="36"/>
      <c r="B52" s="32"/>
      <c r="C52" s="33"/>
      <c r="D52" s="32"/>
      <c r="E52" s="32"/>
      <c r="F52" s="32"/>
      <c r="G52" s="32"/>
      <c r="H52" s="37">
        <f ca="1" t="array" ref="H52">INDEX(成本核算表!J:J,MATCH(1,(成本核算表!D:D=E52)*(成本核算表!C:C=G52),0))</f>
        <v>0</v>
      </c>
      <c r="I52" s="37"/>
      <c r="J52" s="37">
        <f ca="1" t="shared" si="0"/>
        <v>0</v>
      </c>
      <c r="K52" s="32"/>
      <c r="L52" s="32"/>
      <c r="N52" s="37">
        <f ca="1" t="shared" si="1"/>
        <v>0</v>
      </c>
      <c r="O52" s="37">
        <f ca="1" t="shared" si="2"/>
        <v>0</v>
      </c>
    </row>
    <row r="53" s="30" customFormat="1" ht="20" customHeight="1" spans="1:15">
      <c r="A53" s="36"/>
      <c r="B53" s="32"/>
      <c r="C53" s="33"/>
      <c r="D53" s="32"/>
      <c r="E53" s="32"/>
      <c r="F53" s="32"/>
      <c r="G53" s="32"/>
      <c r="H53" s="37">
        <f ca="1" t="array" ref="H53">INDEX(成本核算表!J:J,MATCH(1,(成本核算表!D:D=E53)*(成本核算表!C:C=G53),0))</f>
        <v>0</v>
      </c>
      <c r="I53" s="37"/>
      <c r="J53" s="37">
        <f ca="1" t="shared" si="0"/>
        <v>0</v>
      </c>
      <c r="K53" s="32"/>
      <c r="L53" s="32"/>
      <c r="N53" s="37">
        <f ca="1" t="shared" si="1"/>
        <v>0</v>
      </c>
      <c r="O53" s="37">
        <f ca="1" t="shared" si="2"/>
        <v>0</v>
      </c>
    </row>
    <row r="54" s="30" customFormat="1" ht="20" customHeight="1" spans="1:15">
      <c r="A54" s="36"/>
      <c r="B54" s="32"/>
      <c r="C54" s="33"/>
      <c r="D54" s="32"/>
      <c r="E54" s="32"/>
      <c r="F54" s="32"/>
      <c r="G54" s="32"/>
      <c r="H54" s="37">
        <f ca="1" t="array" ref="H54">INDEX(成本核算表!J:J,MATCH(1,(成本核算表!D:D=E54)*(成本核算表!C:C=G54),0))</f>
        <v>0</v>
      </c>
      <c r="I54" s="37"/>
      <c r="J54" s="37">
        <f ca="1" t="shared" si="0"/>
        <v>0</v>
      </c>
      <c r="K54" s="32"/>
      <c r="L54" s="32"/>
      <c r="N54" s="37">
        <f ca="1" t="shared" si="1"/>
        <v>0</v>
      </c>
      <c r="O54" s="37">
        <f ca="1" t="shared" si="2"/>
        <v>0</v>
      </c>
    </row>
    <row r="55" s="30" customFormat="1" ht="20" customHeight="1" spans="1:15">
      <c r="A55" s="36"/>
      <c r="B55" s="32"/>
      <c r="C55" s="33"/>
      <c r="D55" s="32"/>
      <c r="E55" s="32"/>
      <c r="F55" s="32"/>
      <c r="G55" s="32"/>
      <c r="H55" s="37">
        <f ca="1" t="array" ref="H55">INDEX(成本核算表!J:J,MATCH(1,(成本核算表!D:D=E55)*(成本核算表!C:C=G55),0))</f>
        <v>0</v>
      </c>
      <c r="I55" s="37"/>
      <c r="J55" s="37">
        <f ca="1" t="shared" si="0"/>
        <v>0</v>
      </c>
      <c r="K55" s="32"/>
      <c r="L55" s="32"/>
      <c r="N55" s="37">
        <f ca="1" t="shared" si="1"/>
        <v>0</v>
      </c>
      <c r="O55" s="37">
        <f ca="1" t="shared" si="2"/>
        <v>0</v>
      </c>
    </row>
    <row r="56" s="30" customFormat="1" ht="20" customHeight="1" spans="1:15">
      <c r="A56" s="36"/>
      <c r="B56" s="32"/>
      <c r="C56" s="33"/>
      <c r="D56" s="32"/>
      <c r="E56" s="32"/>
      <c r="F56" s="32"/>
      <c r="G56" s="32"/>
      <c r="H56" s="37">
        <f ca="1" t="array" ref="H56">INDEX(成本核算表!J:J,MATCH(1,(成本核算表!D:D=E56)*(成本核算表!C:C=G56),0))</f>
        <v>0</v>
      </c>
      <c r="I56" s="37"/>
      <c r="J56" s="37">
        <f ca="1" t="shared" si="0"/>
        <v>0</v>
      </c>
      <c r="K56" s="32"/>
      <c r="L56" s="32"/>
      <c r="N56" s="37">
        <f ca="1" t="shared" si="1"/>
        <v>0</v>
      </c>
      <c r="O56" s="37">
        <f ca="1" t="shared" si="2"/>
        <v>0</v>
      </c>
    </row>
    <row r="57" s="30" customFormat="1" ht="20" customHeight="1" spans="1:15">
      <c r="A57" s="36"/>
      <c r="B57" s="32"/>
      <c r="C57" s="33"/>
      <c r="D57" s="32"/>
      <c r="E57" s="32"/>
      <c r="F57" s="32"/>
      <c r="G57" s="32"/>
      <c r="H57" s="37">
        <f ca="1" t="array" ref="H57">INDEX(成本核算表!J:J,MATCH(1,(成本核算表!D:D=E57)*(成本核算表!C:C=G57),0))</f>
        <v>0</v>
      </c>
      <c r="I57" s="37"/>
      <c r="J57" s="37">
        <f ca="1" t="shared" si="0"/>
        <v>0</v>
      </c>
      <c r="K57" s="32"/>
      <c r="L57" s="32"/>
      <c r="N57" s="37">
        <f ca="1" t="shared" si="1"/>
        <v>0</v>
      </c>
      <c r="O57" s="37">
        <f ca="1" t="shared" si="2"/>
        <v>0</v>
      </c>
    </row>
    <row r="58" s="30" customFormat="1" ht="20" customHeight="1" spans="1:15">
      <c r="A58" s="36"/>
      <c r="B58" s="32"/>
      <c r="C58" s="33"/>
      <c r="D58" s="32"/>
      <c r="E58" s="32"/>
      <c r="F58" s="32"/>
      <c r="G58" s="32"/>
      <c r="H58" s="37">
        <f ca="1" t="array" ref="H58">INDEX(成本核算表!J:J,MATCH(1,(成本核算表!D:D=E58)*(成本核算表!C:C=G58),0))</f>
        <v>0</v>
      </c>
      <c r="I58" s="37"/>
      <c r="J58" s="37">
        <f ca="1" t="shared" si="0"/>
        <v>0</v>
      </c>
      <c r="K58" s="32"/>
      <c r="L58" s="32"/>
      <c r="N58" s="37">
        <f ca="1" t="shared" si="1"/>
        <v>0</v>
      </c>
      <c r="O58" s="37">
        <f ca="1" t="shared" si="2"/>
        <v>0</v>
      </c>
    </row>
    <row r="59" s="30" customFormat="1" ht="20" customHeight="1" spans="1:15">
      <c r="A59" s="36"/>
      <c r="B59" s="32"/>
      <c r="C59" s="33"/>
      <c r="D59" s="32"/>
      <c r="E59" s="32"/>
      <c r="F59" s="32"/>
      <c r="G59" s="32"/>
      <c r="H59" s="37">
        <f ca="1" t="array" ref="H59">INDEX(成本核算表!J:J,MATCH(1,(成本核算表!D:D=E59)*(成本核算表!C:C=G59),0))</f>
        <v>0</v>
      </c>
      <c r="I59" s="37"/>
      <c r="J59" s="37">
        <f ca="1" t="shared" si="0"/>
        <v>0</v>
      </c>
      <c r="K59" s="32"/>
      <c r="L59" s="32"/>
      <c r="N59" s="37">
        <f ca="1" t="shared" si="1"/>
        <v>0</v>
      </c>
      <c r="O59" s="37">
        <f ca="1" t="shared" si="2"/>
        <v>0</v>
      </c>
    </row>
    <row r="60" s="30" customFormat="1" ht="20" customHeight="1" spans="1:15">
      <c r="A60" s="36"/>
      <c r="B60" s="32"/>
      <c r="C60" s="33"/>
      <c r="D60" s="32"/>
      <c r="E60" s="32"/>
      <c r="F60" s="32"/>
      <c r="G60" s="32"/>
      <c r="H60" s="37">
        <f ca="1" t="array" ref="H60">INDEX(成本核算表!J:J,MATCH(1,(成本核算表!D:D=E60)*(成本核算表!C:C=G60),0))</f>
        <v>0</v>
      </c>
      <c r="I60" s="37"/>
      <c r="J60" s="37">
        <f ca="1" t="shared" si="0"/>
        <v>0</v>
      </c>
      <c r="K60" s="32"/>
      <c r="L60" s="32"/>
      <c r="N60" s="37">
        <f ca="1" t="shared" si="1"/>
        <v>0</v>
      </c>
      <c r="O60" s="37">
        <f ca="1" t="shared" si="2"/>
        <v>0</v>
      </c>
    </row>
    <row r="61" s="30" customFormat="1" ht="20" customHeight="1" spans="1:15">
      <c r="A61" s="36"/>
      <c r="B61" s="32"/>
      <c r="C61" s="33"/>
      <c r="D61" s="32"/>
      <c r="E61" s="32"/>
      <c r="F61" s="32"/>
      <c r="G61" s="32"/>
      <c r="H61" s="37">
        <f ca="1" t="array" ref="H61">INDEX(成本核算表!J:J,MATCH(1,(成本核算表!D:D=E61)*(成本核算表!C:C=G61),0))</f>
        <v>0</v>
      </c>
      <c r="I61" s="37"/>
      <c r="J61" s="37">
        <f ca="1" t="shared" si="0"/>
        <v>0</v>
      </c>
      <c r="K61" s="32"/>
      <c r="L61" s="32"/>
      <c r="N61" s="37">
        <f ca="1" t="shared" si="1"/>
        <v>0</v>
      </c>
      <c r="O61" s="37">
        <f ca="1" t="shared" si="2"/>
        <v>0</v>
      </c>
    </row>
    <row r="62" s="30" customFormat="1" ht="20" customHeight="1" spans="1:15">
      <c r="A62" s="36"/>
      <c r="B62" s="32"/>
      <c r="C62" s="33"/>
      <c r="D62" s="32"/>
      <c r="E62" s="32"/>
      <c r="F62" s="32"/>
      <c r="G62" s="32"/>
      <c r="H62" s="37">
        <f ca="1" t="array" ref="H62">INDEX(成本核算表!J:J,MATCH(1,(成本核算表!D:D=E62)*(成本核算表!C:C=G62),0))</f>
        <v>0</v>
      </c>
      <c r="I62" s="37"/>
      <c r="J62" s="37">
        <f ca="1" t="shared" si="0"/>
        <v>0</v>
      </c>
      <c r="K62" s="32"/>
      <c r="L62" s="32"/>
      <c r="N62" s="37">
        <f ca="1" t="shared" si="1"/>
        <v>0</v>
      </c>
      <c r="O62" s="37">
        <f ca="1" t="shared" si="2"/>
        <v>0</v>
      </c>
    </row>
    <row r="63" s="30" customFormat="1" ht="20" customHeight="1" spans="1:15">
      <c r="A63" s="36"/>
      <c r="B63" s="32"/>
      <c r="C63" s="33"/>
      <c r="D63" s="32"/>
      <c r="E63" s="32"/>
      <c r="F63" s="32"/>
      <c r="G63" s="32"/>
      <c r="H63" s="37">
        <f ca="1" t="array" ref="H63">INDEX(成本核算表!J:J,MATCH(1,(成本核算表!D:D=E63)*(成本核算表!C:C=G63),0))</f>
        <v>0</v>
      </c>
      <c r="I63" s="37"/>
      <c r="J63" s="37">
        <f ca="1" t="shared" si="0"/>
        <v>0</v>
      </c>
      <c r="K63" s="32"/>
      <c r="L63" s="32"/>
      <c r="N63" s="37">
        <f ca="1" t="shared" si="1"/>
        <v>0</v>
      </c>
      <c r="O63" s="37">
        <f ca="1" t="shared" si="2"/>
        <v>0</v>
      </c>
    </row>
    <row r="64" s="30" customFormat="1" ht="20" customHeight="1" spans="1:15">
      <c r="A64" s="36"/>
      <c r="B64" s="32"/>
      <c r="C64" s="33"/>
      <c r="D64" s="32"/>
      <c r="E64" s="32"/>
      <c r="F64" s="32"/>
      <c r="G64" s="32"/>
      <c r="H64" s="37">
        <f ca="1" t="array" ref="H64">INDEX(成本核算表!J:J,MATCH(1,(成本核算表!D:D=E64)*(成本核算表!C:C=G64),0))</f>
        <v>0</v>
      </c>
      <c r="I64" s="37"/>
      <c r="J64" s="37">
        <f ca="1" t="shared" si="0"/>
        <v>0</v>
      </c>
      <c r="K64" s="32"/>
      <c r="L64" s="32"/>
      <c r="N64" s="37">
        <f ca="1" t="shared" si="1"/>
        <v>0</v>
      </c>
      <c r="O64" s="37">
        <f ca="1" t="shared" si="2"/>
        <v>0</v>
      </c>
    </row>
    <row r="65" s="30" customFormat="1" ht="20" customHeight="1" spans="1:15">
      <c r="A65" s="31"/>
      <c r="B65" s="32"/>
      <c r="C65" s="33"/>
      <c r="D65" s="32"/>
      <c r="E65" s="32"/>
      <c r="F65" s="32"/>
      <c r="G65" s="32"/>
      <c r="H65" s="37">
        <f ca="1" t="array" ref="H65">INDEX(成本核算表!J:J,MATCH(1,(成本核算表!D:D=E65)*(成本核算表!C:C=G65),0))</f>
        <v>0</v>
      </c>
      <c r="I65" s="37"/>
      <c r="J65" s="37">
        <f ca="1" t="shared" si="0"/>
        <v>0</v>
      </c>
      <c r="K65" s="32"/>
      <c r="L65" s="32"/>
      <c r="N65" s="37">
        <f ca="1" t="shared" si="1"/>
        <v>0</v>
      </c>
      <c r="O65" s="37">
        <f ca="1" t="shared" si="2"/>
        <v>0</v>
      </c>
    </row>
    <row r="66" s="30" customFormat="1" ht="20" customHeight="1" spans="1:15">
      <c r="A66" s="31"/>
      <c r="B66" s="32"/>
      <c r="C66" s="33"/>
      <c r="D66" s="32"/>
      <c r="E66" s="32"/>
      <c r="F66" s="32"/>
      <c r="G66" s="32"/>
      <c r="H66" s="37">
        <f ca="1" t="array" ref="H66">INDEX(成本核算表!J:J,MATCH(1,(成本核算表!D:D=E66)*(成本核算表!C:C=G66),0))</f>
        <v>0</v>
      </c>
      <c r="I66" s="37"/>
      <c r="J66" s="37">
        <f ca="1" t="shared" ref="J66:J101" si="3">H66*I66</f>
        <v>0</v>
      </c>
      <c r="K66" s="32"/>
      <c r="L66" s="32"/>
      <c r="N66" s="37">
        <f ca="1" t="shared" ref="N66:N101" si="4">J66-M66+L66</f>
        <v>0</v>
      </c>
      <c r="O66" s="37">
        <f ca="1" t="shared" ref="O66:O101" si="5">N66/3600</f>
        <v>0</v>
      </c>
    </row>
    <row r="67" s="30" customFormat="1" ht="20" customHeight="1" spans="1:15">
      <c r="A67" s="31"/>
      <c r="B67" s="32"/>
      <c r="C67" s="33"/>
      <c r="D67" s="32"/>
      <c r="E67" s="32"/>
      <c r="F67" s="32"/>
      <c r="G67" s="32"/>
      <c r="H67" s="37">
        <f ca="1" t="array" ref="H67">INDEX(成本核算表!J:J,MATCH(1,(成本核算表!D:D=E67)*(成本核算表!C:C=G67),0))</f>
        <v>0</v>
      </c>
      <c r="I67" s="37"/>
      <c r="J67" s="37">
        <f ca="1" t="shared" si="3"/>
        <v>0</v>
      </c>
      <c r="K67" s="32"/>
      <c r="L67" s="32"/>
      <c r="N67" s="37">
        <f ca="1" t="shared" si="4"/>
        <v>0</v>
      </c>
      <c r="O67" s="37">
        <f ca="1" t="shared" si="5"/>
        <v>0</v>
      </c>
    </row>
    <row r="68" s="30" customFormat="1" ht="20" customHeight="1" spans="1:15">
      <c r="A68" s="31"/>
      <c r="B68" s="32"/>
      <c r="C68" s="33"/>
      <c r="D68" s="32"/>
      <c r="E68" s="32"/>
      <c r="F68" s="32"/>
      <c r="G68" s="32"/>
      <c r="H68" s="37">
        <f ca="1" t="array" ref="H68">INDEX(成本核算表!J:J,MATCH(1,(成本核算表!D:D=E68)*(成本核算表!C:C=G68),0))</f>
        <v>0</v>
      </c>
      <c r="I68" s="37"/>
      <c r="J68" s="37">
        <f ca="1" t="shared" si="3"/>
        <v>0</v>
      </c>
      <c r="K68" s="32"/>
      <c r="L68" s="32"/>
      <c r="N68" s="37">
        <f ca="1" t="shared" si="4"/>
        <v>0</v>
      </c>
      <c r="O68" s="37">
        <f ca="1" t="shared" si="5"/>
        <v>0</v>
      </c>
    </row>
    <row r="69" s="30" customFormat="1" ht="20" customHeight="1" spans="1:15">
      <c r="A69" s="31"/>
      <c r="B69" s="32"/>
      <c r="C69" s="33"/>
      <c r="D69" s="32"/>
      <c r="E69" s="32"/>
      <c r="F69" s="32"/>
      <c r="G69" s="32"/>
      <c r="H69" s="37">
        <f ca="1" t="array" ref="H69">INDEX(成本核算表!J:J,MATCH(1,(成本核算表!D:D=E69)*(成本核算表!C:C=G69),0))</f>
        <v>0</v>
      </c>
      <c r="I69" s="37"/>
      <c r="J69" s="37">
        <f ca="1" t="shared" si="3"/>
        <v>0</v>
      </c>
      <c r="K69" s="32"/>
      <c r="L69" s="32"/>
      <c r="N69" s="37">
        <f ca="1" t="shared" si="4"/>
        <v>0</v>
      </c>
      <c r="O69" s="37">
        <f ca="1" t="shared" si="5"/>
        <v>0</v>
      </c>
    </row>
    <row r="70" s="30" customFormat="1" ht="20" customHeight="1" spans="1:15">
      <c r="A70" s="31"/>
      <c r="B70" s="32"/>
      <c r="C70" s="33"/>
      <c r="D70" s="32"/>
      <c r="E70" s="32"/>
      <c r="F70" s="32"/>
      <c r="G70" s="32"/>
      <c r="H70" s="37">
        <f ca="1" t="array" ref="H70">INDEX(成本核算表!J:J,MATCH(1,(成本核算表!D:D=E70)*(成本核算表!C:C=G70),0))</f>
        <v>0</v>
      </c>
      <c r="I70" s="37"/>
      <c r="J70" s="37">
        <f ca="1" t="shared" si="3"/>
        <v>0</v>
      </c>
      <c r="K70" s="32"/>
      <c r="L70" s="32"/>
      <c r="N70" s="37">
        <f ca="1" t="shared" si="4"/>
        <v>0</v>
      </c>
      <c r="O70" s="37">
        <f ca="1" t="shared" si="5"/>
        <v>0</v>
      </c>
    </row>
    <row r="71" s="30" customFormat="1" ht="20" customHeight="1" spans="1:15">
      <c r="A71" s="31"/>
      <c r="B71" s="32"/>
      <c r="C71" s="33"/>
      <c r="D71" s="32"/>
      <c r="E71" s="32"/>
      <c r="F71" s="32"/>
      <c r="G71" s="32"/>
      <c r="H71" s="37">
        <f ca="1" t="array" ref="H71">INDEX(成本核算表!J:J,MATCH(1,(成本核算表!D:D=E71)*(成本核算表!C:C=G71),0))</f>
        <v>0</v>
      </c>
      <c r="I71" s="37"/>
      <c r="J71" s="37">
        <f ca="1" t="shared" si="3"/>
        <v>0</v>
      </c>
      <c r="K71" s="32"/>
      <c r="L71" s="32"/>
      <c r="N71" s="37">
        <f ca="1" t="shared" si="4"/>
        <v>0</v>
      </c>
      <c r="O71" s="37">
        <f ca="1" t="shared" si="5"/>
        <v>0</v>
      </c>
    </row>
    <row r="72" s="30" customFormat="1" ht="20" customHeight="1" spans="1:15">
      <c r="A72" s="31"/>
      <c r="B72" s="32"/>
      <c r="C72" s="33"/>
      <c r="D72" s="32"/>
      <c r="E72" s="32"/>
      <c r="F72" s="32"/>
      <c r="G72" s="32"/>
      <c r="H72" s="37">
        <f ca="1" t="array" ref="H72">INDEX(成本核算表!J:J,MATCH(1,(成本核算表!D:D=E72)*(成本核算表!C:C=G72),0))</f>
        <v>0</v>
      </c>
      <c r="I72" s="37"/>
      <c r="J72" s="37">
        <f ca="1" t="shared" si="3"/>
        <v>0</v>
      </c>
      <c r="K72" s="32"/>
      <c r="L72" s="32"/>
      <c r="N72" s="37">
        <f ca="1" t="shared" si="4"/>
        <v>0</v>
      </c>
      <c r="O72" s="37">
        <f ca="1" t="shared" si="5"/>
        <v>0</v>
      </c>
    </row>
    <row r="73" s="30" customFormat="1" ht="20" customHeight="1" spans="1:15">
      <c r="A73" s="31"/>
      <c r="B73" s="32"/>
      <c r="C73" s="33"/>
      <c r="D73" s="32"/>
      <c r="E73" s="32"/>
      <c r="F73" s="32"/>
      <c r="G73" s="32"/>
      <c r="H73" s="37">
        <f ca="1" t="array" ref="H73">INDEX(成本核算表!J:J,MATCH(1,(成本核算表!D:D=E73)*(成本核算表!C:C=G73),0))</f>
        <v>0</v>
      </c>
      <c r="I73" s="37"/>
      <c r="J73" s="37">
        <f ca="1" t="shared" si="3"/>
        <v>0</v>
      </c>
      <c r="K73" s="32"/>
      <c r="L73" s="32"/>
      <c r="N73" s="37">
        <f ca="1" t="shared" si="4"/>
        <v>0</v>
      </c>
      <c r="O73" s="37">
        <f ca="1" t="shared" si="5"/>
        <v>0</v>
      </c>
    </row>
    <row r="74" s="30" customFormat="1" ht="20" customHeight="1" spans="1:15">
      <c r="A74" s="31"/>
      <c r="B74" s="32"/>
      <c r="C74" s="33"/>
      <c r="D74" s="32"/>
      <c r="E74" s="32"/>
      <c r="F74" s="32"/>
      <c r="G74" s="32"/>
      <c r="H74" s="37">
        <f ca="1" t="array" ref="H74">INDEX(成本核算表!J:J,MATCH(1,(成本核算表!D:D=E74)*(成本核算表!C:C=G74),0))</f>
        <v>0</v>
      </c>
      <c r="I74" s="37"/>
      <c r="J74" s="37">
        <f ca="1" t="shared" si="3"/>
        <v>0</v>
      </c>
      <c r="K74" s="32"/>
      <c r="L74" s="32"/>
      <c r="N74" s="37">
        <f ca="1" t="shared" si="4"/>
        <v>0</v>
      </c>
      <c r="O74" s="37">
        <f ca="1" t="shared" si="5"/>
        <v>0</v>
      </c>
    </row>
    <row r="75" s="30" customFormat="1" ht="20" customHeight="1" spans="1:15">
      <c r="A75" s="31"/>
      <c r="B75" s="32"/>
      <c r="C75" s="33"/>
      <c r="D75" s="32"/>
      <c r="E75" s="32"/>
      <c r="F75" s="32"/>
      <c r="G75" s="32"/>
      <c r="H75" s="37">
        <f ca="1" t="array" ref="H75">INDEX(成本核算表!J:J,MATCH(1,(成本核算表!D:D=E75)*(成本核算表!C:C=G75),0))</f>
        <v>0</v>
      </c>
      <c r="I75" s="37"/>
      <c r="J75" s="37">
        <f ca="1" t="shared" si="3"/>
        <v>0</v>
      </c>
      <c r="K75" s="32"/>
      <c r="L75" s="32"/>
      <c r="N75" s="37">
        <f ca="1" t="shared" si="4"/>
        <v>0</v>
      </c>
      <c r="O75" s="37">
        <f ca="1" t="shared" si="5"/>
        <v>0</v>
      </c>
    </row>
    <row r="76" s="30" customFormat="1" ht="20" customHeight="1" spans="1:15">
      <c r="A76" s="31"/>
      <c r="B76" s="32"/>
      <c r="C76" s="33"/>
      <c r="D76" s="32"/>
      <c r="E76" s="32"/>
      <c r="F76" s="32"/>
      <c r="G76" s="32"/>
      <c r="H76" s="37">
        <f ca="1" t="array" ref="H76">INDEX(成本核算表!J:J,MATCH(1,(成本核算表!D:D=E76)*(成本核算表!C:C=G76),0))</f>
        <v>0</v>
      </c>
      <c r="I76" s="37"/>
      <c r="J76" s="37">
        <f ca="1" t="shared" si="3"/>
        <v>0</v>
      </c>
      <c r="K76" s="32"/>
      <c r="L76" s="32"/>
      <c r="N76" s="37">
        <f ca="1" t="shared" si="4"/>
        <v>0</v>
      </c>
      <c r="O76" s="37">
        <f ca="1" t="shared" si="5"/>
        <v>0</v>
      </c>
    </row>
    <row r="77" s="30" customFormat="1" ht="20" customHeight="1" spans="1:15">
      <c r="A77" s="31"/>
      <c r="B77" s="32"/>
      <c r="C77" s="33"/>
      <c r="D77" s="32"/>
      <c r="E77" s="32"/>
      <c r="F77" s="32"/>
      <c r="G77" s="32"/>
      <c r="H77" s="37">
        <f ca="1" t="array" ref="H77">INDEX(成本核算表!J:J,MATCH(1,(成本核算表!D:D=E77)*(成本核算表!C:C=G77),0))</f>
        <v>0</v>
      </c>
      <c r="I77" s="37"/>
      <c r="J77" s="37">
        <f ca="1" t="shared" si="3"/>
        <v>0</v>
      </c>
      <c r="K77" s="32"/>
      <c r="L77" s="32"/>
      <c r="N77" s="37">
        <f ca="1" t="shared" si="4"/>
        <v>0</v>
      </c>
      <c r="O77" s="37">
        <f ca="1" t="shared" si="5"/>
        <v>0</v>
      </c>
    </row>
    <row r="78" s="30" customFormat="1" ht="20" customHeight="1" spans="1:15">
      <c r="A78" s="31"/>
      <c r="B78" s="32"/>
      <c r="C78" s="33"/>
      <c r="D78" s="32"/>
      <c r="E78" s="32"/>
      <c r="F78" s="32"/>
      <c r="G78" s="32"/>
      <c r="H78" s="37">
        <f ca="1" t="array" ref="H78">INDEX(成本核算表!J:J,MATCH(1,(成本核算表!D:D=E78)*(成本核算表!C:C=G78),0))</f>
        <v>0</v>
      </c>
      <c r="I78" s="37"/>
      <c r="J78" s="37">
        <f ca="1" t="shared" si="3"/>
        <v>0</v>
      </c>
      <c r="K78" s="32"/>
      <c r="L78" s="32"/>
      <c r="N78" s="37">
        <f ca="1" t="shared" si="4"/>
        <v>0</v>
      </c>
      <c r="O78" s="37">
        <f ca="1" t="shared" si="5"/>
        <v>0</v>
      </c>
    </row>
    <row r="79" s="30" customFormat="1" ht="20" customHeight="1" spans="1:15">
      <c r="A79" s="31"/>
      <c r="B79" s="32"/>
      <c r="C79" s="33"/>
      <c r="D79" s="32"/>
      <c r="E79" s="32"/>
      <c r="F79" s="32"/>
      <c r="G79" s="32"/>
      <c r="H79" s="37">
        <f ca="1" t="array" ref="H79">INDEX(成本核算表!J:J,MATCH(1,(成本核算表!D:D=E79)*(成本核算表!C:C=G79),0))</f>
        <v>0</v>
      </c>
      <c r="I79" s="37"/>
      <c r="J79" s="37">
        <f ca="1" t="shared" si="3"/>
        <v>0</v>
      </c>
      <c r="K79" s="32"/>
      <c r="L79" s="32"/>
      <c r="N79" s="37">
        <f ca="1" t="shared" si="4"/>
        <v>0</v>
      </c>
      <c r="O79" s="37">
        <f ca="1" t="shared" si="5"/>
        <v>0</v>
      </c>
    </row>
    <row r="80" s="30" customFormat="1" ht="20" customHeight="1" spans="1:15">
      <c r="A80" s="31"/>
      <c r="B80" s="32"/>
      <c r="C80" s="33"/>
      <c r="D80" s="32"/>
      <c r="E80" s="32"/>
      <c r="F80" s="32"/>
      <c r="G80" s="32"/>
      <c r="H80" s="37">
        <f ca="1" t="array" ref="H80">INDEX(成本核算表!J:J,MATCH(1,(成本核算表!D:D=E80)*(成本核算表!C:C=G80),0))</f>
        <v>0</v>
      </c>
      <c r="I80" s="37"/>
      <c r="J80" s="37">
        <f ca="1" t="shared" si="3"/>
        <v>0</v>
      </c>
      <c r="K80" s="32"/>
      <c r="L80" s="32"/>
      <c r="N80" s="37">
        <f ca="1" t="shared" si="4"/>
        <v>0</v>
      </c>
      <c r="O80" s="37">
        <f ca="1" t="shared" si="5"/>
        <v>0</v>
      </c>
    </row>
    <row r="81" s="30" customFormat="1" ht="20" customHeight="1" spans="1:15">
      <c r="A81" s="31"/>
      <c r="B81" s="32"/>
      <c r="C81" s="33"/>
      <c r="D81" s="32"/>
      <c r="E81" s="32"/>
      <c r="F81" s="32"/>
      <c r="G81" s="32"/>
      <c r="H81" s="37">
        <f ca="1" t="array" ref="H81">INDEX(成本核算表!J:J,MATCH(1,(成本核算表!D:D=E81)*(成本核算表!C:C=G81),0))</f>
        <v>0</v>
      </c>
      <c r="I81" s="37"/>
      <c r="J81" s="37">
        <f ca="1" t="shared" si="3"/>
        <v>0</v>
      </c>
      <c r="K81" s="32"/>
      <c r="L81" s="32"/>
      <c r="N81" s="37">
        <f ca="1" t="shared" si="4"/>
        <v>0</v>
      </c>
      <c r="O81" s="37">
        <f ca="1" t="shared" si="5"/>
        <v>0</v>
      </c>
    </row>
    <row r="82" s="30" customFormat="1" ht="20" customHeight="1" spans="1:15">
      <c r="A82" s="31"/>
      <c r="B82" s="32"/>
      <c r="C82" s="33"/>
      <c r="D82" s="32"/>
      <c r="E82" s="32"/>
      <c r="F82" s="32"/>
      <c r="G82" s="32"/>
      <c r="H82" s="37">
        <f ca="1" t="array" ref="H82">INDEX(成本核算表!J:J,MATCH(1,(成本核算表!D:D=E82)*(成本核算表!C:C=G82),0))</f>
        <v>0</v>
      </c>
      <c r="I82" s="37"/>
      <c r="J82" s="37">
        <f ca="1" t="shared" si="3"/>
        <v>0</v>
      </c>
      <c r="K82" s="32"/>
      <c r="L82" s="32"/>
      <c r="N82" s="37">
        <f ca="1" t="shared" si="4"/>
        <v>0</v>
      </c>
      <c r="O82" s="37">
        <f ca="1" t="shared" si="5"/>
        <v>0</v>
      </c>
    </row>
    <row r="83" s="30" customFormat="1" ht="20" customHeight="1" spans="1:15">
      <c r="A83" s="31"/>
      <c r="B83" s="32"/>
      <c r="C83" s="33"/>
      <c r="D83" s="32"/>
      <c r="E83" s="32"/>
      <c r="F83" s="32"/>
      <c r="G83" s="32"/>
      <c r="H83" s="37">
        <f ca="1" t="array" ref="H83">INDEX(成本核算表!J:J,MATCH(1,(成本核算表!D:D=E83)*(成本核算表!C:C=G83),0))</f>
        <v>0</v>
      </c>
      <c r="I83" s="37"/>
      <c r="J83" s="37">
        <f ca="1" t="shared" si="3"/>
        <v>0</v>
      </c>
      <c r="K83" s="32"/>
      <c r="L83" s="32"/>
      <c r="N83" s="37">
        <f ca="1" t="shared" si="4"/>
        <v>0</v>
      </c>
      <c r="O83" s="37">
        <f ca="1" t="shared" si="5"/>
        <v>0</v>
      </c>
    </row>
    <row r="84" s="30" customFormat="1" ht="20" customHeight="1" spans="1:15">
      <c r="A84" s="31"/>
      <c r="B84" s="32"/>
      <c r="C84" s="33"/>
      <c r="D84" s="32"/>
      <c r="E84" s="32"/>
      <c r="F84" s="32"/>
      <c r="G84" s="32"/>
      <c r="H84" s="37">
        <f ca="1" t="array" ref="H84">INDEX(成本核算表!J:J,MATCH(1,(成本核算表!D:D=E84)*(成本核算表!C:C=G84),0))</f>
        <v>0</v>
      </c>
      <c r="I84" s="37"/>
      <c r="J84" s="37">
        <f ca="1" t="shared" si="3"/>
        <v>0</v>
      </c>
      <c r="K84" s="32"/>
      <c r="L84" s="32"/>
      <c r="N84" s="37">
        <f ca="1" t="shared" si="4"/>
        <v>0</v>
      </c>
      <c r="O84" s="37">
        <f ca="1" t="shared" si="5"/>
        <v>0</v>
      </c>
    </row>
    <row r="85" s="30" customFormat="1" ht="20" customHeight="1" spans="1:15">
      <c r="A85" s="31"/>
      <c r="B85" s="32"/>
      <c r="C85" s="33"/>
      <c r="D85" s="32"/>
      <c r="E85" s="32"/>
      <c r="F85" s="32"/>
      <c r="G85" s="32"/>
      <c r="H85" s="37">
        <f ca="1" t="array" ref="H85">INDEX(成本核算表!J:J,MATCH(1,(成本核算表!D:D=E85)*(成本核算表!C:C=G85),0))</f>
        <v>0</v>
      </c>
      <c r="I85" s="37"/>
      <c r="J85" s="37">
        <f ca="1" t="shared" si="3"/>
        <v>0</v>
      </c>
      <c r="K85" s="32"/>
      <c r="L85" s="32"/>
      <c r="N85" s="37">
        <f ca="1" t="shared" si="4"/>
        <v>0</v>
      </c>
      <c r="O85" s="37">
        <f ca="1" t="shared" si="5"/>
        <v>0</v>
      </c>
    </row>
    <row r="86" s="30" customFormat="1" ht="20" customHeight="1" spans="1:15">
      <c r="A86" s="31"/>
      <c r="B86" s="32"/>
      <c r="C86" s="33"/>
      <c r="D86" s="32"/>
      <c r="E86" s="32"/>
      <c r="F86" s="32"/>
      <c r="G86" s="32"/>
      <c r="H86" s="37">
        <f ca="1" t="array" ref="H86">INDEX(成本核算表!J:J,MATCH(1,(成本核算表!D:D=E86)*(成本核算表!C:C=G86),0))</f>
        <v>0</v>
      </c>
      <c r="I86" s="37"/>
      <c r="J86" s="37">
        <f ca="1" t="shared" si="3"/>
        <v>0</v>
      </c>
      <c r="K86" s="32"/>
      <c r="L86" s="32"/>
      <c r="N86" s="37">
        <f ca="1" t="shared" si="4"/>
        <v>0</v>
      </c>
      <c r="O86" s="37">
        <f ca="1" t="shared" si="5"/>
        <v>0</v>
      </c>
    </row>
    <row r="87" s="30" customFormat="1" ht="20" customHeight="1" spans="1:15">
      <c r="A87" s="31"/>
      <c r="B87" s="32"/>
      <c r="C87" s="33"/>
      <c r="D87" s="32"/>
      <c r="E87" s="32"/>
      <c r="F87" s="32"/>
      <c r="G87" s="32"/>
      <c r="H87" s="37">
        <f ca="1" t="array" ref="H87">INDEX(成本核算表!J:J,MATCH(1,(成本核算表!D:D=E87)*(成本核算表!C:C=G87),0))</f>
        <v>0</v>
      </c>
      <c r="I87" s="37"/>
      <c r="J87" s="37">
        <f ca="1" t="shared" si="3"/>
        <v>0</v>
      </c>
      <c r="K87" s="32"/>
      <c r="L87" s="32"/>
      <c r="N87" s="37">
        <f ca="1" t="shared" si="4"/>
        <v>0</v>
      </c>
      <c r="O87" s="37">
        <f ca="1" t="shared" si="5"/>
        <v>0</v>
      </c>
    </row>
    <row r="88" s="30" customFormat="1" ht="20" customHeight="1" spans="1:15">
      <c r="A88" s="31"/>
      <c r="B88" s="32"/>
      <c r="C88" s="33"/>
      <c r="D88" s="32"/>
      <c r="E88" s="32"/>
      <c r="F88" s="32"/>
      <c r="G88" s="32"/>
      <c r="H88" s="37">
        <f ca="1" t="array" ref="H88">INDEX(成本核算表!J:J,MATCH(1,(成本核算表!D:D=E88)*(成本核算表!C:C=G88),0))</f>
        <v>0</v>
      </c>
      <c r="I88" s="37"/>
      <c r="J88" s="37">
        <f ca="1" t="shared" si="3"/>
        <v>0</v>
      </c>
      <c r="K88" s="32"/>
      <c r="L88" s="32"/>
      <c r="N88" s="37">
        <f ca="1" t="shared" si="4"/>
        <v>0</v>
      </c>
      <c r="O88" s="37">
        <f ca="1" t="shared" si="5"/>
        <v>0</v>
      </c>
    </row>
    <row r="89" s="30" customFormat="1" ht="20" customHeight="1" spans="1:15">
      <c r="A89" s="31"/>
      <c r="B89" s="32"/>
      <c r="C89" s="33"/>
      <c r="D89" s="32"/>
      <c r="E89" s="32"/>
      <c r="F89" s="32"/>
      <c r="G89" s="32"/>
      <c r="H89" s="37">
        <f ca="1" t="array" ref="H89">INDEX(成本核算表!J:J,MATCH(1,(成本核算表!D:D=E89)*(成本核算表!C:C=G89),0))</f>
        <v>0</v>
      </c>
      <c r="I89" s="37"/>
      <c r="J89" s="37">
        <f ca="1" t="shared" si="3"/>
        <v>0</v>
      </c>
      <c r="K89" s="32"/>
      <c r="L89" s="32"/>
      <c r="N89" s="37">
        <f ca="1" t="shared" si="4"/>
        <v>0</v>
      </c>
      <c r="O89" s="37">
        <f ca="1" t="shared" si="5"/>
        <v>0</v>
      </c>
    </row>
    <row r="90" s="30" customFormat="1" ht="20" customHeight="1" spans="1:15">
      <c r="A90" s="31"/>
      <c r="B90" s="32"/>
      <c r="C90" s="33"/>
      <c r="D90" s="32"/>
      <c r="E90" s="32"/>
      <c r="F90" s="32"/>
      <c r="G90" s="32"/>
      <c r="H90" s="37">
        <f ca="1" t="array" ref="H90">INDEX(成本核算表!J:J,MATCH(1,(成本核算表!D:D=E90)*(成本核算表!C:C=G90),0))</f>
        <v>0</v>
      </c>
      <c r="I90" s="37"/>
      <c r="J90" s="37">
        <f ca="1" t="shared" si="3"/>
        <v>0</v>
      </c>
      <c r="K90" s="32"/>
      <c r="L90" s="32"/>
      <c r="N90" s="37">
        <f ca="1" t="shared" si="4"/>
        <v>0</v>
      </c>
      <c r="O90" s="37">
        <f ca="1" t="shared" si="5"/>
        <v>0</v>
      </c>
    </row>
    <row r="91" s="30" customFormat="1" ht="20" customHeight="1" spans="1:15">
      <c r="A91" s="31"/>
      <c r="B91" s="32"/>
      <c r="C91" s="33"/>
      <c r="D91" s="32"/>
      <c r="E91" s="32"/>
      <c r="F91" s="32"/>
      <c r="G91" s="32"/>
      <c r="H91" s="37">
        <f ca="1" t="array" ref="H91">INDEX(成本核算表!J:J,MATCH(1,(成本核算表!D:D=E91)*(成本核算表!C:C=G91),0))</f>
        <v>0</v>
      </c>
      <c r="I91" s="37"/>
      <c r="J91" s="37">
        <f ca="1" t="shared" si="3"/>
        <v>0</v>
      </c>
      <c r="K91" s="32"/>
      <c r="L91" s="32"/>
      <c r="N91" s="37">
        <f ca="1" t="shared" si="4"/>
        <v>0</v>
      </c>
      <c r="O91" s="37">
        <f ca="1" t="shared" si="5"/>
        <v>0</v>
      </c>
    </row>
    <row r="92" s="30" customFormat="1" ht="20" customHeight="1" spans="1:15">
      <c r="A92" s="31"/>
      <c r="B92" s="32"/>
      <c r="C92" s="33"/>
      <c r="D92" s="32"/>
      <c r="E92" s="32"/>
      <c r="F92" s="32"/>
      <c r="G92" s="32"/>
      <c r="H92" s="37">
        <f ca="1" t="array" ref="H92">INDEX(成本核算表!J:J,MATCH(1,(成本核算表!D:D=E92)*(成本核算表!C:C=G92),0))</f>
        <v>0</v>
      </c>
      <c r="I92" s="37"/>
      <c r="J92" s="37">
        <f ca="1" t="shared" si="3"/>
        <v>0</v>
      </c>
      <c r="K92" s="32"/>
      <c r="L92" s="32"/>
      <c r="N92" s="37">
        <f ca="1" t="shared" si="4"/>
        <v>0</v>
      </c>
      <c r="O92" s="37">
        <f ca="1" t="shared" si="5"/>
        <v>0</v>
      </c>
    </row>
    <row r="93" s="30" customFormat="1" ht="20" customHeight="1" spans="1:15">
      <c r="A93" s="31"/>
      <c r="B93" s="32"/>
      <c r="C93" s="33"/>
      <c r="D93" s="32"/>
      <c r="E93" s="32"/>
      <c r="F93" s="32"/>
      <c r="G93" s="32"/>
      <c r="H93" s="37">
        <f ca="1" t="array" ref="H93">INDEX(成本核算表!J:J,MATCH(1,(成本核算表!D:D=E93)*(成本核算表!C:C=G93),0))</f>
        <v>0</v>
      </c>
      <c r="I93" s="37"/>
      <c r="J93" s="37">
        <f ca="1" t="shared" si="3"/>
        <v>0</v>
      </c>
      <c r="K93" s="32"/>
      <c r="L93" s="32"/>
      <c r="N93" s="37">
        <f ca="1" t="shared" si="4"/>
        <v>0</v>
      </c>
      <c r="O93" s="37">
        <f ca="1" t="shared" si="5"/>
        <v>0</v>
      </c>
    </row>
    <row r="94" s="30" customFormat="1" ht="20" customHeight="1" spans="1:15">
      <c r="A94" s="31"/>
      <c r="B94" s="32"/>
      <c r="C94" s="33"/>
      <c r="D94" s="32"/>
      <c r="E94" s="32"/>
      <c r="F94" s="32"/>
      <c r="G94" s="32"/>
      <c r="H94" s="37">
        <f ca="1" t="array" ref="H94">INDEX(成本核算表!J:J,MATCH(1,(成本核算表!D:D=E94)*(成本核算表!C:C=G94),0))</f>
        <v>0</v>
      </c>
      <c r="I94" s="37"/>
      <c r="J94" s="37">
        <f ca="1" t="shared" si="3"/>
        <v>0</v>
      </c>
      <c r="K94" s="32"/>
      <c r="L94" s="32"/>
      <c r="N94" s="37">
        <f ca="1" t="shared" si="4"/>
        <v>0</v>
      </c>
      <c r="O94" s="37">
        <f ca="1" t="shared" si="5"/>
        <v>0</v>
      </c>
    </row>
    <row r="95" s="30" customFormat="1" ht="20" customHeight="1" spans="1:15">
      <c r="A95" s="31"/>
      <c r="B95" s="32"/>
      <c r="C95" s="33"/>
      <c r="D95" s="32"/>
      <c r="E95" s="32"/>
      <c r="F95" s="32"/>
      <c r="G95" s="32"/>
      <c r="H95" s="37">
        <f ca="1" t="array" ref="H95">INDEX(成本核算表!J:J,MATCH(1,(成本核算表!D:D=E95)*(成本核算表!C:C=G95),0))</f>
        <v>0</v>
      </c>
      <c r="I95" s="37"/>
      <c r="J95" s="37">
        <f ca="1" t="shared" si="3"/>
        <v>0</v>
      </c>
      <c r="K95" s="32"/>
      <c r="L95" s="32"/>
      <c r="N95" s="37">
        <f ca="1" t="shared" si="4"/>
        <v>0</v>
      </c>
      <c r="O95" s="37">
        <f ca="1" t="shared" si="5"/>
        <v>0</v>
      </c>
    </row>
    <row r="96" s="30" customFormat="1" ht="20" customHeight="1" spans="1:15">
      <c r="A96" s="31"/>
      <c r="B96" s="32"/>
      <c r="C96" s="33"/>
      <c r="D96" s="32"/>
      <c r="E96" s="32"/>
      <c r="F96" s="32"/>
      <c r="G96" s="32"/>
      <c r="H96" s="37">
        <f ca="1" t="array" ref="H96">INDEX(成本核算表!J:J,MATCH(1,(成本核算表!D:D=E96)*(成本核算表!C:C=G96),0))</f>
        <v>0</v>
      </c>
      <c r="I96" s="37"/>
      <c r="J96" s="37">
        <f ca="1" t="shared" si="3"/>
        <v>0</v>
      </c>
      <c r="K96" s="32"/>
      <c r="L96" s="32"/>
      <c r="N96" s="37">
        <f ca="1" t="shared" si="4"/>
        <v>0</v>
      </c>
      <c r="O96" s="37">
        <f ca="1" t="shared" si="5"/>
        <v>0</v>
      </c>
    </row>
    <row r="97" s="30" customFormat="1" ht="20" customHeight="1" spans="1:15">
      <c r="A97" s="31"/>
      <c r="B97" s="32"/>
      <c r="C97" s="33"/>
      <c r="D97" s="32"/>
      <c r="E97" s="32"/>
      <c r="F97" s="32"/>
      <c r="G97" s="32"/>
      <c r="H97" s="37">
        <f ca="1" t="array" ref="H97">INDEX(成本核算表!J:J,MATCH(1,(成本核算表!D:D=E97)*(成本核算表!C:C=G97),0))</f>
        <v>0</v>
      </c>
      <c r="I97" s="37"/>
      <c r="J97" s="37">
        <f ca="1" t="shared" si="3"/>
        <v>0</v>
      </c>
      <c r="K97" s="32"/>
      <c r="L97" s="32"/>
      <c r="N97" s="37">
        <f ca="1" t="shared" si="4"/>
        <v>0</v>
      </c>
      <c r="O97" s="37">
        <f ca="1" t="shared" si="5"/>
        <v>0</v>
      </c>
    </row>
    <row r="98" s="30" customFormat="1" ht="20" customHeight="1" spans="1:15">
      <c r="A98" s="31"/>
      <c r="B98" s="32"/>
      <c r="C98" s="33"/>
      <c r="D98" s="32"/>
      <c r="E98" s="32"/>
      <c r="F98" s="32"/>
      <c r="G98" s="32"/>
      <c r="H98" s="37">
        <f ca="1" t="array" ref="H98">INDEX(成本核算表!J:J,MATCH(1,(成本核算表!D:D=E98)*(成本核算表!C:C=G98),0))</f>
        <v>0</v>
      </c>
      <c r="I98" s="37"/>
      <c r="J98" s="37">
        <f ca="1" t="shared" si="3"/>
        <v>0</v>
      </c>
      <c r="K98" s="32"/>
      <c r="L98" s="32"/>
      <c r="N98" s="37">
        <f ca="1" t="shared" si="4"/>
        <v>0</v>
      </c>
      <c r="O98" s="37">
        <f ca="1" t="shared" si="5"/>
        <v>0</v>
      </c>
    </row>
    <row r="99" s="30" customFormat="1" ht="20" customHeight="1" spans="1:15">
      <c r="A99" s="31"/>
      <c r="B99" s="32"/>
      <c r="C99" s="33"/>
      <c r="D99" s="32"/>
      <c r="E99" s="32"/>
      <c r="F99" s="32"/>
      <c r="G99" s="32"/>
      <c r="H99" s="37">
        <f ca="1" t="array" ref="H99">INDEX(成本核算表!J:J,MATCH(1,(成本核算表!D:D=E99)*(成本核算表!C:C=G99),0))</f>
        <v>0</v>
      </c>
      <c r="I99" s="37"/>
      <c r="J99" s="37">
        <f ca="1" t="shared" si="3"/>
        <v>0</v>
      </c>
      <c r="K99" s="32"/>
      <c r="L99" s="32"/>
      <c r="N99" s="37">
        <f ca="1" t="shared" si="4"/>
        <v>0</v>
      </c>
      <c r="O99" s="37">
        <f ca="1" t="shared" si="5"/>
        <v>0</v>
      </c>
    </row>
    <row r="100" s="30" customFormat="1" ht="20" customHeight="1" spans="1:15">
      <c r="A100" s="31"/>
      <c r="B100" s="32"/>
      <c r="C100" s="33"/>
      <c r="D100" s="32"/>
      <c r="E100" s="32"/>
      <c r="F100" s="32"/>
      <c r="G100" s="32"/>
      <c r="H100" s="37">
        <f ca="1" t="array" ref="H100">INDEX(成本核算表!J:J,MATCH(1,(成本核算表!D:D=E100)*(成本核算表!C:C=G100),0))</f>
        <v>0</v>
      </c>
      <c r="I100" s="37"/>
      <c r="J100" s="37">
        <f ca="1" t="shared" si="3"/>
        <v>0</v>
      </c>
      <c r="K100" s="32"/>
      <c r="L100" s="32"/>
      <c r="N100" s="37">
        <f ca="1" t="shared" si="4"/>
        <v>0</v>
      </c>
      <c r="O100" s="37">
        <f ca="1" t="shared" si="5"/>
        <v>0</v>
      </c>
    </row>
    <row r="101" s="30" customFormat="1" ht="20" customHeight="1" spans="1:15">
      <c r="A101" s="31"/>
      <c r="B101" s="32"/>
      <c r="C101" s="33"/>
      <c r="D101" s="32"/>
      <c r="E101" s="32"/>
      <c r="F101" s="32"/>
      <c r="G101" s="32"/>
      <c r="H101" s="37">
        <f ca="1" t="array" ref="H101">INDEX(成本核算表!J:J,MATCH(1,(成本核算表!D:D=E101)*(成本核算表!C:C=G101),0))</f>
        <v>0</v>
      </c>
      <c r="I101" s="37"/>
      <c r="J101" s="37">
        <f ca="1" t="shared" si="3"/>
        <v>0</v>
      </c>
      <c r="K101" s="32"/>
      <c r="L101" s="32"/>
      <c r="N101" s="37">
        <f ca="1" t="shared" si="4"/>
        <v>0</v>
      </c>
      <c r="O101" s="37">
        <f ca="1" t="shared" si="5"/>
        <v>0</v>
      </c>
    </row>
    <row r="102" s="30" customFormat="1" customHeight="1" spans="1:15">
      <c r="A102" s="31"/>
      <c r="B102" s="32"/>
      <c r="C102" s="33"/>
      <c r="D102" s="32"/>
      <c r="E102" s="32"/>
      <c r="F102" s="32"/>
      <c r="G102" s="32"/>
      <c r="H102" s="34"/>
      <c r="I102" s="34"/>
      <c r="J102" s="32"/>
      <c r="K102" s="32"/>
      <c r="L102" s="32"/>
    </row>
    <row r="103" s="30" customFormat="1" customHeight="1" spans="1:15">
      <c r="A103" s="31"/>
      <c r="B103" s="32"/>
      <c r="C103" s="33"/>
      <c r="D103" s="32"/>
      <c r="E103" s="32"/>
      <c r="F103" s="32"/>
      <c r="G103" s="32"/>
      <c r="H103" s="34"/>
      <c r="I103" s="34"/>
      <c r="J103" s="32"/>
      <c r="K103" s="32"/>
      <c r="L103" s="32"/>
    </row>
    <row r="104" s="30" customFormat="1" customHeight="1" spans="1:15">
      <c r="A104" s="31"/>
      <c r="B104" s="32"/>
      <c r="C104" s="33"/>
      <c r="D104" s="32"/>
      <c r="E104" s="32"/>
      <c r="F104" s="32"/>
      <c r="G104" s="32"/>
      <c r="H104" s="34"/>
      <c r="I104" s="34"/>
      <c r="J104" s="32"/>
      <c r="K104" s="32"/>
      <c r="L104" s="32"/>
    </row>
    <row r="105" s="30" customFormat="1" customHeight="1" spans="1:15">
      <c r="A105" s="31"/>
      <c r="B105" s="32"/>
      <c r="C105" s="33"/>
      <c r="D105" s="32"/>
      <c r="E105" s="32"/>
      <c r="F105" s="32"/>
      <c r="G105" s="32"/>
      <c r="H105" s="34"/>
      <c r="I105" s="34"/>
      <c r="J105" s="32"/>
      <c r="K105" s="32"/>
      <c r="L105" s="32"/>
    </row>
    <row r="106" s="30" customFormat="1" customHeight="1" spans="1:15">
      <c r="A106" s="31"/>
      <c r="B106" s="32"/>
      <c r="C106" s="33"/>
      <c r="D106" s="32"/>
      <c r="E106" s="32"/>
      <c r="F106" s="32"/>
      <c r="G106" s="32"/>
      <c r="H106" s="34"/>
      <c r="I106" s="34"/>
      <c r="J106" s="32"/>
      <c r="K106" s="32"/>
      <c r="L106" s="32"/>
    </row>
    <row r="107" s="30" customFormat="1" customHeight="1" spans="1:15">
      <c r="A107" s="31"/>
      <c r="B107" s="32"/>
      <c r="C107" s="33"/>
      <c r="D107" s="32"/>
      <c r="E107" s="32"/>
      <c r="F107" s="32"/>
      <c r="G107" s="32"/>
      <c r="H107" s="34"/>
      <c r="I107" s="34"/>
      <c r="J107" s="32"/>
      <c r="K107" s="32"/>
      <c r="L107" s="32"/>
    </row>
    <row r="108" s="30" customFormat="1" customHeight="1" spans="1:15">
      <c r="A108" s="31"/>
      <c r="B108" s="32"/>
      <c r="C108" s="33"/>
      <c r="D108" s="32"/>
      <c r="E108" s="32"/>
      <c r="F108" s="32"/>
      <c r="G108" s="32"/>
      <c r="H108" s="34"/>
      <c r="I108" s="34"/>
      <c r="J108" s="32"/>
      <c r="K108" s="32"/>
      <c r="L108" s="32"/>
    </row>
    <row r="109" s="30" customFormat="1" customHeight="1" spans="1:15">
      <c r="A109" s="31"/>
      <c r="B109" s="32"/>
      <c r="C109" s="33"/>
      <c r="D109" s="32"/>
      <c r="E109" s="32"/>
      <c r="F109" s="32"/>
      <c r="G109" s="32"/>
      <c r="H109" s="34"/>
      <c r="I109" s="34"/>
      <c r="J109" s="32"/>
      <c r="K109" s="32"/>
      <c r="L109" s="32"/>
    </row>
    <row r="110" s="30" customFormat="1" customHeight="1" spans="1:15">
      <c r="A110" s="31"/>
      <c r="B110" s="32"/>
      <c r="C110" s="33"/>
      <c r="D110" s="32"/>
      <c r="E110" s="32"/>
      <c r="F110" s="32"/>
      <c r="G110" s="32"/>
      <c r="H110" s="34"/>
      <c r="I110" s="34"/>
      <c r="J110" s="32"/>
      <c r="K110" s="32"/>
      <c r="L110" s="32"/>
    </row>
    <row r="111" s="30" customFormat="1" customHeight="1" spans="1:15">
      <c r="A111" s="31"/>
      <c r="B111" s="32"/>
      <c r="C111" s="33"/>
      <c r="D111" s="32"/>
      <c r="E111" s="32"/>
      <c r="F111" s="32"/>
      <c r="G111" s="32"/>
      <c r="H111" s="34"/>
      <c r="I111" s="34"/>
      <c r="J111" s="32"/>
      <c r="K111" s="32"/>
      <c r="L111" s="32"/>
    </row>
    <row r="112" s="30" customFormat="1" customHeight="1" spans="1:15">
      <c r="A112" s="31"/>
      <c r="B112" s="32"/>
      <c r="C112" s="33"/>
      <c r="D112" s="32"/>
      <c r="E112" s="32"/>
      <c r="F112" s="32"/>
      <c r="G112" s="32"/>
      <c r="H112" s="34"/>
      <c r="I112" s="34"/>
      <c r="J112" s="32"/>
      <c r="K112" s="32"/>
      <c r="L112" s="32"/>
    </row>
    <row r="113" s="30" customFormat="1" customHeight="1" spans="1:12">
      <c r="A113" s="31"/>
      <c r="B113" s="32"/>
      <c r="C113" s="33"/>
      <c r="D113" s="32"/>
      <c r="E113" s="32"/>
      <c r="F113" s="32"/>
      <c r="G113" s="32"/>
      <c r="H113" s="34"/>
      <c r="I113" s="34"/>
      <c r="J113" s="32"/>
      <c r="K113" s="32"/>
      <c r="L113" s="32"/>
    </row>
    <row r="114" s="30" customFormat="1" customHeight="1" spans="1:12">
      <c r="A114" s="31"/>
      <c r="B114" s="32"/>
      <c r="C114" s="33"/>
      <c r="D114" s="32"/>
      <c r="E114" s="32"/>
      <c r="F114" s="32"/>
      <c r="G114" s="32"/>
      <c r="H114" s="34"/>
      <c r="I114" s="34"/>
      <c r="J114" s="32"/>
      <c r="K114" s="32"/>
      <c r="L114" s="32"/>
    </row>
    <row r="115" s="30" customFormat="1" customHeight="1" spans="1:12">
      <c r="A115" s="31"/>
      <c r="B115" s="32"/>
      <c r="C115" s="33"/>
      <c r="D115" s="32"/>
      <c r="E115" s="32"/>
      <c r="F115" s="32"/>
      <c r="G115" s="32"/>
      <c r="H115" s="34"/>
      <c r="I115" s="34"/>
      <c r="J115" s="32"/>
      <c r="K115" s="32"/>
      <c r="L115" s="32"/>
    </row>
    <row r="116" s="30" customFormat="1" customHeight="1" spans="1:12">
      <c r="A116" s="31"/>
      <c r="B116" s="32"/>
      <c r="C116" s="33"/>
      <c r="D116" s="32"/>
      <c r="E116" s="32"/>
      <c r="F116" s="32"/>
      <c r="G116" s="32"/>
      <c r="H116" s="34"/>
      <c r="I116" s="34"/>
      <c r="J116" s="32"/>
      <c r="K116" s="32"/>
      <c r="L116" s="32"/>
    </row>
    <row r="117" s="30" customFormat="1" customHeight="1" spans="1:12">
      <c r="A117" s="31"/>
      <c r="B117" s="32"/>
      <c r="C117" s="33"/>
      <c r="D117" s="32"/>
      <c r="E117" s="32"/>
      <c r="F117" s="32"/>
      <c r="G117" s="32"/>
      <c r="H117" s="34"/>
      <c r="I117" s="34"/>
      <c r="J117" s="32"/>
      <c r="K117" s="32"/>
      <c r="L117" s="32"/>
    </row>
    <row r="118" s="30" customFormat="1" customHeight="1" spans="1:12">
      <c r="A118" s="31"/>
      <c r="B118" s="32"/>
      <c r="C118" s="33"/>
      <c r="D118" s="32"/>
      <c r="E118" s="32"/>
      <c r="F118" s="32"/>
      <c r="G118" s="32"/>
      <c r="H118" s="34"/>
      <c r="I118" s="34"/>
      <c r="J118" s="32"/>
      <c r="K118" s="32"/>
      <c r="L118" s="32"/>
    </row>
    <row r="119" s="30" customFormat="1" customHeight="1" spans="1:12">
      <c r="A119" s="31"/>
      <c r="B119" s="32"/>
      <c r="C119" s="33"/>
      <c r="D119" s="32"/>
      <c r="E119" s="32"/>
      <c r="F119" s="32"/>
      <c r="G119" s="32"/>
      <c r="H119" s="34"/>
      <c r="I119" s="34"/>
      <c r="J119" s="32"/>
      <c r="K119" s="32"/>
      <c r="L119" s="32"/>
    </row>
    <row r="120" s="30" customFormat="1" customHeight="1" spans="1:12">
      <c r="A120" s="31"/>
      <c r="B120" s="32"/>
      <c r="C120" s="33"/>
      <c r="D120" s="32"/>
      <c r="E120" s="32"/>
      <c r="F120" s="32"/>
      <c r="G120" s="32"/>
      <c r="H120" s="34"/>
      <c r="I120" s="34"/>
      <c r="J120" s="32"/>
      <c r="K120" s="32"/>
      <c r="L120" s="32"/>
    </row>
    <row r="121" s="30" customFormat="1" customHeight="1" spans="1:12">
      <c r="A121" s="31"/>
      <c r="B121" s="32"/>
      <c r="C121" s="33"/>
      <c r="D121" s="32"/>
      <c r="E121" s="32"/>
      <c r="F121" s="32"/>
      <c r="G121" s="32"/>
      <c r="H121" s="34"/>
      <c r="I121" s="34"/>
      <c r="J121" s="32"/>
      <c r="K121" s="32"/>
      <c r="L121" s="32"/>
    </row>
    <row r="122" s="30" customFormat="1" customHeight="1" spans="1:12">
      <c r="A122" s="31"/>
      <c r="B122" s="32"/>
      <c r="C122" s="33"/>
      <c r="D122" s="32"/>
      <c r="E122" s="32"/>
      <c r="F122" s="32"/>
      <c r="G122" s="32"/>
      <c r="H122" s="34"/>
      <c r="I122" s="34"/>
      <c r="J122" s="32"/>
      <c r="K122" s="32"/>
      <c r="L122" s="32"/>
    </row>
    <row r="123" s="30" customFormat="1" customHeight="1" spans="1:12">
      <c r="A123" s="31"/>
      <c r="B123" s="32"/>
      <c r="C123" s="33"/>
      <c r="D123" s="32"/>
      <c r="E123" s="32"/>
      <c r="F123" s="32"/>
      <c r="G123" s="32"/>
      <c r="H123" s="34"/>
      <c r="I123" s="34"/>
      <c r="J123" s="32"/>
      <c r="K123" s="32"/>
      <c r="L123" s="32"/>
    </row>
    <row r="124" s="30" customFormat="1" customHeight="1" spans="1:12">
      <c r="A124" s="31"/>
      <c r="B124" s="32"/>
      <c r="C124" s="33"/>
      <c r="D124" s="32"/>
      <c r="E124" s="32"/>
      <c r="F124" s="32"/>
      <c r="G124" s="32"/>
      <c r="H124" s="34"/>
      <c r="I124" s="34"/>
      <c r="J124" s="32"/>
      <c r="K124" s="32"/>
      <c r="L124" s="32"/>
    </row>
    <row r="125" s="30" customFormat="1" customHeight="1" spans="1:12">
      <c r="A125" s="31"/>
      <c r="B125" s="32"/>
      <c r="C125" s="33"/>
      <c r="D125" s="32"/>
      <c r="E125" s="32"/>
      <c r="F125" s="32"/>
      <c r="G125" s="32"/>
      <c r="H125" s="34"/>
      <c r="I125" s="34"/>
      <c r="J125" s="32"/>
      <c r="K125" s="32"/>
      <c r="L125" s="32"/>
    </row>
    <row r="126" s="30" customFormat="1" customHeight="1" spans="1:12">
      <c r="A126" s="31"/>
      <c r="B126" s="32"/>
      <c r="C126" s="33"/>
      <c r="D126" s="32"/>
      <c r="E126" s="32"/>
      <c r="F126" s="32"/>
      <c r="G126" s="32"/>
      <c r="H126" s="34"/>
      <c r="I126" s="34"/>
      <c r="J126" s="32"/>
      <c r="K126" s="32"/>
      <c r="L126" s="32"/>
    </row>
    <row r="127" s="30" customFormat="1" customHeight="1" spans="1:12">
      <c r="A127" s="31"/>
      <c r="B127" s="32"/>
      <c r="C127" s="33"/>
      <c r="D127" s="32"/>
      <c r="E127" s="32"/>
      <c r="F127" s="32"/>
      <c r="G127" s="32"/>
      <c r="H127" s="34"/>
      <c r="I127" s="34"/>
      <c r="J127" s="32"/>
      <c r="K127" s="32"/>
      <c r="L127" s="32"/>
    </row>
    <row r="128" s="30" customFormat="1" customHeight="1" spans="1:12">
      <c r="A128" s="31"/>
      <c r="B128" s="32"/>
      <c r="C128" s="33"/>
      <c r="D128" s="32"/>
      <c r="E128" s="32"/>
      <c r="F128" s="32"/>
      <c r="G128" s="32"/>
      <c r="H128" s="34"/>
      <c r="I128" s="34"/>
      <c r="J128" s="32"/>
      <c r="K128" s="32"/>
      <c r="L128" s="32"/>
    </row>
    <row r="129" s="30" customFormat="1" customHeight="1" spans="1:12">
      <c r="A129" s="31"/>
      <c r="B129" s="32"/>
      <c r="C129" s="33"/>
      <c r="D129" s="32"/>
      <c r="E129" s="32"/>
      <c r="F129" s="32"/>
      <c r="G129" s="32"/>
      <c r="H129" s="34"/>
      <c r="I129" s="34"/>
      <c r="J129" s="32"/>
      <c r="K129" s="32"/>
      <c r="L129" s="32"/>
    </row>
    <row r="130" s="30" customFormat="1" customHeight="1" spans="1:12">
      <c r="A130" s="31"/>
      <c r="B130" s="32"/>
      <c r="C130" s="33"/>
      <c r="D130" s="32"/>
      <c r="E130" s="32"/>
      <c r="F130" s="32"/>
      <c r="G130" s="32"/>
      <c r="H130" s="34"/>
      <c r="I130" s="34"/>
      <c r="J130" s="32"/>
      <c r="K130" s="32"/>
      <c r="L130" s="32"/>
    </row>
    <row r="131" s="30" customFormat="1" customHeight="1" spans="1:12">
      <c r="A131" s="31"/>
      <c r="B131" s="32"/>
      <c r="C131" s="33"/>
      <c r="D131" s="32"/>
      <c r="E131" s="32"/>
      <c r="F131" s="32"/>
      <c r="G131" s="32"/>
      <c r="H131" s="34"/>
      <c r="I131" s="34"/>
      <c r="J131" s="32"/>
      <c r="K131" s="32"/>
      <c r="L131" s="32"/>
    </row>
    <row r="132" s="30" customFormat="1" customHeight="1" spans="1:12">
      <c r="A132" s="31"/>
      <c r="B132" s="32"/>
      <c r="C132" s="33"/>
      <c r="D132" s="32"/>
      <c r="E132" s="32"/>
      <c r="F132" s="32"/>
      <c r="G132" s="32"/>
      <c r="H132" s="34"/>
      <c r="I132" s="34"/>
      <c r="J132" s="32"/>
      <c r="K132" s="32"/>
      <c r="L132" s="32"/>
    </row>
    <row r="133" s="30" customFormat="1" customHeight="1" spans="1:12">
      <c r="A133" s="31"/>
      <c r="B133" s="32"/>
      <c r="C133" s="33"/>
      <c r="D133" s="32"/>
      <c r="E133" s="32"/>
      <c r="F133" s="32"/>
      <c r="G133" s="32"/>
      <c r="H133" s="34"/>
      <c r="I133" s="34"/>
      <c r="J133" s="32"/>
      <c r="K133" s="32"/>
      <c r="L133" s="32"/>
    </row>
    <row r="134" s="30" customFormat="1" customHeight="1" spans="1:12">
      <c r="A134" s="31"/>
      <c r="B134" s="32"/>
      <c r="C134" s="33"/>
      <c r="D134" s="32"/>
      <c r="E134" s="32"/>
      <c r="F134" s="32"/>
      <c r="G134" s="32"/>
      <c r="H134" s="34"/>
      <c r="I134" s="34"/>
      <c r="J134" s="32"/>
      <c r="K134" s="32"/>
      <c r="L134" s="32"/>
    </row>
    <row r="135" s="30" customFormat="1" customHeight="1" spans="1:12">
      <c r="A135" s="31"/>
      <c r="B135" s="32"/>
      <c r="C135" s="33"/>
      <c r="D135" s="32"/>
      <c r="E135" s="32"/>
      <c r="F135" s="32"/>
      <c r="G135" s="32"/>
      <c r="H135" s="34"/>
      <c r="I135" s="34"/>
      <c r="J135" s="32"/>
      <c r="K135" s="32"/>
      <c r="L135" s="32"/>
    </row>
    <row r="136" s="30" customFormat="1" customHeight="1" spans="1:12">
      <c r="A136" s="31"/>
      <c r="B136" s="32"/>
      <c r="C136" s="33"/>
      <c r="D136" s="32"/>
      <c r="E136" s="32"/>
      <c r="F136" s="32"/>
      <c r="G136" s="32"/>
      <c r="H136" s="34"/>
      <c r="I136" s="34"/>
      <c r="J136" s="32"/>
      <c r="K136" s="32"/>
      <c r="L136" s="32"/>
    </row>
    <row r="137" s="30" customFormat="1" customHeight="1" spans="1:12">
      <c r="A137" s="31"/>
      <c r="B137" s="32"/>
      <c r="C137" s="33"/>
      <c r="D137" s="32"/>
      <c r="E137" s="32"/>
      <c r="F137" s="32"/>
      <c r="G137" s="32"/>
      <c r="H137" s="34"/>
      <c r="I137" s="34"/>
      <c r="J137" s="32"/>
      <c r="K137" s="32"/>
      <c r="L137" s="32"/>
    </row>
    <row r="138" s="30" customFormat="1" customHeight="1" spans="1:12">
      <c r="A138" s="31"/>
      <c r="B138" s="32"/>
      <c r="C138" s="33"/>
      <c r="D138" s="32"/>
      <c r="E138" s="32"/>
      <c r="F138" s="32"/>
      <c r="G138" s="32"/>
      <c r="H138" s="34"/>
      <c r="I138" s="34"/>
      <c r="J138" s="32"/>
      <c r="K138" s="32"/>
      <c r="L138" s="32"/>
    </row>
    <row r="139" s="30" customFormat="1" customHeight="1" spans="1:12">
      <c r="A139" s="31"/>
      <c r="B139" s="32"/>
      <c r="C139" s="33"/>
      <c r="D139" s="32"/>
      <c r="E139" s="32"/>
      <c r="F139" s="32"/>
      <c r="G139" s="32"/>
      <c r="H139" s="34"/>
      <c r="I139" s="34"/>
      <c r="J139" s="32"/>
      <c r="K139" s="32"/>
      <c r="L139" s="32"/>
    </row>
    <row r="140" s="30" customFormat="1" customHeight="1" spans="1:12">
      <c r="A140" s="31"/>
      <c r="B140" s="32"/>
      <c r="C140" s="33"/>
      <c r="D140" s="32"/>
      <c r="E140" s="32"/>
      <c r="F140" s="32"/>
      <c r="G140" s="32"/>
      <c r="H140" s="34"/>
      <c r="I140" s="34"/>
      <c r="J140" s="32"/>
      <c r="K140" s="32"/>
      <c r="L140" s="32"/>
    </row>
    <row r="141" s="30" customFormat="1" customHeight="1" spans="1:12">
      <c r="A141" s="31"/>
      <c r="B141" s="32"/>
      <c r="C141" s="33"/>
      <c r="D141" s="32"/>
      <c r="E141" s="32"/>
      <c r="F141" s="32"/>
      <c r="G141" s="32"/>
      <c r="H141" s="34"/>
      <c r="I141" s="34"/>
      <c r="J141" s="32"/>
      <c r="K141" s="32"/>
      <c r="L141" s="32"/>
    </row>
    <row r="142" s="30" customFormat="1" customHeight="1" spans="1:12">
      <c r="A142" s="31"/>
      <c r="B142" s="32"/>
      <c r="C142" s="33"/>
      <c r="D142" s="32"/>
      <c r="E142" s="32"/>
      <c r="F142" s="32"/>
      <c r="G142" s="32"/>
      <c r="H142" s="34"/>
      <c r="I142" s="34"/>
      <c r="J142" s="32"/>
      <c r="K142" s="32"/>
      <c r="L142" s="32"/>
    </row>
    <row r="143" s="30" customFormat="1" customHeight="1" spans="1:12">
      <c r="A143" s="31"/>
      <c r="B143" s="32"/>
      <c r="C143" s="33"/>
      <c r="D143" s="32"/>
      <c r="E143" s="32"/>
      <c r="F143" s="32"/>
      <c r="G143" s="32"/>
      <c r="H143" s="34"/>
      <c r="I143" s="34"/>
      <c r="J143" s="32"/>
      <c r="K143" s="32"/>
      <c r="L143" s="32"/>
    </row>
    <row r="144" s="30" customFormat="1" customHeight="1" spans="1:12">
      <c r="A144" s="31"/>
      <c r="B144" s="32"/>
      <c r="C144" s="33"/>
      <c r="D144" s="32"/>
      <c r="E144" s="32"/>
      <c r="F144" s="32"/>
      <c r="G144" s="32"/>
      <c r="H144" s="34"/>
      <c r="I144" s="34"/>
      <c r="J144" s="32"/>
      <c r="K144" s="32"/>
      <c r="L144" s="32"/>
    </row>
    <row r="145" s="30" customFormat="1" customHeight="1" spans="1:12">
      <c r="A145" s="31"/>
      <c r="B145" s="32"/>
      <c r="C145" s="33"/>
      <c r="D145" s="32"/>
      <c r="E145" s="32"/>
      <c r="F145" s="32"/>
      <c r="G145" s="32"/>
      <c r="H145" s="34"/>
      <c r="I145" s="34"/>
      <c r="J145" s="32"/>
      <c r="K145" s="32"/>
      <c r="L145" s="32"/>
    </row>
    <row r="146" s="30" customFormat="1" customHeight="1" spans="1:12">
      <c r="A146" s="31"/>
      <c r="B146" s="32"/>
      <c r="C146" s="33"/>
      <c r="D146" s="32"/>
      <c r="E146" s="32"/>
      <c r="F146" s="32"/>
      <c r="G146" s="32"/>
      <c r="H146" s="34"/>
      <c r="I146" s="34"/>
      <c r="J146" s="32"/>
      <c r="K146" s="32"/>
      <c r="L146" s="32"/>
    </row>
    <row r="147" s="30" customFormat="1" customHeight="1" spans="1:12">
      <c r="A147" s="31"/>
      <c r="B147" s="32"/>
      <c r="C147" s="33"/>
      <c r="D147" s="32"/>
      <c r="E147" s="32"/>
      <c r="F147" s="32"/>
      <c r="G147" s="32"/>
      <c r="H147" s="34"/>
      <c r="I147" s="34"/>
      <c r="J147" s="32"/>
      <c r="K147" s="32"/>
      <c r="L147" s="32"/>
    </row>
    <row r="148" s="30" customFormat="1" customHeight="1" spans="1:12">
      <c r="A148" s="31"/>
      <c r="B148" s="32"/>
      <c r="C148" s="33"/>
      <c r="D148" s="32"/>
      <c r="E148" s="32"/>
      <c r="F148" s="32"/>
      <c r="G148" s="32"/>
      <c r="H148" s="34"/>
      <c r="I148" s="34"/>
      <c r="J148" s="32"/>
      <c r="K148" s="32"/>
      <c r="L148" s="32"/>
    </row>
    <row r="149" s="30" customFormat="1" customHeight="1" spans="1:12">
      <c r="A149" s="31"/>
      <c r="B149" s="32"/>
      <c r="C149" s="33"/>
      <c r="D149" s="32"/>
      <c r="E149" s="32"/>
      <c r="F149" s="32"/>
      <c r="G149" s="32"/>
      <c r="H149" s="34"/>
      <c r="I149" s="34"/>
      <c r="J149" s="32"/>
      <c r="K149" s="32"/>
      <c r="L149" s="32"/>
    </row>
    <row r="150" s="30" customFormat="1" customHeight="1" spans="1:12">
      <c r="A150" s="31"/>
      <c r="B150" s="32"/>
      <c r="C150" s="33"/>
      <c r="D150" s="32"/>
      <c r="E150" s="32"/>
      <c r="F150" s="32"/>
      <c r="G150" s="32"/>
      <c r="H150" s="34"/>
      <c r="I150" s="34"/>
      <c r="J150" s="32"/>
      <c r="K150" s="32"/>
      <c r="L150" s="32"/>
    </row>
    <row r="151" s="30" customFormat="1" customHeight="1" spans="1:12">
      <c r="A151" s="31"/>
      <c r="B151" s="32"/>
      <c r="C151" s="33"/>
      <c r="D151" s="32"/>
      <c r="E151" s="32"/>
      <c r="F151" s="32"/>
      <c r="G151" s="32"/>
      <c r="H151" s="34"/>
      <c r="I151" s="34"/>
      <c r="J151" s="32"/>
      <c r="K151" s="32"/>
      <c r="L151" s="32"/>
    </row>
    <row r="152" s="30" customFormat="1" customHeight="1" spans="1:12">
      <c r="A152" s="31"/>
      <c r="B152" s="32"/>
      <c r="C152" s="33"/>
      <c r="D152" s="32"/>
      <c r="E152" s="32"/>
      <c r="F152" s="32"/>
      <c r="G152" s="32"/>
      <c r="H152" s="34"/>
      <c r="I152" s="34"/>
      <c r="J152" s="32"/>
      <c r="K152" s="32"/>
      <c r="L152" s="32"/>
    </row>
    <row r="153" s="30" customFormat="1" customHeight="1" spans="1:12">
      <c r="A153" s="31"/>
      <c r="B153" s="32"/>
      <c r="C153" s="33"/>
      <c r="D153" s="32"/>
      <c r="E153" s="32"/>
      <c r="F153" s="32"/>
      <c r="G153" s="32"/>
      <c r="H153" s="34"/>
      <c r="I153" s="34"/>
      <c r="J153" s="32"/>
      <c r="K153" s="32"/>
      <c r="L153" s="32"/>
    </row>
    <row r="154" s="30" customFormat="1" customHeight="1" spans="1:12">
      <c r="A154" s="31"/>
      <c r="B154" s="32"/>
      <c r="C154" s="33"/>
      <c r="D154" s="32"/>
      <c r="E154" s="32"/>
      <c r="F154" s="32"/>
      <c r="G154" s="32"/>
      <c r="H154" s="34"/>
      <c r="I154" s="34"/>
      <c r="J154" s="32"/>
      <c r="K154" s="32"/>
      <c r="L154" s="32"/>
    </row>
    <row r="155" s="30" customFormat="1" customHeight="1" spans="1:12">
      <c r="A155" s="31"/>
      <c r="B155" s="32"/>
      <c r="C155" s="33"/>
      <c r="D155" s="32"/>
      <c r="E155" s="32"/>
      <c r="F155" s="32"/>
      <c r="G155" s="32"/>
      <c r="H155" s="34"/>
      <c r="I155" s="34"/>
      <c r="J155" s="32"/>
      <c r="K155" s="32"/>
      <c r="L155" s="32"/>
    </row>
    <row r="156" s="30" customFormat="1" customHeight="1" spans="1:12">
      <c r="A156" s="31"/>
      <c r="B156" s="32"/>
      <c r="C156" s="33"/>
      <c r="D156" s="32"/>
      <c r="E156" s="32"/>
      <c r="F156" s="32"/>
      <c r="G156" s="32"/>
      <c r="H156" s="34"/>
      <c r="I156" s="34"/>
      <c r="J156" s="32"/>
      <c r="K156" s="32"/>
      <c r="L156" s="32"/>
    </row>
    <row r="157" s="30" customFormat="1" customHeight="1" spans="1:12">
      <c r="A157" s="31"/>
      <c r="B157" s="32"/>
      <c r="C157" s="33"/>
      <c r="D157" s="32"/>
      <c r="E157" s="32"/>
      <c r="F157" s="32"/>
      <c r="G157" s="32"/>
      <c r="H157" s="34"/>
      <c r="I157" s="34"/>
      <c r="J157" s="32"/>
      <c r="K157" s="32"/>
      <c r="L157" s="32"/>
    </row>
    <row r="158" s="30" customFormat="1" customHeight="1" spans="1:12">
      <c r="A158" s="31"/>
      <c r="B158" s="32"/>
      <c r="C158" s="33"/>
      <c r="D158" s="32"/>
      <c r="E158" s="32"/>
      <c r="F158" s="32"/>
      <c r="G158" s="32"/>
      <c r="H158" s="34"/>
      <c r="I158" s="34"/>
      <c r="J158" s="32"/>
      <c r="K158" s="32"/>
      <c r="L158" s="32"/>
    </row>
    <row r="159" s="30" customFormat="1" customHeight="1" spans="1:12">
      <c r="A159" s="31"/>
      <c r="B159" s="32"/>
      <c r="C159" s="33"/>
      <c r="D159" s="32"/>
      <c r="E159" s="32"/>
      <c r="F159" s="32"/>
      <c r="G159" s="32"/>
      <c r="H159" s="34"/>
      <c r="I159" s="34"/>
      <c r="J159" s="32"/>
      <c r="K159" s="32"/>
      <c r="L159" s="32"/>
    </row>
    <row r="160" s="30" customFormat="1" customHeight="1" spans="1:12">
      <c r="A160" s="31"/>
      <c r="B160" s="32"/>
      <c r="C160" s="33"/>
      <c r="D160" s="32"/>
      <c r="E160" s="32"/>
      <c r="F160" s="32"/>
      <c r="G160" s="32"/>
      <c r="H160" s="34"/>
      <c r="I160" s="34"/>
      <c r="J160" s="32"/>
      <c r="K160" s="32"/>
      <c r="L160" s="32"/>
    </row>
    <row r="161" s="30" customFormat="1" customHeight="1" spans="1:12">
      <c r="A161" s="31"/>
      <c r="B161" s="32"/>
      <c r="C161" s="33"/>
      <c r="D161" s="32"/>
      <c r="E161" s="32"/>
      <c r="F161" s="32"/>
      <c r="G161" s="32"/>
      <c r="H161" s="34"/>
      <c r="I161" s="34"/>
      <c r="J161" s="32"/>
      <c r="K161" s="32"/>
      <c r="L161" s="32"/>
    </row>
    <row r="162" s="30" customFormat="1" customHeight="1" spans="1:12">
      <c r="A162" s="31"/>
      <c r="B162" s="32"/>
      <c r="C162" s="33"/>
      <c r="D162" s="32"/>
      <c r="E162" s="32"/>
      <c r="F162" s="32"/>
      <c r="G162" s="32"/>
      <c r="H162" s="34"/>
      <c r="I162" s="34"/>
      <c r="J162" s="32"/>
      <c r="K162" s="32"/>
      <c r="L162" s="32"/>
    </row>
    <row r="163" s="30" customFormat="1" customHeight="1" spans="1:12">
      <c r="A163" s="31"/>
      <c r="B163" s="32"/>
      <c r="C163" s="33"/>
      <c r="D163" s="32"/>
      <c r="E163" s="32"/>
      <c r="F163" s="32"/>
      <c r="G163" s="32"/>
      <c r="H163" s="34"/>
      <c r="I163" s="34"/>
      <c r="J163" s="32"/>
      <c r="K163" s="32"/>
      <c r="L163" s="32"/>
    </row>
    <row r="164" s="30" customFormat="1" customHeight="1" spans="1:12">
      <c r="A164" s="31"/>
      <c r="B164" s="32"/>
      <c r="C164" s="33"/>
      <c r="D164" s="32"/>
      <c r="E164" s="32"/>
      <c r="F164" s="32"/>
      <c r="G164" s="32"/>
      <c r="H164" s="34"/>
      <c r="I164" s="34"/>
      <c r="J164" s="32"/>
      <c r="K164" s="32"/>
      <c r="L164" s="32"/>
    </row>
    <row r="165" s="30" customFormat="1" customHeight="1" spans="1:12">
      <c r="A165" s="31"/>
      <c r="B165" s="32"/>
      <c r="C165" s="33"/>
      <c r="D165" s="32"/>
      <c r="E165" s="32"/>
      <c r="F165" s="32"/>
      <c r="G165" s="32"/>
      <c r="H165" s="34"/>
      <c r="I165" s="34"/>
      <c r="J165" s="32"/>
      <c r="K165" s="32"/>
      <c r="L165" s="32"/>
    </row>
    <row r="166" s="30" customFormat="1" customHeight="1" spans="1:12">
      <c r="A166" s="31"/>
      <c r="B166" s="32"/>
      <c r="C166" s="33"/>
      <c r="D166" s="32"/>
      <c r="E166" s="32"/>
      <c r="F166" s="32"/>
      <c r="G166" s="32"/>
      <c r="H166" s="34"/>
      <c r="I166" s="34"/>
      <c r="J166" s="32"/>
      <c r="K166" s="32"/>
      <c r="L166" s="32"/>
    </row>
    <row r="167" s="30" customFormat="1" customHeight="1" spans="1:12">
      <c r="A167" s="31"/>
      <c r="B167" s="32"/>
      <c r="C167" s="33"/>
      <c r="D167" s="32"/>
      <c r="E167" s="32"/>
      <c r="F167" s="32"/>
      <c r="G167" s="32"/>
      <c r="H167" s="34"/>
      <c r="I167" s="34"/>
      <c r="J167" s="32"/>
      <c r="K167" s="32"/>
      <c r="L167" s="32"/>
    </row>
    <row r="168" s="30" customFormat="1" customHeight="1" spans="1:12">
      <c r="A168" s="31"/>
      <c r="B168" s="32"/>
      <c r="C168" s="33"/>
      <c r="D168" s="32"/>
      <c r="E168" s="32"/>
      <c r="F168" s="32"/>
      <c r="G168" s="32"/>
      <c r="H168" s="34"/>
      <c r="I168" s="34"/>
      <c r="J168" s="32"/>
      <c r="K168" s="32"/>
      <c r="L168" s="32"/>
    </row>
    <row r="169" s="30" customFormat="1" customHeight="1" spans="1:12">
      <c r="A169" s="31"/>
      <c r="B169" s="32"/>
      <c r="C169" s="33"/>
      <c r="D169" s="32"/>
      <c r="E169" s="32"/>
      <c r="F169" s="32"/>
      <c r="G169" s="32"/>
      <c r="H169" s="34"/>
      <c r="I169" s="34"/>
      <c r="J169" s="32"/>
      <c r="K169" s="32"/>
      <c r="L169" s="32"/>
    </row>
    <row r="170" s="30" customFormat="1" customHeight="1" spans="1:12">
      <c r="A170" s="31"/>
      <c r="B170" s="32"/>
      <c r="C170" s="33"/>
      <c r="D170" s="32"/>
      <c r="E170" s="32"/>
      <c r="F170" s="32"/>
      <c r="G170" s="32"/>
      <c r="H170" s="34"/>
      <c r="I170" s="34"/>
      <c r="J170" s="32"/>
      <c r="K170" s="32"/>
      <c r="L170" s="32"/>
    </row>
    <row r="171" s="30" customFormat="1" customHeight="1" spans="1:12">
      <c r="A171" s="31"/>
      <c r="B171" s="32"/>
      <c r="C171" s="33"/>
      <c r="D171" s="32"/>
      <c r="E171" s="32"/>
      <c r="F171" s="32"/>
      <c r="G171" s="32"/>
      <c r="H171" s="34"/>
      <c r="I171" s="34"/>
      <c r="J171" s="32"/>
      <c r="K171" s="32"/>
      <c r="L171" s="32"/>
    </row>
    <row r="172" s="30" customFormat="1" customHeight="1" spans="1:12">
      <c r="A172" s="31"/>
      <c r="B172" s="32"/>
      <c r="C172" s="33"/>
      <c r="D172" s="32"/>
      <c r="E172" s="32"/>
      <c r="F172" s="32"/>
      <c r="G172" s="32"/>
      <c r="H172" s="34"/>
      <c r="I172" s="34"/>
      <c r="J172" s="32"/>
      <c r="K172" s="32"/>
      <c r="L172" s="32"/>
    </row>
    <row r="173" s="30" customFormat="1" customHeight="1" spans="1:12">
      <c r="A173" s="31"/>
      <c r="B173" s="32"/>
      <c r="C173" s="33"/>
      <c r="D173" s="32"/>
      <c r="E173" s="32"/>
      <c r="F173" s="32"/>
      <c r="G173" s="32"/>
      <c r="H173" s="34"/>
      <c r="I173" s="34"/>
      <c r="J173" s="32"/>
      <c r="K173" s="32"/>
      <c r="L173" s="32"/>
    </row>
    <row r="174" s="30" customFormat="1" customHeight="1" spans="1:12">
      <c r="A174" s="31"/>
      <c r="B174" s="32"/>
      <c r="C174" s="33"/>
      <c r="D174" s="32"/>
      <c r="E174" s="32"/>
      <c r="F174" s="32"/>
      <c r="G174" s="32"/>
      <c r="H174" s="34"/>
      <c r="I174" s="34"/>
      <c r="J174" s="32"/>
      <c r="K174" s="32"/>
      <c r="L174" s="32"/>
    </row>
    <row r="175" s="30" customFormat="1" customHeight="1" spans="1:12">
      <c r="A175" s="31"/>
      <c r="B175" s="32"/>
      <c r="C175" s="33"/>
      <c r="D175" s="32"/>
      <c r="E175" s="32"/>
      <c r="F175" s="32"/>
      <c r="G175" s="32"/>
      <c r="H175" s="34"/>
      <c r="I175" s="34"/>
      <c r="J175" s="32"/>
      <c r="K175" s="32"/>
      <c r="L175" s="32"/>
    </row>
    <row r="176" s="30" customFormat="1" customHeight="1" spans="1:12">
      <c r="A176" s="31"/>
      <c r="B176" s="32"/>
      <c r="C176" s="33"/>
      <c r="D176" s="32"/>
      <c r="E176" s="32"/>
      <c r="F176" s="32"/>
      <c r="G176" s="32"/>
      <c r="H176" s="34"/>
      <c r="I176" s="34"/>
      <c r="J176" s="32"/>
      <c r="K176" s="32"/>
      <c r="L176" s="32"/>
    </row>
    <row r="177" s="30" customFormat="1" customHeight="1" spans="1:12">
      <c r="A177" s="31"/>
      <c r="B177" s="32"/>
      <c r="C177" s="33"/>
      <c r="D177" s="32"/>
      <c r="E177" s="32"/>
      <c r="F177" s="32"/>
      <c r="G177" s="32"/>
      <c r="H177" s="34"/>
      <c r="I177" s="34"/>
      <c r="J177" s="32"/>
      <c r="K177" s="32"/>
      <c r="L177" s="32"/>
    </row>
    <row r="178" s="30" customFormat="1" customHeight="1" spans="1:12">
      <c r="A178" s="31"/>
      <c r="B178" s="32"/>
      <c r="C178" s="33"/>
      <c r="D178" s="32"/>
      <c r="E178" s="32"/>
      <c r="F178" s="32"/>
      <c r="G178" s="32"/>
      <c r="H178" s="34"/>
      <c r="I178" s="34"/>
      <c r="J178" s="32"/>
      <c r="K178" s="32"/>
      <c r="L178" s="32"/>
    </row>
    <row r="179" s="30" customFormat="1" customHeight="1" spans="1:12">
      <c r="A179" s="31"/>
      <c r="B179" s="32"/>
      <c r="C179" s="33"/>
      <c r="D179" s="32"/>
      <c r="E179" s="32"/>
      <c r="F179" s="32"/>
      <c r="G179" s="32"/>
      <c r="H179" s="34"/>
      <c r="I179" s="34"/>
      <c r="J179" s="32"/>
      <c r="K179" s="32"/>
      <c r="L179" s="32"/>
    </row>
    <row r="180" s="30" customFormat="1" customHeight="1" spans="1:12">
      <c r="A180" s="31"/>
      <c r="B180" s="32"/>
      <c r="C180" s="33"/>
      <c r="D180" s="32"/>
      <c r="E180" s="32"/>
      <c r="F180" s="32"/>
      <c r="G180" s="32"/>
      <c r="H180" s="34"/>
      <c r="I180" s="34"/>
      <c r="J180" s="32"/>
      <c r="K180" s="32"/>
      <c r="L180" s="32"/>
    </row>
  </sheetData>
  <sheetCalcPr fullCalcOnLoad="1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9"/>
  <sheetViews>
    <sheetView topLeftCell="F1" workbookViewId="0">
      <pane ySplit="1" topLeftCell="A14" activePane="bottomLeft" state="frozen"/>
      <selection/>
      <selection pane="bottomLeft" activeCell="C2" sqref="C2"/>
    </sheetView>
  </sheetViews>
  <sheetFormatPr defaultColWidth="9" defaultRowHeight="14.25" customHeight="1"/>
  <cols>
    <col min="1" max="1" width="9" style="31"/>
    <col min="2" max="2" width="15.625" style="32" customWidth="1"/>
    <col min="3" max="3" width="15.625" style="33" customWidth="1"/>
    <col min="4" max="4" width="12.625" style="32" customWidth="1"/>
    <col min="5" max="6" width="14.125" style="32"/>
    <col min="7" max="7" width="9" style="32"/>
    <col min="8" max="8" width="14.125" style="34"/>
    <col min="9" max="9" width="11" style="34" customWidth="1"/>
    <col min="10" max="10" width="9.875" style="32" customWidth="1"/>
    <col min="11" max="12" width="9" style="32"/>
    <col min="13" max="14" width="9" style="30"/>
    <col min="15" max="15" width="14.125" style="30"/>
    <col min="16" max="16" width="12.625" style="30"/>
    <col min="17" max="16384" width="9" style="30"/>
  </cols>
  <sheetData>
    <row r="1" s="30" customFormat="1" ht="40.5" spans="1:17">
      <c r="A1" s="35" t="s">
        <v>0</v>
      </c>
      <c r="B1" s="35" t="s">
        <v>1</v>
      </c>
      <c r="C1" s="2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</row>
    <row r="2" s="30" customFormat="1" ht="20" customHeight="1" spans="1:17">
      <c r="A2" s="36">
        <v>46082</v>
      </c>
      <c r="B2" s="37">
        <v>9.5</v>
      </c>
      <c r="C2" s="38">
        <f ca="1">SUM(O2:O4)/B2</f>
        <v>1.04327485380117</v>
      </c>
      <c r="D2" s="39" t="s">
        <v>211</v>
      </c>
      <c r="E2" s="39" t="s">
        <v>212</v>
      </c>
      <c r="F2" s="37">
        <v>2000</v>
      </c>
      <c r="G2" s="39" t="s">
        <v>22</v>
      </c>
      <c r="H2" s="37">
        <f ca="1" t="array" ref="H2">INDEX(成本核算表!J:J,MATCH(1,(成本核算表!D:D=E2)*(成本核算表!C:C=G2),0))</f>
        <v>150</v>
      </c>
      <c r="I2" s="37">
        <v>33</v>
      </c>
      <c r="J2" s="37">
        <f ca="1" t="shared" ref="J2:J65" si="0">H2*I2</f>
        <v>4950</v>
      </c>
      <c r="K2" s="37"/>
      <c r="L2" s="37"/>
      <c r="M2" s="37"/>
      <c r="N2" s="37">
        <f ca="1" t="shared" ref="N2:N65" si="1">J2-M2+L2</f>
        <v>4950</v>
      </c>
      <c r="O2" s="37">
        <f ca="1" t="shared" ref="O2:O65" si="2">N2/3600</f>
        <v>1.375</v>
      </c>
      <c r="P2" s="37"/>
      <c r="Q2" s="37"/>
    </row>
    <row r="3" s="30" customFormat="1" ht="20" customHeight="1" spans="1:17">
      <c r="A3" s="36">
        <v>46082</v>
      </c>
      <c r="B3" s="37"/>
      <c r="C3" s="38"/>
      <c r="D3" s="39" t="s">
        <v>213</v>
      </c>
      <c r="E3" s="39" t="s">
        <v>214</v>
      </c>
      <c r="F3" s="37">
        <v>373</v>
      </c>
      <c r="G3" s="39" t="s">
        <v>22</v>
      </c>
      <c r="H3" s="37">
        <v>210</v>
      </c>
      <c r="I3" s="37">
        <v>93</v>
      </c>
      <c r="J3" s="37">
        <f t="shared" si="0"/>
        <v>19530</v>
      </c>
      <c r="K3" s="37"/>
      <c r="L3" s="37"/>
      <c r="M3" s="37"/>
      <c r="N3" s="37">
        <f t="shared" si="1"/>
        <v>19530</v>
      </c>
      <c r="O3" s="37">
        <f t="shared" si="2"/>
        <v>5.425</v>
      </c>
      <c r="P3" s="37"/>
      <c r="Q3" s="37"/>
    </row>
    <row r="4" s="30" customFormat="1" ht="20" customHeight="1" spans="1:17">
      <c r="A4" s="36">
        <v>46082</v>
      </c>
      <c r="B4" s="37"/>
      <c r="C4" s="38"/>
      <c r="D4" s="39" t="s">
        <v>215</v>
      </c>
      <c r="E4" s="39" t="s">
        <v>136</v>
      </c>
      <c r="F4" s="37">
        <v>190</v>
      </c>
      <c r="G4" s="39" t="s">
        <v>22</v>
      </c>
      <c r="H4" s="37">
        <f ca="1" t="array" ref="H4">INDEX(成本核算表!J:J,MATCH(1,(成本核算表!D:D=E4)*(成本核算表!C:C=G4),0))</f>
        <v>160</v>
      </c>
      <c r="I4" s="37">
        <v>70</v>
      </c>
      <c r="J4" s="37">
        <f ca="1" t="shared" si="0"/>
        <v>11200</v>
      </c>
      <c r="K4" s="37"/>
      <c r="L4" s="37"/>
      <c r="M4" s="37"/>
      <c r="N4" s="37">
        <f ca="1" t="shared" si="1"/>
        <v>11200</v>
      </c>
      <c r="O4" s="37">
        <f ca="1" t="shared" si="2"/>
        <v>3.11111111111111</v>
      </c>
      <c r="P4" s="37"/>
      <c r="Q4" s="37"/>
    </row>
    <row r="5" s="30" customFormat="1" ht="20" customHeight="1" spans="1:17">
      <c r="A5" s="36">
        <v>46083</v>
      </c>
      <c r="B5" s="37">
        <v>12</v>
      </c>
      <c r="C5" s="38">
        <f ca="1">SUM(O5:O6)/B5</f>
        <v>0.68287037037037</v>
      </c>
      <c r="D5" s="5" t="s">
        <v>63</v>
      </c>
      <c r="E5" s="5" t="s">
        <v>55</v>
      </c>
      <c r="F5" s="37">
        <v>950</v>
      </c>
      <c r="G5" s="5" t="s">
        <v>126</v>
      </c>
      <c r="H5" s="37">
        <f ca="1" t="array" ref="H5">INDEX(成本核算表!J:J,MATCH(1,(成本核算表!D:D=E5)*(成本核算表!C:C=G5),0))</f>
        <v>20</v>
      </c>
      <c r="I5" s="37">
        <f>2160/2</f>
        <v>1080</v>
      </c>
      <c r="J5" s="37">
        <f ca="1" t="shared" si="0"/>
        <v>21600</v>
      </c>
      <c r="K5" s="37"/>
      <c r="L5" s="37"/>
      <c r="M5" s="37"/>
      <c r="N5" s="37">
        <f ca="1" t="shared" si="1"/>
        <v>21600</v>
      </c>
      <c r="O5" s="37">
        <f ca="1" t="shared" si="2"/>
        <v>6</v>
      </c>
      <c r="P5" s="37"/>
      <c r="Q5" s="37"/>
    </row>
    <row r="6" s="30" customFormat="1" ht="20" customHeight="1" spans="1:17">
      <c r="A6" s="36">
        <v>46083</v>
      </c>
      <c r="B6" s="37"/>
      <c r="C6" s="38"/>
      <c r="D6" s="37"/>
      <c r="E6" s="5" t="s">
        <v>34</v>
      </c>
      <c r="F6" s="37"/>
      <c r="G6" s="5" t="s">
        <v>33</v>
      </c>
      <c r="H6" s="37">
        <f ca="1" t="array" ref="H6">INDEX(成本核算表!J:J,MATCH(1,(成本核算表!D:D=E6)*(成本核算表!C:C=G6),0))</f>
        <v>100</v>
      </c>
      <c r="I6" s="37">
        <f>158/2</f>
        <v>79</v>
      </c>
      <c r="J6" s="37">
        <f ca="1" t="shared" si="0"/>
        <v>7900</v>
      </c>
      <c r="K6" s="37"/>
      <c r="L6" s="37"/>
      <c r="M6" s="37"/>
      <c r="N6" s="37">
        <f ca="1" t="shared" si="1"/>
        <v>7900</v>
      </c>
      <c r="O6" s="37">
        <f ca="1" t="shared" si="2"/>
        <v>2.19444444444444</v>
      </c>
      <c r="P6" s="37"/>
      <c r="Q6" s="37"/>
    </row>
    <row r="7" s="30" customFormat="1" ht="20" customHeight="1" spans="1:17">
      <c r="A7" s="36">
        <v>46084</v>
      </c>
      <c r="B7" s="37">
        <v>12</v>
      </c>
      <c r="C7" s="38">
        <f ca="1">SUM(O7:O10)/B7</f>
        <v>0.575231481481482</v>
      </c>
      <c r="D7" s="37"/>
      <c r="E7" s="5" t="s">
        <v>34</v>
      </c>
      <c r="F7" s="37"/>
      <c r="G7" s="5" t="s">
        <v>33</v>
      </c>
      <c r="H7" s="37">
        <f ca="1" t="array" ref="H7">INDEX(成本核算表!J:J,MATCH(1,(成本核算表!D:D=E7)*(成本核算表!C:C=G7),0))</f>
        <v>100</v>
      </c>
      <c r="I7" s="37">
        <f>55/2</f>
        <v>27.5</v>
      </c>
      <c r="J7" s="37">
        <f ca="1" t="shared" si="0"/>
        <v>2750</v>
      </c>
      <c r="K7" s="37"/>
      <c r="L7" s="37"/>
      <c r="M7" s="37"/>
      <c r="N7" s="37">
        <f ca="1" t="shared" si="1"/>
        <v>2750</v>
      </c>
      <c r="O7" s="37">
        <f ca="1" t="shared" si="2"/>
        <v>0.763888888888889</v>
      </c>
      <c r="P7" s="37"/>
      <c r="Q7" s="37"/>
    </row>
    <row r="8" s="30" customFormat="1" ht="20" customHeight="1" spans="1:17">
      <c r="A8" s="36">
        <v>46084</v>
      </c>
      <c r="B8" s="37"/>
      <c r="C8" s="38"/>
      <c r="D8" s="5" t="s">
        <v>125</v>
      </c>
      <c r="E8" s="5" t="s">
        <v>55</v>
      </c>
      <c r="F8" s="37">
        <v>950</v>
      </c>
      <c r="G8" s="39" t="s">
        <v>126</v>
      </c>
      <c r="H8" s="37">
        <f ca="1" t="array" ref="H8">INDEX(成本核算表!J:J,MATCH(1,(成本核算表!D:D=E8)*(成本核算表!C:C=G8),0))</f>
        <v>20</v>
      </c>
      <c r="I8" s="37">
        <f>1030/2</f>
        <v>515</v>
      </c>
      <c r="J8" s="37">
        <f ca="1" t="shared" si="0"/>
        <v>10300</v>
      </c>
      <c r="K8" s="37"/>
      <c r="L8" s="37"/>
      <c r="M8" s="37"/>
      <c r="N8" s="37">
        <f ca="1" t="shared" si="1"/>
        <v>10300</v>
      </c>
      <c r="O8" s="37">
        <f ca="1" t="shared" si="2"/>
        <v>2.86111111111111</v>
      </c>
      <c r="P8" s="37"/>
      <c r="Q8" s="37"/>
    </row>
    <row r="9" s="30" customFormat="1" ht="20" customHeight="1" spans="1:17">
      <c r="A9" s="36">
        <v>46084</v>
      </c>
      <c r="B9" s="37"/>
      <c r="C9" s="38"/>
      <c r="D9" s="5" t="s">
        <v>127</v>
      </c>
      <c r="E9" s="5" t="s">
        <v>55</v>
      </c>
      <c r="F9" s="37">
        <v>1150</v>
      </c>
      <c r="G9" s="39" t="s">
        <v>126</v>
      </c>
      <c r="H9" s="37">
        <f ca="1" t="array" ref="H9">INDEX(成本核算表!J:J,MATCH(1,(成本核算表!D:D=E9)*(成本核算表!C:C=G9),0))</f>
        <v>20</v>
      </c>
      <c r="I9" s="37">
        <v>15</v>
      </c>
      <c r="J9" s="37">
        <f ca="1" t="shared" si="0"/>
        <v>300</v>
      </c>
      <c r="K9" s="37"/>
      <c r="L9" s="37"/>
      <c r="M9" s="37"/>
      <c r="N9" s="37">
        <f ca="1" t="shared" si="1"/>
        <v>300</v>
      </c>
      <c r="O9" s="37">
        <f ca="1" t="shared" si="2"/>
        <v>0.0833333333333333</v>
      </c>
      <c r="P9" s="37"/>
      <c r="Q9" s="37"/>
    </row>
    <row r="10" s="30" customFormat="1" ht="20" customHeight="1" spans="1:17">
      <c r="A10" s="36">
        <v>46084</v>
      </c>
      <c r="B10" s="37"/>
      <c r="C10" s="38"/>
      <c r="D10" s="5" t="s">
        <v>54</v>
      </c>
      <c r="E10" s="5" t="s">
        <v>55</v>
      </c>
      <c r="F10" s="37">
        <v>1150</v>
      </c>
      <c r="G10" s="39" t="s">
        <v>126</v>
      </c>
      <c r="H10" s="37">
        <f ca="1" t="array" ref="H10">INDEX(成本核算表!J:J,MATCH(1,(成本核算表!D:D=E10)*(成本核算表!C:C=G10),0))</f>
        <v>20</v>
      </c>
      <c r="I10" s="37">
        <f>1150/2</f>
        <v>575</v>
      </c>
      <c r="J10" s="37">
        <f ca="1" t="shared" si="0"/>
        <v>11500</v>
      </c>
      <c r="K10" s="37"/>
      <c r="L10" s="37"/>
      <c r="M10" s="37"/>
      <c r="N10" s="37">
        <f ca="1" t="shared" si="1"/>
        <v>11500</v>
      </c>
      <c r="O10" s="37">
        <f ca="1" t="shared" si="2"/>
        <v>3.19444444444444</v>
      </c>
      <c r="P10" s="37"/>
      <c r="Q10" s="37"/>
    </row>
    <row r="11" s="30" customFormat="1" ht="20" customHeight="1" spans="1:17">
      <c r="A11" s="36">
        <v>46085</v>
      </c>
      <c r="B11" s="37">
        <v>12</v>
      </c>
      <c r="C11" s="38">
        <f ca="1">SUM(O11:O17)/B11</f>
        <v>0.97962962962963</v>
      </c>
      <c r="D11" s="37"/>
      <c r="E11" s="5" t="s">
        <v>216</v>
      </c>
      <c r="F11" s="37">
        <v>1370</v>
      </c>
      <c r="G11" s="5" t="s">
        <v>22</v>
      </c>
      <c r="H11" s="37">
        <f ca="1" t="array" ref="H11">INDEX(成本核算表!J:J,MATCH(1,(成本核算表!D:D=E11)*(成本核算表!C:C=G11),0))</f>
        <v>100</v>
      </c>
      <c r="I11" s="37">
        <v>20</v>
      </c>
      <c r="J11" s="37">
        <f ca="1" t="shared" si="0"/>
        <v>2000</v>
      </c>
      <c r="K11" s="37"/>
      <c r="L11" s="37">
        <v>14400</v>
      </c>
      <c r="M11" s="37"/>
      <c r="N11" s="37">
        <f ca="1" t="shared" si="1"/>
        <v>16400</v>
      </c>
      <c r="O11" s="37">
        <f ca="1" t="shared" si="2"/>
        <v>4.55555555555556</v>
      </c>
      <c r="P11" s="37"/>
      <c r="Q11" s="37"/>
    </row>
    <row r="12" s="30" customFormat="1" ht="20" customHeight="1" spans="1:17">
      <c r="A12" s="36">
        <v>46085</v>
      </c>
      <c r="B12" s="37"/>
      <c r="C12" s="38"/>
      <c r="D12" s="37"/>
      <c r="E12" s="5" t="s">
        <v>216</v>
      </c>
      <c r="F12" s="37">
        <v>1860</v>
      </c>
      <c r="G12" s="5" t="s">
        <v>22</v>
      </c>
      <c r="H12" s="37">
        <f ca="1" t="array" ref="H12">INDEX(成本核算表!J:J,MATCH(1,(成本核算表!D:D=E12)*(成本核算表!C:C=G12),0))</f>
        <v>100</v>
      </c>
      <c r="I12" s="37">
        <v>28</v>
      </c>
      <c r="J12" s="37">
        <f ca="1" t="shared" si="0"/>
        <v>2800</v>
      </c>
      <c r="K12" s="37"/>
      <c r="L12" s="37"/>
      <c r="M12" s="37"/>
      <c r="N12" s="37">
        <f ca="1" t="shared" si="1"/>
        <v>2800</v>
      </c>
      <c r="O12" s="37">
        <f ca="1" t="shared" si="2"/>
        <v>0.777777777777778</v>
      </c>
      <c r="P12" s="37"/>
      <c r="Q12" s="37"/>
    </row>
    <row r="13" s="30" customFormat="1" ht="20" customHeight="1" spans="1:17">
      <c r="A13" s="36">
        <v>46085</v>
      </c>
      <c r="B13" s="37"/>
      <c r="C13" s="38"/>
      <c r="D13" s="37"/>
      <c r="E13" s="5" t="s">
        <v>216</v>
      </c>
      <c r="F13" s="37">
        <v>255</v>
      </c>
      <c r="G13" s="5" t="s">
        <v>22</v>
      </c>
      <c r="H13" s="37">
        <f ca="1" t="array" ref="H13">INDEX(成本核算表!J:J,MATCH(1,(成本核算表!D:D=E13)*(成本核算表!C:C=G13),0))</f>
        <v>100</v>
      </c>
      <c r="I13" s="37">
        <v>8</v>
      </c>
      <c r="J13" s="37">
        <f ca="1" t="shared" si="0"/>
        <v>800</v>
      </c>
      <c r="K13" s="37"/>
      <c r="L13" s="37"/>
      <c r="M13" s="37"/>
      <c r="N13" s="37">
        <f ca="1" t="shared" si="1"/>
        <v>800</v>
      </c>
      <c r="O13" s="37">
        <f ca="1" t="shared" si="2"/>
        <v>0.222222222222222</v>
      </c>
      <c r="P13" s="37"/>
      <c r="Q13" s="37"/>
    </row>
    <row r="14" s="30" customFormat="1" ht="20" customHeight="1" spans="1:17">
      <c r="A14" s="36">
        <v>46085</v>
      </c>
      <c r="B14" s="37"/>
      <c r="C14" s="38"/>
      <c r="D14" s="37"/>
      <c r="E14" s="5" t="s">
        <v>217</v>
      </c>
      <c r="F14" s="37">
        <v>400</v>
      </c>
      <c r="G14" s="5" t="s">
        <v>24</v>
      </c>
      <c r="H14" s="37">
        <f ca="1" t="array" ref="H14">INDEX(成本核算表!J:J,MATCH(1,(成本核算表!D:D=E14)*(成本核算表!C:C=G14),0))</f>
        <v>210</v>
      </c>
      <c r="I14" s="37">
        <v>36</v>
      </c>
      <c r="J14" s="37">
        <f ca="1" t="shared" si="0"/>
        <v>7560</v>
      </c>
      <c r="K14" s="37"/>
      <c r="L14" s="37"/>
      <c r="M14" s="37"/>
      <c r="N14" s="37">
        <f ca="1" t="shared" si="1"/>
        <v>7560</v>
      </c>
      <c r="O14" s="37">
        <f ca="1" t="shared" si="2"/>
        <v>2.1</v>
      </c>
      <c r="P14" s="37"/>
      <c r="Q14" s="37"/>
    </row>
    <row r="15" s="30" customFormat="1" ht="20" customHeight="1" spans="1:17">
      <c r="A15" s="36">
        <v>46085</v>
      </c>
      <c r="B15" s="37"/>
      <c r="C15" s="38"/>
      <c r="D15" s="37"/>
      <c r="E15" s="5" t="s">
        <v>218</v>
      </c>
      <c r="F15" s="37">
        <v>400</v>
      </c>
      <c r="G15" s="5" t="s">
        <v>126</v>
      </c>
      <c r="H15" s="37">
        <f ca="1" t="array" ref="H15">INDEX(成本核算表!J:J,MATCH(1,(成本核算表!D:D=E15)*(成本核算表!C:C=G15),0))</f>
        <v>45</v>
      </c>
      <c r="I15" s="37">
        <v>36</v>
      </c>
      <c r="J15" s="37">
        <f ca="1" t="shared" si="0"/>
        <v>1620</v>
      </c>
      <c r="K15" s="37"/>
      <c r="L15" s="37"/>
      <c r="M15" s="37"/>
      <c r="N15" s="37">
        <f ca="1" t="shared" si="1"/>
        <v>1620</v>
      </c>
      <c r="O15" s="37">
        <f ca="1" t="shared" si="2"/>
        <v>0.45</v>
      </c>
      <c r="P15" s="37"/>
      <c r="Q15" s="37"/>
    </row>
    <row r="16" s="30" customFormat="1" ht="20" customHeight="1" spans="1:17">
      <c r="A16" s="36">
        <v>46085</v>
      </c>
      <c r="B16" s="37"/>
      <c r="C16" s="38"/>
      <c r="D16" s="37"/>
      <c r="E16" s="5" t="s">
        <v>219</v>
      </c>
      <c r="F16" s="37">
        <v>400</v>
      </c>
      <c r="G16" s="5" t="s">
        <v>24</v>
      </c>
      <c r="H16" s="37">
        <f ca="1" t="array" ref="H16">INDEX(成本核算表!J:J,MATCH(1,(成本核算表!D:D=E16)*(成本核算表!C:C=G16),0))</f>
        <v>260</v>
      </c>
      <c r="I16" s="37">
        <v>36</v>
      </c>
      <c r="J16" s="37">
        <f ca="1" t="shared" si="0"/>
        <v>9360</v>
      </c>
      <c r="K16" s="37"/>
      <c r="L16" s="37"/>
      <c r="M16" s="37"/>
      <c r="N16" s="37">
        <f ca="1" t="shared" si="1"/>
        <v>9360</v>
      </c>
      <c r="O16" s="37">
        <f ca="1" t="shared" si="2"/>
        <v>2.6</v>
      </c>
      <c r="P16" s="37"/>
      <c r="Q16" s="37"/>
    </row>
    <row r="17" s="30" customFormat="1" ht="20" customHeight="1" spans="1:17">
      <c r="A17" s="36">
        <v>46085</v>
      </c>
      <c r="B17" s="37"/>
      <c r="C17" s="38"/>
      <c r="D17" s="37"/>
      <c r="E17" s="5" t="s">
        <v>23</v>
      </c>
      <c r="F17" s="37"/>
      <c r="G17" s="5" t="s">
        <v>126</v>
      </c>
      <c r="H17" s="37">
        <v>45</v>
      </c>
      <c r="I17" s="37">
        <v>84</v>
      </c>
      <c r="J17" s="37">
        <f t="shared" si="0"/>
        <v>3780</v>
      </c>
      <c r="K17" s="37"/>
      <c r="L17" s="37"/>
      <c r="M17" s="37"/>
      <c r="N17" s="37">
        <f t="shared" si="1"/>
        <v>3780</v>
      </c>
      <c r="O17" s="37">
        <f t="shared" si="2"/>
        <v>1.05</v>
      </c>
      <c r="P17" s="37"/>
      <c r="Q17" s="37"/>
    </row>
    <row r="18" s="30" customFormat="1" ht="20" customHeight="1" spans="1:17">
      <c r="A18" s="36">
        <v>46086</v>
      </c>
      <c r="B18" s="37">
        <v>12</v>
      </c>
      <c r="C18" s="38">
        <f ca="1">SUM(O18:O22)/B18</f>
        <v>0.932407407407407</v>
      </c>
      <c r="D18" s="37"/>
      <c r="E18" s="5" t="s">
        <v>136</v>
      </c>
      <c r="F18" s="37"/>
      <c r="G18" s="5" t="s">
        <v>22</v>
      </c>
      <c r="H18" s="37">
        <f ca="1" t="array" ref="H18">INDEX(成本核算表!J:J,MATCH(1,(成本核算表!D:D=E18)*(成本核算表!C:C=G18),0))</f>
        <v>160</v>
      </c>
      <c r="I18" s="37">
        <f>22+28+14+18+14</f>
        <v>96</v>
      </c>
      <c r="J18" s="37">
        <f ca="1" t="shared" si="0"/>
        <v>15360</v>
      </c>
      <c r="K18" s="37"/>
      <c r="L18" s="37"/>
      <c r="M18" s="37"/>
      <c r="N18" s="37">
        <f ca="1" t="shared" si="1"/>
        <v>15360</v>
      </c>
      <c r="O18" s="37">
        <f ca="1" t="shared" si="2"/>
        <v>4.26666666666667</v>
      </c>
      <c r="P18" s="37"/>
      <c r="Q18" s="37"/>
    </row>
    <row r="19" s="30" customFormat="1" ht="20" customHeight="1" spans="1:17">
      <c r="A19" s="36">
        <v>46086</v>
      </c>
      <c r="B19" s="37"/>
      <c r="C19" s="38"/>
      <c r="D19" s="37"/>
      <c r="E19" s="5" t="s">
        <v>34</v>
      </c>
      <c r="F19" s="37"/>
      <c r="G19" s="39" t="s">
        <v>126</v>
      </c>
      <c r="H19" s="37">
        <f ca="1" t="array" ref="H19">INDEX(成本核算表!J:J,MATCH(1,(成本核算表!D:D=E19)*(成本核算表!C:C=G19),0))</f>
        <v>120</v>
      </c>
      <c r="I19" s="37">
        <f>38+33</f>
        <v>71</v>
      </c>
      <c r="J19" s="37">
        <f ca="1" t="shared" si="0"/>
        <v>8520</v>
      </c>
      <c r="K19" s="37"/>
      <c r="L19" s="37"/>
      <c r="M19" s="37"/>
      <c r="N19" s="37">
        <f ca="1" t="shared" si="1"/>
        <v>8520</v>
      </c>
      <c r="O19" s="37">
        <f ca="1" t="shared" si="2"/>
        <v>2.36666666666667</v>
      </c>
      <c r="P19" s="37"/>
      <c r="Q19" s="37"/>
    </row>
    <row r="20" s="30" customFormat="1" ht="20" customHeight="1" spans="1:17">
      <c r="A20" s="36">
        <v>46086</v>
      </c>
      <c r="B20" s="37"/>
      <c r="C20" s="38"/>
      <c r="D20" s="37"/>
      <c r="E20" s="5" t="s">
        <v>217</v>
      </c>
      <c r="F20" s="37"/>
      <c r="G20" s="5" t="s">
        <v>24</v>
      </c>
      <c r="H20" s="37">
        <f ca="1" t="array" ref="H20">INDEX(成本核算表!J:J,MATCH(1,(成本核算表!D:D=E20)*(成本核算表!C:C=G20),0))</f>
        <v>210</v>
      </c>
      <c r="I20" s="37">
        <v>20</v>
      </c>
      <c r="J20" s="37">
        <f ca="1" t="shared" si="0"/>
        <v>4200</v>
      </c>
      <c r="K20" s="37"/>
      <c r="L20" s="37"/>
      <c r="M20" s="37"/>
      <c r="N20" s="37">
        <f ca="1" t="shared" si="1"/>
        <v>4200</v>
      </c>
      <c r="O20" s="37">
        <f ca="1" t="shared" si="2"/>
        <v>1.16666666666667</v>
      </c>
      <c r="P20" s="37"/>
      <c r="Q20" s="37"/>
    </row>
    <row r="21" s="30" customFormat="1" ht="20" customHeight="1" spans="1:17">
      <c r="A21" s="36">
        <v>46086</v>
      </c>
      <c r="B21" s="37"/>
      <c r="C21" s="38"/>
      <c r="D21" s="37"/>
      <c r="E21" s="5" t="s">
        <v>219</v>
      </c>
      <c r="F21" s="37"/>
      <c r="G21" s="5" t="s">
        <v>24</v>
      </c>
      <c r="H21" s="37">
        <f ca="1" t="array" ref="H21">INDEX(成本核算表!J:J,MATCH(1,(成本核算表!D:D=E21)*(成本核算表!C:C=G21),0))</f>
        <v>260</v>
      </c>
      <c r="I21" s="37">
        <v>40</v>
      </c>
      <c r="J21" s="37">
        <f ca="1" t="shared" si="0"/>
        <v>10400</v>
      </c>
      <c r="K21" s="37"/>
      <c r="L21" s="37"/>
      <c r="M21" s="37"/>
      <c r="N21" s="37">
        <f ca="1" t="shared" si="1"/>
        <v>10400</v>
      </c>
      <c r="O21" s="37">
        <f ca="1" t="shared" si="2"/>
        <v>2.88888888888889</v>
      </c>
      <c r="P21" s="37"/>
      <c r="Q21" s="37"/>
    </row>
    <row r="22" s="30" customFormat="1" ht="20" customHeight="1" spans="1:17">
      <c r="A22" s="36">
        <v>46086</v>
      </c>
      <c r="B22" s="37"/>
      <c r="C22" s="38"/>
      <c r="D22" s="37"/>
      <c r="E22" s="5" t="s">
        <v>23</v>
      </c>
      <c r="F22" s="37"/>
      <c r="G22" s="5" t="s">
        <v>126</v>
      </c>
      <c r="H22" s="37">
        <v>45</v>
      </c>
      <c r="I22" s="37">
        <v>40</v>
      </c>
      <c r="J22" s="37">
        <f t="shared" si="0"/>
        <v>1800</v>
      </c>
      <c r="K22" s="37"/>
      <c r="L22" s="37"/>
      <c r="M22" s="37"/>
      <c r="N22" s="37">
        <f t="shared" si="1"/>
        <v>1800</v>
      </c>
      <c r="O22" s="37">
        <f t="shared" si="2"/>
        <v>0.5</v>
      </c>
      <c r="P22" s="37"/>
      <c r="Q22" s="37"/>
    </row>
    <row r="23" s="30" customFormat="1" ht="20" customHeight="1" spans="1:17">
      <c r="A23" s="36">
        <v>46087</v>
      </c>
      <c r="B23" s="37">
        <v>12</v>
      </c>
      <c r="C23" s="38">
        <f ca="1">SUM(O23:O24)/B23</f>
        <v>0.999537037037037</v>
      </c>
      <c r="D23" s="37"/>
      <c r="E23" s="5" t="s">
        <v>32</v>
      </c>
      <c r="F23" s="37"/>
      <c r="G23" s="5" t="s">
        <v>33</v>
      </c>
      <c r="H23" s="37">
        <f ca="1" t="array" ref="H23">INDEX(成本核算表!J:J,MATCH(1,(成本核算表!D:D=E23)*(成本核算表!C:C=G23),0))</f>
        <v>100</v>
      </c>
      <c r="I23" s="37">
        <f>10+14+4+25+32+10+27+34+10</f>
        <v>166</v>
      </c>
      <c r="J23" s="37">
        <f ca="1" t="shared" si="0"/>
        <v>16600</v>
      </c>
      <c r="K23" s="37"/>
      <c r="L23" s="37">
        <v>25200</v>
      </c>
      <c r="M23" s="37"/>
      <c r="N23" s="37">
        <f ca="1" t="shared" si="1"/>
        <v>41800</v>
      </c>
      <c r="O23" s="37">
        <f ca="1" t="shared" si="2"/>
        <v>11.6111111111111</v>
      </c>
      <c r="P23" s="37"/>
      <c r="Q23" s="37"/>
    </row>
    <row r="24" s="30" customFormat="1" ht="20" customHeight="1" spans="1:17">
      <c r="A24" s="36">
        <v>46087</v>
      </c>
      <c r="B24" s="37"/>
      <c r="C24" s="38"/>
      <c r="D24" s="37"/>
      <c r="E24" s="5" t="s">
        <v>220</v>
      </c>
      <c r="F24" s="37"/>
      <c r="G24" s="5" t="s">
        <v>44</v>
      </c>
      <c r="H24" s="37">
        <f ca="1" t="array" ref="H24">INDEX(成本核算表!J:J,MATCH(1,(成本核算表!D:D=E24)*(成本核算表!C:C=G24),0))</f>
        <v>30</v>
      </c>
      <c r="I24" s="37">
        <v>46</v>
      </c>
      <c r="J24" s="37">
        <f ca="1" t="shared" si="0"/>
        <v>1380</v>
      </c>
      <c r="K24" s="37"/>
      <c r="L24" s="37"/>
      <c r="M24" s="37"/>
      <c r="N24" s="37">
        <f ca="1" t="shared" si="1"/>
        <v>1380</v>
      </c>
      <c r="O24" s="37">
        <f ca="1" t="shared" si="2"/>
        <v>0.383333333333333</v>
      </c>
      <c r="P24" s="37"/>
      <c r="Q24" s="37"/>
    </row>
    <row r="25" s="30" customFormat="1" ht="20" customHeight="1" spans="1:17">
      <c r="A25" s="36">
        <v>46088</v>
      </c>
      <c r="B25" s="37">
        <v>12</v>
      </c>
      <c r="C25" s="38">
        <f ca="1">SUM(O25:O29)/B25</f>
        <v>1.00949074074074</v>
      </c>
      <c r="D25" s="37"/>
      <c r="E25" s="5" t="s">
        <v>217</v>
      </c>
      <c r="F25" s="37"/>
      <c r="G25" s="5" t="s">
        <v>24</v>
      </c>
      <c r="H25" s="37">
        <f ca="1" t="array" ref="H25">INDEX(成本核算表!J:J,MATCH(1,(成本核算表!D:D=E25)*(成本核算表!C:C=G25),0))</f>
        <v>210</v>
      </c>
      <c r="I25" s="37">
        <f>6+14+6+37+8</f>
        <v>71</v>
      </c>
      <c r="J25" s="37">
        <f ca="1" t="shared" si="0"/>
        <v>14910</v>
      </c>
      <c r="K25" s="37"/>
      <c r="L25" s="37"/>
      <c r="M25" s="37"/>
      <c r="N25" s="37">
        <f ca="1" t="shared" si="1"/>
        <v>14910</v>
      </c>
      <c r="O25" s="37">
        <f ca="1" t="shared" si="2"/>
        <v>4.14166666666667</v>
      </c>
      <c r="P25" s="37"/>
      <c r="Q25" s="37"/>
    </row>
    <row r="26" s="30" customFormat="1" ht="20" customHeight="1" spans="1:17">
      <c r="A26" s="36">
        <v>46088</v>
      </c>
      <c r="B26" s="37"/>
      <c r="C26" s="38"/>
      <c r="D26" s="37"/>
      <c r="E26" s="5" t="s">
        <v>23</v>
      </c>
      <c r="F26" s="37"/>
      <c r="G26" s="5" t="s">
        <v>126</v>
      </c>
      <c r="H26" s="37">
        <v>45</v>
      </c>
      <c r="I26" s="37">
        <v>52</v>
      </c>
      <c r="J26" s="37">
        <f t="shared" si="0"/>
        <v>2340</v>
      </c>
      <c r="K26" s="37"/>
      <c r="L26" s="37"/>
      <c r="M26" s="37"/>
      <c r="N26" s="37">
        <f t="shared" si="1"/>
        <v>2340</v>
      </c>
      <c r="O26" s="37">
        <f t="shared" si="2"/>
        <v>0.65</v>
      </c>
      <c r="P26" s="37"/>
      <c r="Q26" s="37"/>
    </row>
    <row r="27" s="30" customFormat="1" ht="20" customHeight="1" spans="1:17">
      <c r="A27" s="36">
        <v>46088</v>
      </c>
      <c r="B27" s="37"/>
      <c r="C27" s="38"/>
      <c r="D27" s="5" t="s">
        <v>221</v>
      </c>
      <c r="E27" s="5" t="s">
        <v>207</v>
      </c>
      <c r="F27" s="37">
        <v>380.85</v>
      </c>
      <c r="G27" s="5" t="s">
        <v>22</v>
      </c>
      <c r="H27" s="37">
        <f ca="1" t="array" ref="H27">INDEX(成本核算表!J:J,MATCH(1,(成本核算表!D:D=E27)*(成本核算表!C:C=G27),0))</f>
        <v>360</v>
      </c>
      <c r="I27" s="37">
        <v>25</v>
      </c>
      <c r="J27" s="37">
        <f ca="1" t="shared" si="0"/>
        <v>9000</v>
      </c>
      <c r="K27" s="37"/>
      <c r="L27" s="37"/>
      <c r="M27" s="37"/>
      <c r="N27" s="37">
        <f ca="1" t="shared" si="1"/>
        <v>9000</v>
      </c>
      <c r="O27" s="37">
        <f ca="1" t="shared" si="2"/>
        <v>2.5</v>
      </c>
      <c r="P27" s="37"/>
      <c r="Q27" s="37"/>
    </row>
    <row r="28" s="30" customFormat="1" ht="20" customHeight="1" spans="1:17">
      <c r="A28" s="36">
        <v>46088</v>
      </c>
      <c r="B28" s="37"/>
      <c r="C28" s="38"/>
      <c r="D28" s="37"/>
      <c r="E28" s="5" t="s">
        <v>34</v>
      </c>
      <c r="F28" s="37"/>
      <c r="G28" s="5" t="s">
        <v>33</v>
      </c>
      <c r="H28" s="37">
        <f ca="1" t="array" ref="H28">INDEX(成本核算表!J:J,MATCH(1,(成本核算表!D:D=E28)*(成本核算表!C:C=G28),0))</f>
        <v>100</v>
      </c>
      <c r="I28" s="37">
        <f>23+26+26+8+5+3+10+5</f>
        <v>106</v>
      </c>
      <c r="J28" s="37">
        <f ca="1" t="shared" si="0"/>
        <v>10600</v>
      </c>
      <c r="K28" s="37"/>
      <c r="L28" s="37"/>
      <c r="M28" s="37"/>
      <c r="N28" s="37">
        <f ca="1" t="shared" si="1"/>
        <v>10600</v>
      </c>
      <c r="O28" s="37">
        <f ca="1" t="shared" si="2"/>
        <v>2.94444444444444</v>
      </c>
      <c r="P28" s="37"/>
      <c r="Q28" s="37"/>
    </row>
    <row r="29" s="30" customFormat="1" ht="20" customHeight="1" spans="1:17">
      <c r="A29" s="36">
        <v>46088</v>
      </c>
      <c r="B29" s="37"/>
      <c r="C29" s="38"/>
      <c r="D29" s="37"/>
      <c r="E29" s="5" t="s">
        <v>219</v>
      </c>
      <c r="F29" s="37"/>
      <c r="G29" s="5" t="s">
        <v>24</v>
      </c>
      <c r="H29" s="37">
        <f ca="1" t="array" ref="H29">INDEX(成本核算表!J:J,MATCH(1,(成本核算表!D:D=E29)*(成本核算表!C:C=G29),0))</f>
        <v>260</v>
      </c>
      <c r="I29" s="37">
        <f>6+6+8+6</f>
        <v>26</v>
      </c>
      <c r="J29" s="37">
        <f ca="1" t="shared" si="0"/>
        <v>6760</v>
      </c>
      <c r="K29" s="37"/>
      <c r="L29" s="37"/>
      <c r="M29" s="37"/>
      <c r="N29" s="37">
        <f ca="1" t="shared" si="1"/>
        <v>6760</v>
      </c>
      <c r="O29" s="37">
        <f ca="1" t="shared" si="2"/>
        <v>1.87777777777778</v>
      </c>
      <c r="P29" s="37"/>
      <c r="Q29" s="37"/>
    </row>
    <row r="30" s="30" customFormat="1" ht="20" customHeight="1" spans="1:17">
      <c r="A30" s="37"/>
      <c r="B30" s="37"/>
      <c r="C30" s="38"/>
      <c r="D30" s="37"/>
      <c r="E30" s="37"/>
      <c r="F30" s="37"/>
      <c r="G30" s="37"/>
      <c r="H30" s="37"/>
      <c r="I30" s="37"/>
      <c r="J30" s="37">
        <f t="shared" si="0"/>
        <v>0</v>
      </c>
      <c r="K30" s="37"/>
      <c r="L30" s="37"/>
      <c r="M30" s="37"/>
      <c r="N30" s="37">
        <f t="shared" si="1"/>
        <v>0</v>
      </c>
      <c r="O30" s="37">
        <f t="shared" si="2"/>
        <v>0</v>
      </c>
      <c r="P30" s="37"/>
      <c r="Q30" s="37"/>
    </row>
    <row r="31" s="30" customFormat="1" ht="20" customHeight="1" spans="1:17">
      <c r="A31" s="36">
        <v>46090</v>
      </c>
      <c r="B31" s="37">
        <v>11</v>
      </c>
      <c r="C31" s="38">
        <f ca="1" t="shared" ref="C31:C36" si="3">SUM(O31:O32)/B31</f>
        <v>1.0155303030303</v>
      </c>
      <c r="D31" s="5" t="s">
        <v>40</v>
      </c>
      <c r="E31" s="5" t="s">
        <v>36</v>
      </c>
      <c r="F31" s="37">
        <v>119.5</v>
      </c>
      <c r="G31" s="5" t="s">
        <v>37</v>
      </c>
      <c r="H31" s="37">
        <f ca="1" t="array" ref="H31">INDEX(成本核算表!J:J,MATCH(1,(成本核算表!D:D=E31)*(成本核算表!C:C=G31),0))</f>
        <v>15</v>
      </c>
      <c r="I31" s="37">
        <v>2585</v>
      </c>
      <c r="J31" s="37">
        <f ca="1" t="shared" si="0"/>
        <v>38775</v>
      </c>
      <c r="K31" s="37"/>
      <c r="L31" s="37"/>
      <c r="M31" s="37"/>
      <c r="N31" s="37">
        <f ca="1" t="shared" si="1"/>
        <v>38775</v>
      </c>
      <c r="O31" s="37">
        <f ca="1" t="shared" si="2"/>
        <v>10.7708333333333</v>
      </c>
      <c r="P31" s="37"/>
      <c r="Q31" s="37"/>
    </row>
    <row r="32" s="30" customFormat="1" ht="20" customHeight="1" spans="1:17">
      <c r="A32" s="36">
        <v>46090</v>
      </c>
      <c r="B32" s="37"/>
      <c r="C32" s="38"/>
      <c r="D32" s="5"/>
      <c r="E32" s="5" t="s">
        <v>34</v>
      </c>
      <c r="F32" s="37">
        <v>140</v>
      </c>
      <c r="G32" s="5" t="s">
        <v>126</v>
      </c>
      <c r="H32" s="37">
        <f ca="1" t="array" ref="H32">INDEX(成本核算表!J:J,MATCH(1,(成本核算表!D:D=E32)*(成本核算表!C:C=G32),0))</f>
        <v>120</v>
      </c>
      <c r="I32" s="37">
        <v>12</v>
      </c>
      <c r="J32" s="37">
        <f ca="1" t="shared" si="0"/>
        <v>1440</v>
      </c>
      <c r="K32" s="37"/>
      <c r="L32" s="37"/>
      <c r="M32" s="37"/>
      <c r="N32" s="37">
        <f ca="1" t="shared" si="1"/>
        <v>1440</v>
      </c>
      <c r="O32" s="37">
        <f ca="1" t="shared" si="2"/>
        <v>0.4</v>
      </c>
      <c r="P32" s="37"/>
      <c r="Q32" s="37"/>
    </row>
    <row r="33" s="30" customFormat="1" ht="20" customHeight="1" spans="1:17">
      <c r="A33" s="36">
        <v>46091</v>
      </c>
      <c r="B33" s="37">
        <v>11</v>
      </c>
      <c r="C33" s="38">
        <f ca="1" t="shared" si="3"/>
        <v>1.13939393939394</v>
      </c>
      <c r="D33" s="5" t="s">
        <v>40</v>
      </c>
      <c r="E33" s="5" t="s">
        <v>36</v>
      </c>
      <c r="F33" s="37">
        <v>119.5</v>
      </c>
      <c r="G33" s="5" t="s">
        <v>37</v>
      </c>
      <c r="H33" s="37">
        <f ca="1" t="array" ref="H33">INDEX(成本核算表!J:J,MATCH(1,(成本核算表!D:D=E33)*(成本核算表!C:C=G33),0))</f>
        <v>15</v>
      </c>
      <c r="I33" s="37">
        <v>2560</v>
      </c>
      <c r="J33" s="37">
        <f ca="1" t="shared" si="0"/>
        <v>38400</v>
      </c>
      <c r="K33" s="37"/>
      <c r="L33" s="37"/>
      <c r="M33" s="37"/>
      <c r="N33" s="37">
        <f ca="1" t="shared" si="1"/>
        <v>38400</v>
      </c>
      <c r="O33" s="37">
        <f ca="1" t="shared" si="2"/>
        <v>10.6666666666667</v>
      </c>
      <c r="P33" s="37"/>
      <c r="Q33" s="37"/>
    </row>
    <row r="34" s="30" customFormat="1" ht="20" customHeight="1" spans="1:17">
      <c r="A34" s="36">
        <v>46091</v>
      </c>
      <c r="B34" s="37"/>
      <c r="C34" s="38"/>
      <c r="D34" s="5"/>
      <c r="E34" s="5" t="s">
        <v>34</v>
      </c>
      <c r="F34" s="37">
        <v>140</v>
      </c>
      <c r="G34" s="5" t="s">
        <v>126</v>
      </c>
      <c r="H34" s="37">
        <f ca="1" t="array" ref="H34">INDEX(成本核算表!J:J,MATCH(1,(成本核算表!D:D=E34)*(成本核算表!C:C=G34),0))</f>
        <v>120</v>
      </c>
      <c r="I34" s="37">
        <v>56</v>
      </c>
      <c r="J34" s="37">
        <f ca="1" t="shared" si="0"/>
        <v>6720</v>
      </c>
      <c r="K34" s="37"/>
      <c r="L34" s="37"/>
      <c r="M34" s="37"/>
      <c r="N34" s="37">
        <f ca="1" t="shared" si="1"/>
        <v>6720</v>
      </c>
      <c r="O34" s="37">
        <f ca="1" t="shared" si="2"/>
        <v>1.86666666666667</v>
      </c>
      <c r="P34" s="37"/>
      <c r="Q34" s="37"/>
    </row>
    <row r="35" s="30" customFormat="1" ht="20" customHeight="1" spans="1:17">
      <c r="A35" s="36">
        <v>46092</v>
      </c>
      <c r="B35" s="37">
        <v>11</v>
      </c>
      <c r="C35" s="38">
        <f ca="1" t="shared" si="3"/>
        <v>1.47272727272727</v>
      </c>
      <c r="D35" s="5" t="s">
        <v>40</v>
      </c>
      <c r="E35" s="5" t="s">
        <v>36</v>
      </c>
      <c r="F35" s="37">
        <v>119.5</v>
      </c>
      <c r="G35" s="5" t="s">
        <v>37</v>
      </c>
      <c r="H35" s="37">
        <f ca="1" t="array" ref="H35">INDEX(成本核算表!J:J,MATCH(1,(成本核算表!D:D=E35)*(成本核算表!C:C=G35),0))</f>
        <v>15</v>
      </c>
      <c r="I35" s="37">
        <v>2688</v>
      </c>
      <c r="J35" s="37">
        <f ca="1" t="shared" si="0"/>
        <v>40320</v>
      </c>
      <c r="K35" s="37"/>
      <c r="L35" s="37"/>
      <c r="M35" s="37"/>
      <c r="N35" s="37">
        <f ca="1" t="shared" si="1"/>
        <v>40320</v>
      </c>
      <c r="O35" s="37">
        <f ca="1" t="shared" si="2"/>
        <v>11.2</v>
      </c>
      <c r="P35" s="37"/>
      <c r="Q35" s="37"/>
    </row>
    <row r="36" s="30" customFormat="1" ht="20" customHeight="1" spans="1:17">
      <c r="A36" s="36">
        <v>46093</v>
      </c>
      <c r="B36" s="37">
        <v>11</v>
      </c>
      <c r="C36" s="38">
        <f ca="1">SUM(O36:O39)/B36</f>
        <v>0.911363636363636</v>
      </c>
      <c r="D36" s="5" t="s">
        <v>106</v>
      </c>
      <c r="E36" s="5" t="s">
        <v>34</v>
      </c>
      <c r="F36" s="37"/>
      <c r="G36" s="5" t="s">
        <v>126</v>
      </c>
      <c r="H36" s="37">
        <f ca="1" t="array" ref="H36">INDEX(成本核算表!J:J,MATCH(1,(成本核算表!D:D=E36)*(成本核算表!C:C=G36),0))</f>
        <v>120</v>
      </c>
      <c r="I36" s="37">
        <f>57+21+28+18+20+6</f>
        <v>150</v>
      </c>
      <c r="J36" s="37">
        <f ca="1" t="shared" si="0"/>
        <v>18000</v>
      </c>
      <c r="K36" s="37"/>
      <c r="L36" s="37"/>
      <c r="M36" s="37"/>
      <c r="N36" s="37">
        <f ca="1" t="shared" si="1"/>
        <v>18000</v>
      </c>
      <c r="O36" s="37">
        <f ca="1" t="shared" si="2"/>
        <v>5</v>
      </c>
      <c r="P36" s="37"/>
      <c r="Q36" s="37"/>
    </row>
    <row r="37" s="30" customFormat="1" ht="20" customHeight="1" spans="1:17">
      <c r="A37" s="36">
        <v>46093</v>
      </c>
      <c r="B37" s="37"/>
      <c r="C37" s="38"/>
      <c r="D37" s="5" t="s">
        <v>106</v>
      </c>
      <c r="E37" s="5" t="s">
        <v>23</v>
      </c>
      <c r="F37" s="37"/>
      <c r="G37" s="5" t="s">
        <v>126</v>
      </c>
      <c r="H37" s="37">
        <v>45</v>
      </c>
      <c r="I37" s="37">
        <v>36</v>
      </c>
      <c r="J37" s="37">
        <f t="shared" si="0"/>
        <v>1620</v>
      </c>
      <c r="K37" s="37"/>
      <c r="L37" s="37"/>
      <c r="M37" s="37"/>
      <c r="N37" s="37">
        <f t="shared" si="1"/>
        <v>1620</v>
      </c>
      <c r="O37" s="37">
        <f t="shared" si="2"/>
        <v>0.45</v>
      </c>
      <c r="P37" s="37"/>
      <c r="Q37" s="37"/>
    </row>
    <row r="38" s="30" customFormat="1" ht="20" customHeight="1" spans="1:17">
      <c r="A38" s="36">
        <v>46093</v>
      </c>
      <c r="B38" s="37"/>
      <c r="C38" s="38"/>
      <c r="D38" s="5" t="s">
        <v>106</v>
      </c>
      <c r="E38" s="5" t="s">
        <v>220</v>
      </c>
      <c r="F38" s="37"/>
      <c r="G38" s="5" t="s">
        <v>44</v>
      </c>
      <c r="H38" s="37">
        <f ca="1" t="array" ref="H38">INDEX(成本核算表!J:J,MATCH(1,(成本核算表!D:D=E38)*(成本核算表!C:C=G38),0))</f>
        <v>30</v>
      </c>
      <c r="I38" s="37">
        <v>8</v>
      </c>
      <c r="J38" s="37">
        <f ca="1" t="shared" si="0"/>
        <v>240</v>
      </c>
      <c r="K38" s="37"/>
      <c r="L38" s="37"/>
      <c r="M38" s="37"/>
      <c r="N38" s="37">
        <f ca="1" t="shared" si="1"/>
        <v>240</v>
      </c>
      <c r="O38" s="37">
        <f ca="1" t="shared" si="2"/>
        <v>0.0666666666666667</v>
      </c>
      <c r="P38" s="37"/>
      <c r="Q38" s="37"/>
    </row>
    <row r="39" s="30" customFormat="1" ht="20" customHeight="1" spans="1:17">
      <c r="A39" s="36">
        <v>46093</v>
      </c>
      <c r="B39" s="37"/>
      <c r="C39" s="38"/>
      <c r="D39" s="5" t="s">
        <v>106</v>
      </c>
      <c r="E39" s="5" t="s">
        <v>220</v>
      </c>
      <c r="F39" s="37"/>
      <c r="G39" s="5" t="s">
        <v>44</v>
      </c>
      <c r="H39" s="37">
        <f ca="1" t="array" ref="H39">INDEX(成本核算表!J:J,MATCH(1,(成本核算表!D:D=E39)*(成本核算表!C:C=G39),0))</f>
        <v>30</v>
      </c>
      <c r="I39" s="37">
        <v>541</v>
      </c>
      <c r="J39" s="37">
        <f ca="1" t="shared" si="0"/>
        <v>16230</v>
      </c>
      <c r="K39" s="37"/>
      <c r="L39" s="37"/>
      <c r="M39" s="37"/>
      <c r="N39" s="37">
        <f ca="1" t="shared" si="1"/>
        <v>16230</v>
      </c>
      <c r="O39" s="37">
        <f ca="1" t="shared" si="2"/>
        <v>4.50833333333333</v>
      </c>
      <c r="P39" s="37"/>
      <c r="Q39" s="37"/>
    </row>
    <row r="40" s="30" customFormat="1" ht="20" customHeight="1" spans="1:17">
      <c r="A40" s="36">
        <v>46094</v>
      </c>
      <c r="B40" s="37">
        <v>11</v>
      </c>
      <c r="C40" s="38">
        <f ca="1">SUM(O40:O41)/B40</f>
        <v>0.996969696969697</v>
      </c>
      <c r="D40" s="5" t="s">
        <v>40</v>
      </c>
      <c r="E40" s="5" t="s">
        <v>36</v>
      </c>
      <c r="F40" s="37">
        <v>119.5</v>
      </c>
      <c r="G40" s="5" t="s">
        <v>37</v>
      </c>
      <c r="H40" s="37">
        <f ca="1" t="array" ref="H40">INDEX(成本核算表!J:J,MATCH(1,(成本核算表!D:D=E40)*(成本核算表!C:C=G40),0))</f>
        <v>15</v>
      </c>
      <c r="I40" s="37">
        <v>272</v>
      </c>
      <c r="J40" s="37">
        <f ca="1" t="shared" si="0"/>
        <v>4080</v>
      </c>
      <c r="K40" s="37"/>
      <c r="L40" s="37">
        <v>14400</v>
      </c>
      <c r="M40" s="37"/>
      <c r="N40" s="37">
        <f ca="1" t="shared" si="1"/>
        <v>18480</v>
      </c>
      <c r="O40" s="37">
        <f ca="1" t="shared" si="2"/>
        <v>5.13333333333333</v>
      </c>
      <c r="P40" s="37"/>
      <c r="Q40" s="37"/>
    </row>
    <row r="41" s="30" customFormat="1" ht="20" customHeight="1" spans="1:17">
      <c r="A41" s="36">
        <v>46094</v>
      </c>
      <c r="B41" s="37"/>
      <c r="C41" s="38"/>
      <c r="D41" s="5" t="s">
        <v>40</v>
      </c>
      <c r="E41" s="5" t="s">
        <v>36</v>
      </c>
      <c r="F41" s="37">
        <v>119.5</v>
      </c>
      <c r="G41" s="5" t="s">
        <v>41</v>
      </c>
      <c r="H41" s="37">
        <f ca="1" t="array" ref="H41">INDEX(成本核算表!J:J,MATCH(1,(成本核算表!D:D=E41)*(成本核算表!C:C=G41),0))</f>
        <v>12</v>
      </c>
      <c r="I41" s="37">
        <v>1750</v>
      </c>
      <c r="J41" s="37">
        <f ca="1" t="shared" si="0"/>
        <v>21000</v>
      </c>
      <c r="K41" s="37"/>
      <c r="L41" s="37"/>
      <c r="M41" s="37"/>
      <c r="N41" s="37">
        <f ca="1" t="shared" si="1"/>
        <v>21000</v>
      </c>
      <c r="O41" s="37">
        <f ca="1" t="shared" si="2"/>
        <v>5.83333333333333</v>
      </c>
      <c r="P41" s="37"/>
      <c r="Q41" s="37"/>
    </row>
    <row r="42" s="30" customFormat="1" ht="20" customHeight="1" spans="1:17">
      <c r="A42" s="36">
        <v>46095</v>
      </c>
      <c r="B42" s="32">
        <v>11</v>
      </c>
      <c r="C42" s="38">
        <f ca="1">SUM(O42:O45)/B42</f>
        <v>1.0165404040404</v>
      </c>
      <c r="D42" s="42" t="s">
        <v>222</v>
      </c>
      <c r="E42" s="42" t="s">
        <v>55</v>
      </c>
      <c r="F42" s="32">
        <v>950</v>
      </c>
      <c r="G42" s="5" t="s">
        <v>126</v>
      </c>
      <c r="H42" s="37">
        <f ca="1" t="array" ref="H42">INDEX(成本核算表!J:J,MATCH(1,(成本核算表!D:D=E42)*(成本核算表!C:C=G42),0))</f>
        <v>20</v>
      </c>
      <c r="I42" s="37">
        <v>619</v>
      </c>
      <c r="J42" s="37">
        <f ca="1" t="shared" si="0"/>
        <v>12380</v>
      </c>
      <c r="K42" s="32"/>
      <c r="L42" s="32"/>
      <c r="N42" s="37">
        <f ca="1" t="shared" si="1"/>
        <v>12380</v>
      </c>
      <c r="O42" s="37">
        <f ca="1" t="shared" si="2"/>
        <v>3.43888888888889</v>
      </c>
    </row>
    <row r="43" s="30" customFormat="1" ht="20" customHeight="1" spans="1:17">
      <c r="A43" s="36">
        <v>46095</v>
      </c>
      <c r="B43" s="32"/>
      <c r="C43" s="33"/>
      <c r="D43" s="42" t="s">
        <v>223</v>
      </c>
      <c r="E43" s="42" t="s">
        <v>55</v>
      </c>
      <c r="F43" s="32">
        <v>1150</v>
      </c>
      <c r="G43" s="5" t="s">
        <v>126</v>
      </c>
      <c r="H43" s="37">
        <f ca="1" t="array" ref="H43">INDEX(成本核算表!J:J,MATCH(1,(成本核算表!D:D=E43)*(成本核算表!C:C=G43),0))</f>
        <v>20</v>
      </c>
      <c r="I43" s="37">
        <v>259</v>
      </c>
      <c r="J43" s="37">
        <f ca="1" t="shared" si="0"/>
        <v>5180</v>
      </c>
      <c r="K43" s="32"/>
      <c r="L43" s="32"/>
      <c r="N43" s="37">
        <f ca="1" t="shared" si="1"/>
        <v>5180</v>
      </c>
      <c r="O43" s="37">
        <f ca="1" t="shared" si="2"/>
        <v>1.43888888888889</v>
      </c>
    </row>
    <row r="44" s="30" customFormat="1" ht="20" customHeight="1" spans="1:17">
      <c r="A44" s="36">
        <v>46095</v>
      </c>
      <c r="B44" s="32"/>
      <c r="C44" s="33"/>
      <c r="D44" s="5" t="s">
        <v>106</v>
      </c>
      <c r="E44" s="5" t="s">
        <v>34</v>
      </c>
      <c r="F44" s="37"/>
      <c r="G44" s="5" t="s">
        <v>126</v>
      </c>
      <c r="H44" s="37">
        <f ca="1" t="array" ref="H44">INDEX(成本核算表!J:J,MATCH(1,(成本核算表!D:D=E44)*(成本核算表!C:C=G44),0))</f>
        <v>120</v>
      </c>
      <c r="I44" s="37">
        <f>56+31+30+26</f>
        <v>143</v>
      </c>
      <c r="J44" s="37">
        <f ca="1" t="shared" si="0"/>
        <v>17160</v>
      </c>
      <c r="K44" s="32"/>
      <c r="L44" s="32"/>
      <c r="N44" s="37">
        <f ca="1" t="shared" si="1"/>
        <v>17160</v>
      </c>
      <c r="O44" s="37">
        <f ca="1" t="shared" si="2"/>
        <v>4.76666666666667</v>
      </c>
    </row>
    <row r="45" s="30" customFormat="1" ht="20" customHeight="1" spans="1:17">
      <c r="A45" s="36">
        <v>46095</v>
      </c>
      <c r="B45" s="32"/>
      <c r="C45" s="33"/>
      <c r="D45" s="5" t="s">
        <v>106</v>
      </c>
      <c r="E45" s="5" t="s">
        <v>23</v>
      </c>
      <c r="F45" s="37"/>
      <c r="G45" s="5" t="s">
        <v>126</v>
      </c>
      <c r="H45" s="37">
        <v>45</v>
      </c>
      <c r="I45" s="37">
        <f>63+60</f>
        <v>123</v>
      </c>
      <c r="J45" s="37">
        <f t="shared" si="0"/>
        <v>5535</v>
      </c>
      <c r="K45" s="32"/>
      <c r="L45" s="32"/>
      <c r="N45" s="37">
        <f t="shared" si="1"/>
        <v>5535</v>
      </c>
      <c r="O45" s="37">
        <f t="shared" si="2"/>
        <v>1.5375</v>
      </c>
    </row>
    <row r="46" s="30" customFormat="1" ht="20" customHeight="1" spans="1:17">
      <c r="A46" s="36">
        <v>46096</v>
      </c>
      <c r="B46" s="32">
        <v>11</v>
      </c>
      <c r="C46" s="38">
        <f ca="1">SUM(O46:O51)/B46</f>
        <v>0.992424242424243</v>
      </c>
      <c r="D46" s="5" t="s">
        <v>106</v>
      </c>
      <c r="E46" s="5" t="s">
        <v>217</v>
      </c>
      <c r="F46" s="32"/>
      <c r="G46" s="42" t="s">
        <v>24</v>
      </c>
      <c r="H46" s="37">
        <f ca="1" t="array" ref="H46">INDEX(成本核算表!J:J,MATCH(1,(成本核算表!D:D=E46)*(成本核算表!C:C=G46),0))</f>
        <v>210</v>
      </c>
      <c r="I46" s="37">
        <v>20</v>
      </c>
      <c r="J46" s="37">
        <f ca="1" t="shared" si="0"/>
        <v>4200</v>
      </c>
      <c r="K46" s="32"/>
      <c r="L46" s="32"/>
      <c r="N46" s="37">
        <f ca="1" t="shared" si="1"/>
        <v>4200</v>
      </c>
      <c r="O46" s="37">
        <f ca="1" t="shared" si="2"/>
        <v>1.16666666666667</v>
      </c>
    </row>
    <row r="47" s="30" customFormat="1" ht="20" customHeight="1" spans="1:17">
      <c r="A47" s="36">
        <v>46096</v>
      </c>
      <c r="B47" s="32"/>
      <c r="C47" s="33"/>
      <c r="D47" s="5" t="s">
        <v>106</v>
      </c>
      <c r="E47" s="5" t="s">
        <v>217</v>
      </c>
      <c r="F47" s="32"/>
      <c r="G47" s="42" t="s">
        <v>25</v>
      </c>
      <c r="H47" s="37">
        <f ca="1" t="array" ref="H47">INDEX(成本核算表!J:J,MATCH(1,(成本核算表!D:D=E47)*(成本核算表!C:C=G47),0))</f>
        <v>25</v>
      </c>
      <c r="I47" s="37">
        <v>20</v>
      </c>
      <c r="J47" s="37">
        <f ca="1" t="shared" si="0"/>
        <v>500</v>
      </c>
      <c r="K47" s="32"/>
      <c r="L47" s="32"/>
      <c r="N47" s="37">
        <f ca="1" t="shared" si="1"/>
        <v>500</v>
      </c>
      <c r="O47" s="37">
        <f ca="1" t="shared" si="2"/>
        <v>0.138888888888889</v>
      </c>
    </row>
    <row r="48" s="30" customFormat="1" ht="20" customHeight="1" spans="1:17">
      <c r="A48" s="36">
        <v>46096</v>
      </c>
      <c r="B48" s="32"/>
      <c r="C48" s="33"/>
      <c r="D48" s="5" t="s">
        <v>106</v>
      </c>
      <c r="E48" s="42" t="s">
        <v>219</v>
      </c>
      <c r="F48" s="32"/>
      <c r="G48" s="42" t="s">
        <v>24</v>
      </c>
      <c r="H48" s="37">
        <f ca="1" t="array" ref="H48">INDEX(成本核算表!J:J,MATCH(1,(成本核算表!D:D=E48)*(成本核算表!C:C=G48),0))</f>
        <v>260</v>
      </c>
      <c r="I48" s="37">
        <v>20</v>
      </c>
      <c r="J48" s="37">
        <f ca="1" t="shared" si="0"/>
        <v>5200</v>
      </c>
      <c r="K48" s="32"/>
      <c r="L48" s="32"/>
      <c r="N48" s="37">
        <f ca="1" t="shared" si="1"/>
        <v>5200</v>
      </c>
      <c r="O48" s="37">
        <f ca="1" t="shared" si="2"/>
        <v>1.44444444444444</v>
      </c>
    </row>
    <row r="49" s="30" customFormat="1" ht="20" customHeight="1" spans="1:17">
      <c r="A49" s="36">
        <v>46096</v>
      </c>
      <c r="B49" s="32"/>
      <c r="C49" s="33"/>
      <c r="D49" s="5" t="s">
        <v>106</v>
      </c>
      <c r="E49" s="5" t="s">
        <v>217</v>
      </c>
      <c r="F49" s="32"/>
      <c r="G49" s="5" t="s">
        <v>24</v>
      </c>
      <c r="H49" s="37">
        <f ca="1" t="array" ref="H49">INDEX(成本核算表!J:J,MATCH(1,(成本核算表!D:D=E49)*(成本核算表!C:C=G49),0))</f>
        <v>210</v>
      </c>
      <c r="I49" s="37">
        <v>40</v>
      </c>
      <c r="J49" s="37">
        <f ca="1" t="shared" si="0"/>
        <v>8400</v>
      </c>
      <c r="K49" s="32"/>
      <c r="L49" s="32"/>
      <c r="N49" s="37">
        <f ca="1" t="shared" si="1"/>
        <v>8400</v>
      </c>
      <c r="O49" s="37">
        <f ca="1" t="shared" si="2"/>
        <v>2.33333333333333</v>
      </c>
    </row>
    <row r="50" s="30" customFormat="1" ht="20" customHeight="1" spans="1:17">
      <c r="A50" s="36">
        <v>46096</v>
      </c>
      <c r="B50" s="32"/>
      <c r="C50" s="33"/>
      <c r="D50" s="42" t="s">
        <v>224</v>
      </c>
      <c r="E50" s="42" t="s">
        <v>225</v>
      </c>
      <c r="F50" s="32">
        <v>244</v>
      </c>
      <c r="G50" s="42" t="s">
        <v>126</v>
      </c>
      <c r="H50" s="37">
        <f ca="1" t="array" ref="H50">INDEX(成本核算表!J:J,MATCH(1,(成本核算表!D:D=E50)*(成本核算表!C:C=G50),0))</f>
        <v>60</v>
      </c>
      <c r="I50" s="37">
        <v>70</v>
      </c>
      <c r="J50" s="37">
        <f ca="1" t="shared" si="0"/>
        <v>4200</v>
      </c>
      <c r="K50" s="32"/>
      <c r="L50" s="32"/>
      <c r="N50" s="37">
        <f ca="1" t="shared" si="1"/>
        <v>4200</v>
      </c>
      <c r="O50" s="37">
        <f ca="1" t="shared" si="2"/>
        <v>1.16666666666667</v>
      </c>
    </row>
    <row r="51" s="30" customFormat="1" ht="20" customHeight="1" spans="1:17">
      <c r="A51" s="36">
        <v>46096</v>
      </c>
      <c r="B51" s="32"/>
      <c r="C51" s="33"/>
      <c r="D51" s="42" t="s">
        <v>40</v>
      </c>
      <c r="E51" s="42" t="s">
        <v>36</v>
      </c>
      <c r="F51" s="32">
        <v>119.5</v>
      </c>
      <c r="G51" s="42" t="s">
        <v>37</v>
      </c>
      <c r="H51" s="37">
        <f ca="1" t="array" ref="H51">INDEX(成本核算表!J:J,MATCH(1,(成本核算表!D:D=E51)*(成本核算表!C:C=G51),0))</f>
        <v>15</v>
      </c>
      <c r="I51" s="37">
        <v>1120</v>
      </c>
      <c r="J51" s="37">
        <f ca="1" t="shared" si="0"/>
        <v>16800</v>
      </c>
      <c r="K51" s="32"/>
      <c r="L51" s="32"/>
      <c r="N51" s="37">
        <f ca="1" t="shared" si="1"/>
        <v>16800</v>
      </c>
      <c r="O51" s="37">
        <f ca="1" t="shared" si="2"/>
        <v>4.66666666666667</v>
      </c>
    </row>
    <row r="52" s="30" customFormat="1" ht="20" customHeight="1" spans="1:17">
      <c r="A52" s="36">
        <v>46097</v>
      </c>
      <c r="B52" s="32">
        <v>12</v>
      </c>
      <c r="C52" s="38">
        <f ca="1">SUM(O52:O54)/B52</f>
        <v>0.971712962962963</v>
      </c>
      <c r="D52" s="42" t="s">
        <v>224</v>
      </c>
      <c r="E52" s="42" t="s">
        <v>225</v>
      </c>
      <c r="F52" s="32">
        <v>243.5</v>
      </c>
      <c r="G52" s="42" t="s">
        <v>22</v>
      </c>
      <c r="H52" s="37">
        <f ca="1" t="array" ref="H52">INDEX(成本核算表!J:J,MATCH(1,(成本核算表!D:D=E52)*(成本核算表!C:C=G52),0))</f>
        <v>500</v>
      </c>
      <c r="I52" s="37">
        <v>63</v>
      </c>
      <c r="J52" s="37">
        <f ca="1" t="shared" si="0"/>
        <v>31500</v>
      </c>
      <c r="K52" s="32">
        <v>14</v>
      </c>
      <c r="L52" s="32"/>
      <c r="M52" s="30">
        <f>K52*I52</f>
        <v>882</v>
      </c>
      <c r="N52" s="37">
        <f ca="1" t="shared" si="1"/>
        <v>30618</v>
      </c>
      <c r="O52" s="37">
        <f ca="1" t="shared" si="2"/>
        <v>8.505</v>
      </c>
    </row>
    <row r="53" s="30" customFormat="1" ht="20" customHeight="1" spans="1:17">
      <c r="A53" s="36">
        <v>46097</v>
      </c>
      <c r="B53" s="32"/>
      <c r="C53" s="33"/>
      <c r="D53" s="42" t="s">
        <v>226</v>
      </c>
      <c r="E53" s="42" t="s">
        <v>141</v>
      </c>
      <c r="F53" s="32">
        <v>133</v>
      </c>
      <c r="G53" s="42" t="s">
        <v>22</v>
      </c>
      <c r="H53" s="37">
        <f ca="1" t="array" ref="H53">INDEX(成本核算表!J:J,MATCH(1,(成本核算表!D:D=E53)*(成本核算表!C:C=G53),0))</f>
        <v>40</v>
      </c>
      <c r="I53" s="37">
        <v>44</v>
      </c>
      <c r="J53" s="37">
        <f ca="1" t="shared" si="0"/>
        <v>1760</v>
      </c>
      <c r="K53" s="32"/>
      <c r="L53" s="32"/>
      <c r="N53" s="37">
        <f ca="1" t="shared" si="1"/>
        <v>1760</v>
      </c>
      <c r="O53" s="37">
        <f ca="1" t="shared" si="2"/>
        <v>0.488888888888889</v>
      </c>
    </row>
    <row r="54" s="30" customFormat="1" ht="20" customHeight="1" spans="1:17">
      <c r="A54" s="36">
        <v>46097</v>
      </c>
      <c r="B54" s="32"/>
      <c r="C54" s="33"/>
      <c r="D54" s="42" t="s">
        <v>215</v>
      </c>
      <c r="E54" s="42" t="s">
        <v>136</v>
      </c>
      <c r="F54" s="32">
        <v>190</v>
      </c>
      <c r="G54" s="42" t="s">
        <v>22</v>
      </c>
      <c r="H54" s="37">
        <f ca="1" t="array" ref="H54">INDEX(成本核算表!J:J,MATCH(1,(成本核算表!D:D=E54)*(成本核算表!C:C=G54),0))</f>
        <v>160</v>
      </c>
      <c r="I54" s="37">
        <v>60</v>
      </c>
      <c r="J54" s="37">
        <f ca="1" t="shared" si="0"/>
        <v>9600</v>
      </c>
      <c r="K54" s="32"/>
      <c r="L54" s="32"/>
      <c r="N54" s="37">
        <f ca="1" t="shared" si="1"/>
        <v>9600</v>
      </c>
      <c r="O54" s="37">
        <f ca="1" t="shared" si="2"/>
        <v>2.66666666666667</v>
      </c>
    </row>
    <row r="55" s="30" customFormat="1" ht="20" customHeight="1" spans="1:17">
      <c r="A55" s="36">
        <v>46098</v>
      </c>
      <c r="B55" s="32">
        <v>12</v>
      </c>
      <c r="C55" s="38">
        <f ca="1">SUM(O55:O57)/B55</f>
        <v>0.761111111111111</v>
      </c>
      <c r="D55" s="5" t="s">
        <v>106</v>
      </c>
      <c r="E55" s="42" t="s">
        <v>34</v>
      </c>
      <c r="F55" s="32"/>
      <c r="G55" s="42" t="s">
        <v>126</v>
      </c>
      <c r="H55" s="37">
        <f ca="1" t="array" ref="H55">INDEX(成本核算表!J:J,MATCH(1,(成本核算表!D:D=E55)*(成本核算表!C:C=G55),0))</f>
        <v>120</v>
      </c>
      <c r="I55" s="37">
        <f>28+26+8</f>
        <v>62</v>
      </c>
      <c r="J55" s="37">
        <f ca="1" t="shared" si="0"/>
        <v>7440</v>
      </c>
      <c r="K55" s="32"/>
      <c r="L55" s="32">
        <v>14400</v>
      </c>
      <c r="N55" s="37">
        <f ca="1" t="shared" si="1"/>
        <v>21840</v>
      </c>
      <c r="O55" s="37">
        <f ca="1" t="shared" si="2"/>
        <v>6.06666666666667</v>
      </c>
      <c r="Q55" s="43" t="s">
        <v>227</v>
      </c>
    </row>
    <row r="56" s="30" customFormat="1" ht="20" customHeight="1" spans="1:17">
      <c r="A56" s="36">
        <v>46098</v>
      </c>
      <c r="B56" s="32"/>
      <c r="C56" s="33"/>
      <c r="D56" s="5" t="s">
        <v>106</v>
      </c>
      <c r="E56" s="5" t="s">
        <v>23</v>
      </c>
      <c r="F56" s="37"/>
      <c r="G56" s="5" t="s">
        <v>126</v>
      </c>
      <c r="H56" s="37">
        <v>45</v>
      </c>
      <c r="I56" s="37">
        <v>60</v>
      </c>
      <c r="J56" s="37">
        <f t="shared" si="0"/>
        <v>2700</v>
      </c>
      <c r="K56" s="32"/>
      <c r="L56" s="32"/>
      <c r="N56" s="37">
        <f t="shared" si="1"/>
        <v>2700</v>
      </c>
      <c r="O56" s="37">
        <f t="shared" si="2"/>
        <v>0.75</v>
      </c>
    </row>
    <row r="57" s="30" customFormat="1" ht="20" customHeight="1" spans="1:17">
      <c r="A57" s="36">
        <v>46098</v>
      </c>
      <c r="B57" s="32"/>
      <c r="C57" s="38"/>
      <c r="D57" s="5" t="s">
        <v>106</v>
      </c>
      <c r="E57" s="5" t="s">
        <v>220</v>
      </c>
      <c r="F57" s="6"/>
      <c r="G57" s="5" t="s">
        <v>44</v>
      </c>
      <c r="H57" s="6">
        <f ca="1" t="array" ref="H57">INDEX(成本核算表!J:J,MATCH(1,(成本核算表!D:D=E57)*(成本核算表!C:C=G57),0))</f>
        <v>30</v>
      </c>
      <c r="I57" s="6">
        <v>278</v>
      </c>
      <c r="J57" s="37">
        <f ca="1" t="shared" si="0"/>
        <v>8340</v>
      </c>
      <c r="K57" s="32"/>
      <c r="L57" s="32"/>
      <c r="N57" s="37">
        <f ca="1" t="shared" si="1"/>
        <v>8340</v>
      </c>
      <c r="O57" s="37">
        <f ca="1" t="shared" si="2"/>
        <v>2.31666666666667</v>
      </c>
    </row>
    <row r="58" s="30" customFormat="1" ht="20" customHeight="1" spans="1:17">
      <c r="A58" s="36">
        <v>46099</v>
      </c>
      <c r="B58" s="32">
        <v>12</v>
      </c>
      <c r="C58" s="38">
        <f ca="1" t="shared" ref="C58:C62" si="4">SUM(O58:O59)/B58</f>
        <v>1.08263888888889</v>
      </c>
      <c r="D58" s="5" t="s">
        <v>106</v>
      </c>
      <c r="E58" s="42" t="s">
        <v>34</v>
      </c>
      <c r="F58" s="32"/>
      <c r="G58" s="42" t="s">
        <v>126</v>
      </c>
      <c r="H58" s="37">
        <f ca="1" t="array" ref="H58">INDEX(成本核算表!J:J,MATCH(1,(成本核算表!D:D=E58)*(成本核算表!C:C=G58),0))</f>
        <v>120</v>
      </c>
      <c r="I58" s="37">
        <f>75+64+32+30</f>
        <v>201</v>
      </c>
      <c r="J58" s="37">
        <f ca="1" t="shared" si="0"/>
        <v>24120</v>
      </c>
      <c r="K58" s="32"/>
      <c r="L58" s="32"/>
      <c r="N58" s="37">
        <f ca="1" t="shared" si="1"/>
        <v>24120</v>
      </c>
      <c r="O58" s="37">
        <f ca="1" t="shared" si="2"/>
        <v>6.7</v>
      </c>
    </row>
    <row r="59" s="30" customFormat="1" ht="20" customHeight="1" spans="1:17">
      <c r="A59" s="36">
        <v>46099</v>
      </c>
      <c r="B59" s="32"/>
      <c r="C59" s="33"/>
      <c r="D59" s="42" t="s">
        <v>40</v>
      </c>
      <c r="E59" s="42" t="s">
        <v>36</v>
      </c>
      <c r="F59" s="32">
        <v>119.5</v>
      </c>
      <c r="G59" s="42" t="s">
        <v>37</v>
      </c>
      <c r="H59" s="37">
        <f ca="1" t="array" ref="H59">INDEX(成本核算表!J:J,MATCH(1,(成本核算表!D:D=E59)*(成本核算表!C:C=G59),0))</f>
        <v>15</v>
      </c>
      <c r="I59" s="37">
        <v>1510</v>
      </c>
      <c r="J59" s="37">
        <f ca="1" t="shared" si="0"/>
        <v>22650</v>
      </c>
      <c r="K59" s="32"/>
      <c r="L59" s="32"/>
      <c r="N59" s="37">
        <f ca="1" t="shared" si="1"/>
        <v>22650</v>
      </c>
      <c r="O59" s="37">
        <f ca="1" t="shared" si="2"/>
        <v>6.29166666666667</v>
      </c>
    </row>
    <row r="60" s="30" customFormat="1" ht="20" customHeight="1" spans="1:17">
      <c r="A60" s="36">
        <v>46100</v>
      </c>
      <c r="B60" s="32">
        <v>12</v>
      </c>
      <c r="C60" s="38">
        <f ca="1" t="shared" si="4"/>
        <v>1.12523148148148</v>
      </c>
      <c r="D60" s="5" t="s">
        <v>106</v>
      </c>
      <c r="E60" s="42" t="s">
        <v>34</v>
      </c>
      <c r="F60" s="32"/>
      <c r="G60" s="42" t="s">
        <v>33</v>
      </c>
      <c r="H60" s="37">
        <f ca="1" t="array" ref="H60">INDEX(成本核算表!J:J,MATCH(1,(成本核算表!D:D=E60)*(成本核算表!C:C=G60),0))</f>
        <v>100</v>
      </c>
      <c r="I60" s="37">
        <f>28+32+10+28+32+10+26+21+4+4+88</f>
        <v>283</v>
      </c>
      <c r="J60" s="37">
        <f ca="1" t="shared" si="0"/>
        <v>28300</v>
      </c>
      <c r="K60" s="32"/>
      <c r="L60" s="32"/>
      <c r="N60" s="37">
        <f ca="1" t="shared" si="1"/>
        <v>28300</v>
      </c>
      <c r="O60" s="37">
        <f ca="1" t="shared" si="2"/>
        <v>7.86111111111111</v>
      </c>
    </row>
    <row r="61" s="30" customFormat="1" ht="20" customHeight="1" spans="1:17">
      <c r="A61" s="36">
        <v>46100</v>
      </c>
      <c r="B61" s="32"/>
      <c r="C61" s="33"/>
      <c r="D61" s="42" t="s">
        <v>40</v>
      </c>
      <c r="E61" s="42" t="s">
        <v>36</v>
      </c>
      <c r="F61" s="32">
        <v>119.5</v>
      </c>
      <c r="G61" s="42" t="s">
        <v>37</v>
      </c>
      <c r="H61" s="37">
        <f ca="1" t="array" ref="H61">INDEX(成本核算表!J:J,MATCH(1,(成本核算表!D:D=E61)*(成本核算表!C:C=G61),0))</f>
        <v>15</v>
      </c>
      <c r="I61" s="37">
        <v>1354</v>
      </c>
      <c r="J61" s="37">
        <f ca="1" t="shared" si="0"/>
        <v>20310</v>
      </c>
      <c r="K61" s="32"/>
      <c r="L61" s="32"/>
      <c r="N61" s="37">
        <f ca="1" t="shared" si="1"/>
        <v>20310</v>
      </c>
      <c r="O61" s="37">
        <f ca="1" t="shared" si="2"/>
        <v>5.64166666666667</v>
      </c>
    </row>
    <row r="62" s="30" customFormat="1" ht="20" customHeight="1" spans="1:17">
      <c r="A62" s="36">
        <v>46101</v>
      </c>
      <c r="B62" s="32">
        <v>12</v>
      </c>
      <c r="C62" s="38">
        <f ca="1">SUM(O62:O64)/B62</f>
        <v>1.00277777777778</v>
      </c>
      <c r="D62" s="5" t="s">
        <v>106</v>
      </c>
      <c r="E62" s="42" t="s">
        <v>34</v>
      </c>
      <c r="F62" s="32"/>
      <c r="G62" s="42" t="s">
        <v>33</v>
      </c>
      <c r="H62" s="37">
        <f ca="1" t="array" ref="H62">INDEX(成本核算表!J:J,MATCH(1,(成本核算表!D:D=E62)*(成本核算表!C:C=G62),0))</f>
        <v>100</v>
      </c>
      <c r="I62" s="37">
        <f>16+18+28+30+4</f>
        <v>96</v>
      </c>
      <c r="J62" s="37">
        <f ca="1" t="shared" si="0"/>
        <v>9600</v>
      </c>
      <c r="K62" s="32"/>
      <c r="L62" s="32">
        <v>7200</v>
      </c>
      <c r="N62" s="37">
        <f ca="1" t="shared" si="1"/>
        <v>16800</v>
      </c>
      <c r="O62" s="37">
        <f ca="1" t="shared" si="2"/>
        <v>4.66666666666667</v>
      </c>
      <c r="Q62" s="43" t="s">
        <v>227</v>
      </c>
    </row>
    <row r="63" s="30" customFormat="1" ht="20" customHeight="1" spans="1:17">
      <c r="A63" s="36">
        <v>46101</v>
      </c>
      <c r="B63" s="32"/>
      <c r="C63" s="33"/>
      <c r="D63" s="5" t="s">
        <v>106</v>
      </c>
      <c r="E63" s="42" t="s">
        <v>34</v>
      </c>
      <c r="F63" s="32"/>
      <c r="G63" s="42" t="s">
        <v>126</v>
      </c>
      <c r="H63" s="37">
        <f ca="1" t="array" ref="H63">INDEX(成本核算表!J:J,MATCH(1,(成本核算表!D:D=E63)*(成本核算表!C:C=G63),0))</f>
        <v>120</v>
      </c>
      <c r="I63" s="37">
        <f>16+18+28+30+4</f>
        <v>96</v>
      </c>
      <c r="J63" s="37">
        <f ca="1" t="shared" si="0"/>
        <v>11520</v>
      </c>
      <c r="K63" s="32"/>
      <c r="L63" s="32"/>
      <c r="N63" s="37">
        <f ca="1" t="shared" si="1"/>
        <v>11520</v>
      </c>
      <c r="O63" s="37">
        <f ca="1" t="shared" si="2"/>
        <v>3.2</v>
      </c>
    </row>
    <row r="64" s="30" customFormat="1" ht="20" customHeight="1" spans="1:17">
      <c r="A64" s="36">
        <v>46101</v>
      </c>
      <c r="B64" s="32"/>
      <c r="C64" s="33"/>
      <c r="D64" s="42" t="s">
        <v>40</v>
      </c>
      <c r="E64" s="42" t="s">
        <v>36</v>
      </c>
      <c r="F64" s="32">
        <v>119.5</v>
      </c>
      <c r="G64" s="42" t="s">
        <v>37</v>
      </c>
      <c r="H64" s="37">
        <f ca="1" t="array" ref="H64">INDEX(成本核算表!J:J,MATCH(1,(成本核算表!D:D=E64)*(成本核算表!C:C=G64),0))</f>
        <v>15</v>
      </c>
      <c r="I64" s="37">
        <v>1000</v>
      </c>
      <c r="J64" s="37">
        <f ca="1" t="shared" si="0"/>
        <v>15000</v>
      </c>
      <c r="K64" s="32"/>
      <c r="L64" s="32"/>
      <c r="N64" s="37">
        <f ca="1" t="shared" si="1"/>
        <v>15000</v>
      </c>
      <c r="O64" s="37">
        <f ca="1" t="shared" si="2"/>
        <v>4.16666666666667</v>
      </c>
    </row>
    <row r="65" s="30" customFormat="1" ht="20" customHeight="1" spans="1:15">
      <c r="A65" s="36"/>
      <c r="B65" s="32"/>
      <c r="C65" s="33"/>
      <c r="D65" s="32"/>
      <c r="E65" s="32"/>
      <c r="F65" s="32"/>
      <c r="G65" s="32"/>
      <c r="H65" s="37">
        <f ca="1" t="array" ref="H65">INDEX(成本核算表!J:J,MATCH(1,(成本核算表!D:D=E65)*(成本核算表!C:C=G65),0))</f>
        <v>0</v>
      </c>
      <c r="I65" s="37"/>
      <c r="J65" s="37">
        <f ca="1" t="shared" si="0"/>
        <v>0</v>
      </c>
      <c r="K65" s="32"/>
      <c r="L65" s="32"/>
      <c r="N65" s="37">
        <f ca="1" t="shared" si="1"/>
        <v>0</v>
      </c>
      <c r="O65" s="37">
        <f ca="1" t="shared" si="2"/>
        <v>0</v>
      </c>
    </row>
    <row r="66" s="30" customFormat="1" ht="20" customHeight="1" spans="1:15">
      <c r="A66" s="36"/>
      <c r="B66" s="32"/>
      <c r="C66" s="33"/>
      <c r="D66" s="32"/>
      <c r="E66" s="32"/>
      <c r="F66" s="32"/>
      <c r="G66" s="32"/>
      <c r="H66" s="37">
        <f ca="1" t="array" ref="H66">INDEX(成本核算表!J:J,MATCH(1,(成本核算表!D:D=E66)*(成本核算表!C:C=G66),0))</f>
        <v>0</v>
      </c>
      <c r="I66" s="37"/>
      <c r="J66" s="37">
        <f ca="1" t="shared" ref="J66:J101" si="5">H66*I66</f>
        <v>0</v>
      </c>
      <c r="K66" s="32"/>
      <c r="L66" s="32"/>
      <c r="N66" s="37">
        <f ca="1" t="shared" ref="N66:N101" si="6">J66-M66+L66</f>
        <v>0</v>
      </c>
      <c r="O66" s="37">
        <f ca="1" t="shared" ref="O66:O101" si="7">N66/3600</f>
        <v>0</v>
      </c>
    </row>
    <row r="67" s="30" customFormat="1" ht="20" customHeight="1" spans="1:15">
      <c r="A67" s="36"/>
      <c r="B67" s="32"/>
      <c r="C67" s="33"/>
      <c r="D67" s="32"/>
      <c r="E67" s="32"/>
      <c r="F67" s="32"/>
      <c r="G67" s="32"/>
      <c r="H67" s="37">
        <f ca="1" t="array" ref="H67">INDEX(成本核算表!J:J,MATCH(1,(成本核算表!D:D=E67)*(成本核算表!C:C=G67),0))</f>
        <v>0</v>
      </c>
      <c r="I67" s="37"/>
      <c r="J67" s="37">
        <f ca="1" t="shared" si="5"/>
        <v>0</v>
      </c>
      <c r="K67" s="32"/>
      <c r="L67" s="32"/>
      <c r="N67" s="37">
        <f ca="1" t="shared" si="6"/>
        <v>0</v>
      </c>
      <c r="O67" s="37">
        <f ca="1" t="shared" si="7"/>
        <v>0</v>
      </c>
    </row>
    <row r="68" s="30" customFormat="1" ht="20" customHeight="1" spans="1:15">
      <c r="A68" s="36"/>
      <c r="B68" s="32"/>
      <c r="C68" s="33"/>
      <c r="D68" s="32"/>
      <c r="E68" s="32"/>
      <c r="F68" s="32"/>
      <c r="G68" s="32"/>
      <c r="H68" s="37">
        <f ca="1" t="array" ref="H68">INDEX(成本核算表!J:J,MATCH(1,(成本核算表!D:D=E68)*(成本核算表!C:C=G68),0))</f>
        <v>0</v>
      </c>
      <c r="I68" s="37"/>
      <c r="J68" s="37">
        <f ca="1" t="shared" si="5"/>
        <v>0</v>
      </c>
      <c r="K68" s="32"/>
      <c r="L68" s="32"/>
      <c r="N68" s="37">
        <f ca="1" t="shared" si="6"/>
        <v>0</v>
      </c>
      <c r="O68" s="37">
        <f ca="1" t="shared" si="7"/>
        <v>0</v>
      </c>
    </row>
    <row r="69" s="30" customFormat="1" ht="20" customHeight="1" spans="1:15">
      <c r="A69" s="36"/>
      <c r="B69" s="32"/>
      <c r="C69" s="33"/>
      <c r="D69" s="32"/>
      <c r="E69" s="32"/>
      <c r="F69" s="32"/>
      <c r="G69" s="32"/>
      <c r="H69" s="37">
        <f ca="1" t="array" ref="H69">INDEX(成本核算表!J:J,MATCH(1,(成本核算表!D:D=E69)*(成本核算表!C:C=G69),0))</f>
        <v>0</v>
      </c>
      <c r="I69" s="37"/>
      <c r="J69" s="37">
        <f ca="1" t="shared" si="5"/>
        <v>0</v>
      </c>
      <c r="K69" s="32"/>
      <c r="L69" s="32"/>
      <c r="N69" s="37">
        <f ca="1" t="shared" si="6"/>
        <v>0</v>
      </c>
      <c r="O69" s="37">
        <f ca="1" t="shared" si="7"/>
        <v>0</v>
      </c>
    </row>
    <row r="70" s="30" customFormat="1" ht="20" customHeight="1" spans="1:15">
      <c r="A70" s="36"/>
      <c r="B70" s="32"/>
      <c r="C70" s="33"/>
      <c r="D70" s="32"/>
      <c r="E70" s="32"/>
      <c r="F70" s="32"/>
      <c r="G70" s="32"/>
      <c r="H70" s="37">
        <f ca="1" t="array" ref="H70">INDEX(成本核算表!J:J,MATCH(1,(成本核算表!D:D=E70)*(成本核算表!C:C=G70),0))</f>
        <v>0</v>
      </c>
      <c r="I70" s="37"/>
      <c r="J70" s="37">
        <f ca="1" t="shared" si="5"/>
        <v>0</v>
      </c>
      <c r="K70" s="32"/>
      <c r="L70" s="32"/>
      <c r="N70" s="37">
        <f ca="1" t="shared" si="6"/>
        <v>0</v>
      </c>
      <c r="O70" s="37">
        <f ca="1" t="shared" si="7"/>
        <v>0</v>
      </c>
    </row>
    <row r="71" s="30" customFormat="1" ht="20" customHeight="1" spans="1:15">
      <c r="A71" s="36"/>
      <c r="B71" s="32"/>
      <c r="C71" s="33"/>
      <c r="D71" s="32"/>
      <c r="E71" s="32"/>
      <c r="F71" s="32"/>
      <c r="G71" s="32"/>
      <c r="H71" s="37">
        <f ca="1" t="array" ref="H71">INDEX(成本核算表!J:J,MATCH(1,(成本核算表!D:D=E71)*(成本核算表!C:C=G71),0))</f>
        <v>0</v>
      </c>
      <c r="I71" s="37"/>
      <c r="J71" s="37">
        <f ca="1" t="shared" si="5"/>
        <v>0</v>
      </c>
      <c r="K71" s="32"/>
      <c r="L71" s="32"/>
      <c r="N71" s="37">
        <f ca="1" t="shared" si="6"/>
        <v>0</v>
      </c>
      <c r="O71" s="37">
        <f ca="1" t="shared" si="7"/>
        <v>0</v>
      </c>
    </row>
    <row r="72" s="30" customFormat="1" ht="20" customHeight="1" spans="1:15">
      <c r="A72" s="36"/>
      <c r="B72" s="32"/>
      <c r="C72" s="33"/>
      <c r="D72" s="32"/>
      <c r="E72" s="32"/>
      <c r="F72" s="32"/>
      <c r="G72" s="32"/>
      <c r="H72" s="37">
        <f ca="1" t="array" ref="H72">INDEX(成本核算表!J:J,MATCH(1,(成本核算表!D:D=E72)*(成本核算表!C:C=G72),0))</f>
        <v>0</v>
      </c>
      <c r="I72" s="37"/>
      <c r="J72" s="37">
        <f ca="1" t="shared" si="5"/>
        <v>0</v>
      </c>
      <c r="K72" s="32"/>
      <c r="L72" s="32"/>
      <c r="N72" s="37">
        <f ca="1" t="shared" si="6"/>
        <v>0</v>
      </c>
      <c r="O72" s="37">
        <f ca="1" t="shared" si="7"/>
        <v>0</v>
      </c>
    </row>
    <row r="73" s="30" customFormat="1" ht="20" customHeight="1" spans="1:15">
      <c r="A73" s="36"/>
      <c r="B73" s="32"/>
      <c r="C73" s="33"/>
      <c r="D73" s="32"/>
      <c r="E73" s="32"/>
      <c r="F73" s="32"/>
      <c r="G73" s="32"/>
      <c r="H73" s="37">
        <f ca="1" t="array" ref="H73">INDEX(成本核算表!J:J,MATCH(1,(成本核算表!D:D=E73)*(成本核算表!C:C=G73),0))</f>
        <v>0</v>
      </c>
      <c r="I73" s="37"/>
      <c r="J73" s="37">
        <f ca="1" t="shared" si="5"/>
        <v>0</v>
      </c>
      <c r="K73" s="32"/>
      <c r="L73" s="32"/>
      <c r="N73" s="37">
        <f ca="1" t="shared" si="6"/>
        <v>0</v>
      </c>
      <c r="O73" s="37">
        <f ca="1" t="shared" si="7"/>
        <v>0</v>
      </c>
    </row>
    <row r="74" s="30" customFormat="1" ht="20" customHeight="1" spans="1:15">
      <c r="A74" s="36"/>
      <c r="B74" s="32"/>
      <c r="C74" s="33"/>
      <c r="D74" s="32"/>
      <c r="E74" s="32"/>
      <c r="F74" s="32"/>
      <c r="G74" s="32"/>
      <c r="H74" s="37">
        <f ca="1" t="array" ref="H74">INDEX(成本核算表!J:J,MATCH(1,(成本核算表!D:D=E74)*(成本核算表!C:C=G74),0))</f>
        <v>0</v>
      </c>
      <c r="I74" s="37"/>
      <c r="J74" s="37">
        <f ca="1" t="shared" si="5"/>
        <v>0</v>
      </c>
      <c r="K74" s="32"/>
      <c r="L74" s="32"/>
      <c r="N74" s="37">
        <f ca="1" t="shared" si="6"/>
        <v>0</v>
      </c>
      <c r="O74" s="37">
        <f ca="1" t="shared" si="7"/>
        <v>0</v>
      </c>
    </row>
    <row r="75" s="30" customFormat="1" ht="20" customHeight="1" spans="1:15">
      <c r="A75" s="36"/>
      <c r="B75" s="32"/>
      <c r="C75" s="33"/>
      <c r="D75" s="32"/>
      <c r="E75" s="32"/>
      <c r="F75" s="32"/>
      <c r="G75" s="32"/>
      <c r="H75" s="37">
        <f ca="1" t="array" ref="H75">INDEX(成本核算表!J:J,MATCH(1,(成本核算表!D:D=E75)*(成本核算表!C:C=G75),0))</f>
        <v>0</v>
      </c>
      <c r="I75" s="37"/>
      <c r="J75" s="37">
        <f ca="1" t="shared" si="5"/>
        <v>0</v>
      </c>
      <c r="K75" s="32"/>
      <c r="L75" s="32"/>
      <c r="N75" s="37">
        <f ca="1" t="shared" si="6"/>
        <v>0</v>
      </c>
      <c r="O75" s="37">
        <f ca="1" t="shared" si="7"/>
        <v>0</v>
      </c>
    </row>
    <row r="76" s="30" customFormat="1" ht="20" customHeight="1" spans="1:15">
      <c r="A76" s="36"/>
      <c r="B76" s="32"/>
      <c r="C76" s="33"/>
      <c r="D76" s="32"/>
      <c r="E76" s="32"/>
      <c r="F76" s="32"/>
      <c r="G76" s="32"/>
      <c r="H76" s="37">
        <f ca="1" t="array" ref="H76">INDEX(成本核算表!J:J,MATCH(1,(成本核算表!D:D=E76)*(成本核算表!C:C=G76),0))</f>
        <v>0</v>
      </c>
      <c r="I76" s="37"/>
      <c r="J76" s="37">
        <f ca="1" t="shared" si="5"/>
        <v>0</v>
      </c>
      <c r="K76" s="32"/>
      <c r="L76" s="32"/>
      <c r="N76" s="37">
        <f ca="1" t="shared" si="6"/>
        <v>0</v>
      </c>
      <c r="O76" s="37">
        <f ca="1" t="shared" si="7"/>
        <v>0</v>
      </c>
    </row>
    <row r="77" s="30" customFormat="1" ht="20" customHeight="1" spans="1:15">
      <c r="A77" s="36"/>
      <c r="B77" s="32"/>
      <c r="C77" s="33"/>
      <c r="D77" s="32"/>
      <c r="E77" s="32"/>
      <c r="F77" s="32"/>
      <c r="G77" s="32"/>
      <c r="H77" s="37">
        <f ca="1" t="array" ref="H77">INDEX(成本核算表!J:J,MATCH(1,(成本核算表!D:D=E77)*(成本核算表!C:C=G77),0))</f>
        <v>0</v>
      </c>
      <c r="I77" s="37"/>
      <c r="J77" s="37">
        <f ca="1" t="shared" si="5"/>
        <v>0</v>
      </c>
      <c r="K77" s="32"/>
      <c r="L77" s="32"/>
      <c r="N77" s="37">
        <f ca="1" t="shared" si="6"/>
        <v>0</v>
      </c>
      <c r="O77" s="37">
        <f ca="1" t="shared" si="7"/>
        <v>0</v>
      </c>
    </row>
    <row r="78" s="30" customFormat="1" ht="20" customHeight="1" spans="1:15">
      <c r="A78" s="36"/>
      <c r="B78" s="32"/>
      <c r="C78" s="33"/>
      <c r="D78" s="32"/>
      <c r="E78" s="32"/>
      <c r="F78" s="32"/>
      <c r="G78" s="32"/>
      <c r="H78" s="37">
        <f ca="1" t="array" ref="H78">INDEX(成本核算表!J:J,MATCH(1,(成本核算表!D:D=E78)*(成本核算表!C:C=G78),0))</f>
        <v>0</v>
      </c>
      <c r="I78" s="37"/>
      <c r="J78" s="37">
        <f ca="1" t="shared" si="5"/>
        <v>0</v>
      </c>
      <c r="K78" s="32"/>
      <c r="L78" s="32"/>
      <c r="N78" s="37">
        <f ca="1" t="shared" si="6"/>
        <v>0</v>
      </c>
      <c r="O78" s="37">
        <f ca="1" t="shared" si="7"/>
        <v>0</v>
      </c>
    </row>
    <row r="79" s="30" customFormat="1" ht="20" customHeight="1" spans="1:15">
      <c r="A79" s="36"/>
      <c r="B79" s="32"/>
      <c r="C79" s="33"/>
      <c r="D79" s="32"/>
      <c r="E79" s="32"/>
      <c r="F79" s="32"/>
      <c r="G79" s="32"/>
      <c r="H79" s="37">
        <f ca="1" t="array" ref="H79">INDEX(成本核算表!J:J,MATCH(1,(成本核算表!D:D=E79)*(成本核算表!C:C=G79),0))</f>
        <v>0</v>
      </c>
      <c r="I79" s="37"/>
      <c r="J79" s="37">
        <f ca="1" t="shared" si="5"/>
        <v>0</v>
      </c>
      <c r="K79" s="32"/>
      <c r="L79" s="32"/>
      <c r="N79" s="37">
        <f ca="1" t="shared" si="6"/>
        <v>0</v>
      </c>
      <c r="O79" s="37">
        <f ca="1" t="shared" si="7"/>
        <v>0</v>
      </c>
    </row>
    <row r="80" s="30" customFormat="1" ht="20" customHeight="1" spans="1:15">
      <c r="A80" s="36"/>
      <c r="B80" s="32"/>
      <c r="C80" s="33"/>
      <c r="D80" s="32"/>
      <c r="E80" s="32"/>
      <c r="F80" s="32"/>
      <c r="G80" s="32"/>
      <c r="H80" s="37">
        <f ca="1" t="array" ref="H80">INDEX(成本核算表!J:J,MATCH(1,(成本核算表!D:D=E80)*(成本核算表!C:C=G80),0))</f>
        <v>0</v>
      </c>
      <c r="I80" s="37"/>
      <c r="J80" s="37">
        <f ca="1" t="shared" si="5"/>
        <v>0</v>
      </c>
      <c r="K80" s="32"/>
      <c r="L80" s="32"/>
      <c r="N80" s="37">
        <f ca="1" t="shared" si="6"/>
        <v>0</v>
      </c>
      <c r="O80" s="37">
        <f ca="1" t="shared" si="7"/>
        <v>0</v>
      </c>
    </row>
    <row r="81" s="30" customFormat="1" ht="20" customHeight="1" spans="1:15">
      <c r="A81" s="36"/>
      <c r="B81" s="32"/>
      <c r="C81" s="33"/>
      <c r="D81" s="32"/>
      <c r="E81" s="32"/>
      <c r="F81" s="32"/>
      <c r="G81" s="32"/>
      <c r="H81" s="37">
        <f ca="1" t="array" ref="H81">INDEX(成本核算表!J:J,MATCH(1,(成本核算表!D:D=E81)*(成本核算表!C:C=G81),0))</f>
        <v>0</v>
      </c>
      <c r="I81" s="37"/>
      <c r="J81" s="37">
        <f ca="1" t="shared" si="5"/>
        <v>0</v>
      </c>
      <c r="K81" s="32"/>
      <c r="L81" s="32"/>
      <c r="N81" s="37">
        <f ca="1" t="shared" si="6"/>
        <v>0</v>
      </c>
      <c r="O81" s="37">
        <f ca="1" t="shared" si="7"/>
        <v>0</v>
      </c>
    </row>
    <row r="82" s="30" customFormat="1" ht="20" customHeight="1" spans="1:15">
      <c r="A82" s="36"/>
      <c r="B82" s="32"/>
      <c r="C82" s="33"/>
      <c r="D82" s="32"/>
      <c r="E82" s="32"/>
      <c r="F82" s="32"/>
      <c r="G82" s="32"/>
      <c r="H82" s="37">
        <f ca="1" t="array" ref="H82">INDEX(成本核算表!J:J,MATCH(1,(成本核算表!D:D=E82)*(成本核算表!C:C=G82),0))</f>
        <v>0</v>
      </c>
      <c r="I82" s="37"/>
      <c r="J82" s="37">
        <f ca="1" t="shared" si="5"/>
        <v>0</v>
      </c>
      <c r="K82" s="32"/>
      <c r="L82" s="32"/>
      <c r="N82" s="37">
        <f ca="1" t="shared" si="6"/>
        <v>0</v>
      </c>
      <c r="O82" s="37">
        <f ca="1" t="shared" si="7"/>
        <v>0</v>
      </c>
    </row>
    <row r="83" s="30" customFormat="1" ht="20" customHeight="1" spans="1:15">
      <c r="A83" s="36"/>
      <c r="B83" s="32"/>
      <c r="C83" s="33"/>
      <c r="D83" s="32"/>
      <c r="E83" s="32"/>
      <c r="F83" s="32"/>
      <c r="G83" s="32"/>
      <c r="H83" s="37">
        <f ca="1" t="array" ref="H83">INDEX(成本核算表!J:J,MATCH(1,(成本核算表!D:D=E83)*(成本核算表!C:C=G83),0))</f>
        <v>0</v>
      </c>
      <c r="I83" s="37"/>
      <c r="J83" s="37">
        <f ca="1" t="shared" si="5"/>
        <v>0</v>
      </c>
      <c r="K83" s="32"/>
      <c r="L83" s="32"/>
      <c r="N83" s="37">
        <f ca="1" t="shared" si="6"/>
        <v>0</v>
      </c>
      <c r="O83" s="37">
        <f ca="1" t="shared" si="7"/>
        <v>0</v>
      </c>
    </row>
    <row r="84" s="30" customFormat="1" ht="20" customHeight="1" spans="1:15">
      <c r="A84" s="36"/>
      <c r="B84" s="32"/>
      <c r="C84" s="33"/>
      <c r="D84" s="32"/>
      <c r="E84" s="32"/>
      <c r="F84" s="32"/>
      <c r="G84" s="32"/>
      <c r="H84" s="37">
        <f ca="1" t="array" ref="H84">INDEX(成本核算表!J:J,MATCH(1,(成本核算表!D:D=E84)*(成本核算表!C:C=G84),0))</f>
        <v>0</v>
      </c>
      <c r="I84" s="37"/>
      <c r="J84" s="37">
        <f ca="1" t="shared" si="5"/>
        <v>0</v>
      </c>
      <c r="K84" s="32"/>
      <c r="L84" s="32"/>
      <c r="N84" s="37">
        <f ca="1" t="shared" si="6"/>
        <v>0</v>
      </c>
      <c r="O84" s="37">
        <f ca="1" t="shared" si="7"/>
        <v>0</v>
      </c>
    </row>
    <row r="85" s="30" customFormat="1" ht="20" customHeight="1" spans="1:15">
      <c r="A85" s="36"/>
      <c r="B85" s="32"/>
      <c r="C85" s="33"/>
      <c r="D85" s="32"/>
      <c r="E85" s="32"/>
      <c r="F85" s="32"/>
      <c r="G85" s="32"/>
      <c r="H85" s="37">
        <f ca="1" t="array" ref="H85">INDEX(成本核算表!J:J,MATCH(1,(成本核算表!D:D=E85)*(成本核算表!C:C=G85),0))</f>
        <v>0</v>
      </c>
      <c r="I85" s="37"/>
      <c r="J85" s="37">
        <f ca="1" t="shared" si="5"/>
        <v>0</v>
      </c>
      <c r="K85" s="32"/>
      <c r="L85" s="32"/>
      <c r="N85" s="37">
        <f ca="1" t="shared" si="6"/>
        <v>0</v>
      </c>
      <c r="O85" s="37">
        <f ca="1" t="shared" si="7"/>
        <v>0</v>
      </c>
    </row>
    <row r="86" s="30" customFormat="1" ht="20" customHeight="1" spans="1:15">
      <c r="A86" s="36"/>
      <c r="B86" s="32"/>
      <c r="C86" s="33"/>
      <c r="D86" s="32"/>
      <c r="E86" s="32"/>
      <c r="F86" s="32"/>
      <c r="G86" s="32"/>
      <c r="H86" s="37">
        <f ca="1" t="array" ref="H86">INDEX(成本核算表!J:J,MATCH(1,(成本核算表!D:D=E86)*(成本核算表!C:C=G86),0))</f>
        <v>0</v>
      </c>
      <c r="I86" s="37"/>
      <c r="J86" s="37">
        <f ca="1" t="shared" si="5"/>
        <v>0</v>
      </c>
      <c r="K86" s="32"/>
      <c r="L86" s="32"/>
      <c r="N86" s="37">
        <f ca="1" t="shared" si="6"/>
        <v>0</v>
      </c>
      <c r="O86" s="37">
        <f ca="1" t="shared" si="7"/>
        <v>0</v>
      </c>
    </row>
    <row r="87" s="30" customFormat="1" ht="20" customHeight="1" spans="1:15">
      <c r="A87" s="36"/>
      <c r="B87" s="32"/>
      <c r="C87" s="33"/>
      <c r="D87" s="32"/>
      <c r="E87" s="32"/>
      <c r="F87" s="32"/>
      <c r="G87" s="32"/>
      <c r="H87" s="37">
        <f ca="1" t="array" ref="H87">INDEX(成本核算表!J:J,MATCH(1,(成本核算表!D:D=E87)*(成本核算表!C:C=G87),0))</f>
        <v>0</v>
      </c>
      <c r="I87" s="37"/>
      <c r="J87" s="37">
        <f ca="1" t="shared" si="5"/>
        <v>0</v>
      </c>
      <c r="K87" s="32"/>
      <c r="L87" s="32"/>
      <c r="N87" s="37">
        <f ca="1" t="shared" si="6"/>
        <v>0</v>
      </c>
      <c r="O87" s="37">
        <f ca="1" t="shared" si="7"/>
        <v>0</v>
      </c>
    </row>
    <row r="88" s="30" customFormat="1" ht="20" customHeight="1" spans="1:15">
      <c r="A88" s="36"/>
      <c r="B88" s="32"/>
      <c r="C88" s="33"/>
      <c r="D88" s="32"/>
      <c r="E88" s="32"/>
      <c r="F88" s="32"/>
      <c r="G88" s="32"/>
      <c r="H88" s="37">
        <f ca="1" t="array" ref="H88">INDEX(成本核算表!J:J,MATCH(1,(成本核算表!D:D=E88)*(成本核算表!C:C=G88),0))</f>
        <v>0</v>
      </c>
      <c r="I88" s="37"/>
      <c r="J88" s="37">
        <f ca="1" t="shared" si="5"/>
        <v>0</v>
      </c>
      <c r="K88" s="32"/>
      <c r="L88" s="32"/>
      <c r="N88" s="37">
        <f ca="1" t="shared" si="6"/>
        <v>0</v>
      </c>
      <c r="O88" s="37">
        <f ca="1" t="shared" si="7"/>
        <v>0</v>
      </c>
    </row>
    <row r="89" s="30" customFormat="1" ht="20" customHeight="1" spans="1:15">
      <c r="A89" s="36"/>
      <c r="B89" s="32"/>
      <c r="C89" s="33"/>
      <c r="D89" s="32"/>
      <c r="E89" s="32"/>
      <c r="F89" s="32"/>
      <c r="G89" s="32"/>
      <c r="H89" s="37">
        <f ca="1" t="array" ref="H89">INDEX(成本核算表!J:J,MATCH(1,(成本核算表!D:D=E89)*(成本核算表!C:C=G89),0))</f>
        <v>0</v>
      </c>
      <c r="I89" s="37"/>
      <c r="J89" s="37">
        <f ca="1" t="shared" si="5"/>
        <v>0</v>
      </c>
      <c r="K89" s="32"/>
      <c r="L89" s="32"/>
      <c r="N89" s="37">
        <f ca="1" t="shared" si="6"/>
        <v>0</v>
      </c>
      <c r="O89" s="37">
        <f ca="1" t="shared" si="7"/>
        <v>0</v>
      </c>
    </row>
    <row r="90" s="30" customFormat="1" ht="20" customHeight="1" spans="1:15">
      <c r="A90" s="36"/>
      <c r="B90" s="32"/>
      <c r="C90" s="33"/>
      <c r="D90" s="32"/>
      <c r="E90" s="32"/>
      <c r="F90" s="32"/>
      <c r="G90" s="32"/>
      <c r="H90" s="37">
        <f ca="1" t="array" ref="H90">INDEX(成本核算表!J:J,MATCH(1,(成本核算表!D:D=E90)*(成本核算表!C:C=G90),0))</f>
        <v>0</v>
      </c>
      <c r="I90" s="37"/>
      <c r="J90" s="37">
        <f ca="1" t="shared" si="5"/>
        <v>0</v>
      </c>
      <c r="K90" s="32"/>
      <c r="L90" s="32"/>
      <c r="N90" s="37">
        <f ca="1" t="shared" si="6"/>
        <v>0</v>
      </c>
      <c r="O90" s="37">
        <f ca="1" t="shared" si="7"/>
        <v>0</v>
      </c>
    </row>
    <row r="91" s="30" customFormat="1" ht="20" customHeight="1" spans="1:15">
      <c r="A91" s="36"/>
      <c r="B91" s="32"/>
      <c r="C91" s="33"/>
      <c r="D91" s="32"/>
      <c r="E91" s="32"/>
      <c r="F91" s="32"/>
      <c r="G91" s="32"/>
      <c r="H91" s="37">
        <f ca="1" t="array" ref="H91">INDEX(成本核算表!J:J,MATCH(1,(成本核算表!D:D=E91)*(成本核算表!C:C=G91),0))</f>
        <v>0</v>
      </c>
      <c r="I91" s="37"/>
      <c r="J91" s="37">
        <f ca="1" t="shared" si="5"/>
        <v>0</v>
      </c>
      <c r="K91" s="32"/>
      <c r="L91" s="32"/>
      <c r="N91" s="37">
        <f ca="1" t="shared" si="6"/>
        <v>0</v>
      </c>
      <c r="O91" s="37">
        <f ca="1" t="shared" si="7"/>
        <v>0</v>
      </c>
    </row>
    <row r="92" s="30" customFormat="1" ht="20" customHeight="1" spans="1:15">
      <c r="A92" s="36"/>
      <c r="B92" s="32"/>
      <c r="C92" s="33"/>
      <c r="D92" s="32"/>
      <c r="E92" s="32"/>
      <c r="F92" s="32"/>
      <c r="G92" s="32"/>
      <c r="H92" s="37">
        <f ca="1" t="array" ref="H92">INDEX(成本核算表!J:J,MATCH(1,(成本核算表!D:D=E92)*(成本核算表!C:C=G92),0))</f>
        <v>0</v>
      </c>
      <c r="I92" s="37"/>
      <c r="J92" s="37">
        <f ca="1" t="shared" si="5"/>
        <v>0</v>
      </c>
      <c r="K92" s="32"/>
      <c r="L92" s="32"/>
      <c r="N92" s="37">
        <f ca="1" t="shared" si="6"/>
        <v>0</v>
      </c>
      <c r="O92" s="37">
        <f ca="1" t="shared" si="7"/>
        <v>0</v>
      </c>
    </row>
    <row r="93" s="30" customFormat="1" ht="20" customHeight="1" spans="1:15">
      <c r="A93" s="36"/>
      <c r="B93" s="32"/>
      <c r="C93" s="33"/>
      <c r="D93" s="32"/>
      <c r="E93" s="32"/>
      <c r="F93" s="32"/>
      <c r="G93" s="32"/>
      <c r="H93" s="37">
        <f ca="1" t="array" ref="H93">INDEX(成本核算表!J:J,MATCH(1,(成本核算表!D:D=E93)*(成本核算表!C:C=G93),0))</f>
        <v>0</v>
      </c>
      <c r="I93" s="37"/>
      <c r="J93" s="37">
        <f ca="1" t="shared" si="5"/>
        <v>0</v>
      </c>
      <c r="K93" s="32"/>
      <c r="L93" s="32"/>
      <c r="N93" s="37">
        <f ca="1" t="shared" si="6"/>
        <v>0</v>
      </c>
      <c r="O93" s="37">
        <f ca="1" t="shared" si="7"/>
        <v>0</v>
      </c>
    </row>
    <row r="94" s="30" customFormat="1" ht="20" customHeight="1" spans="1:15">
      <c r="A94" s="36"/>
      <c r="B94" s="32"/>
      <c r="C94" s="33"/>
      <c r="D94" s="32"/>
      <c r="E94" s="32"/>
      <c r="F94" s="32"/>
      <c r="G94" s="32"/>
      <c r="H94" s="37">
        <f ca="1" t="array" ref="H94">INDEX(成本核算表!J:J,MATCH(1,(成本核算表!D:D=E94)*(成本核算表!C:C=G94),0))</f>
        <v>0</v>
      </c>
      <c r="I94" s="37"/>
      <c r="J94" s="37">
        <f ca="1" t="shared" si="5"/>
        <v>0</v>
      </c>
      <c r="K94" s="32"/>
      <c r="L94" s="32"/>
      <c r="N94" s="37">
        <f ca="1" t="shared" si="6"/>
        <v>0</v>
      </c>
      <c r="O94" s="37">
        <f ca="1" t="shared" si="7"/>
        <v>0</v>
      </c>
    </row>
    <row r="95" s="30" customFormat="1" ht="20" customHeight="1" spans="1:15">
      <c r="A95" s="36"/>
      <c r="B95" s="32"/>
      <c r="C95" s="33"/>
      <c r="D95" s="32"/>
      <c r="E95" s="32"/>
      <c r="F95" s="32"/>
      <c r="G95" s="32"/>
      <c r="H95" s="37">
        <f ca="1" t="array" ref="H95">INDEX(成本核算表!J:J,MATCH(1,(成本核算表!D:D=E95)*(成本核算表!C:C=G95),0))</f>
        <v>0</v>
      </c>
      <c r="I95" s="37"/>
      <c r="J95" s="37">
        <f ca="1" t="shared" si="5"/>
        <v>0</v>
      </c>
      <c r="K95" s="32"/>
      <c r="L95" s="32"/>
      <c r="N95" s="37">
        <f ca="1" t="shared" si="6"/>
        <v>0</v>
      </c>
      <c r="O95" s="37">
        <f ca="1" t="shared" si="7"/>
        <v>0</v>
      </c>
    </row>
    <row r="96" s="30" customFormat="1" ht="20" customHeight="1" spans="1:15">
      <c r="A96" s="36"/>
      <c r="B96" s="32"/>
      <c r="C96" s="33"/>
      <c r="D96" s="32"/>
      <c r="E96" s="32"/>
      <c r="F96" s="32"/>
      <c r="G96" s="32"/>
      <c r="H96" s="37">
        <f ca="1" t="array" ref="H96">INDEX(成本核算表!J:J,MATCH(1,(成本核算表!D:D=E96)*(成本核算表!C:C=G96),0))</f>
        <v>0</v>
      </c>
      <c r="I96" s="37"/>
      <c r="J96" s="37">
        <f ca="1" t="shared" si="5"/>
        <v>0</v>
      </c>
      <c r="K96" s="32"/>
      <c r="L96" s="32"/>
      <c r="N96" s="37">
        <f ca="1" t="shared" si="6"/>
        <v>0</v>
      </c>
      <c r="O96" s="37">
        <f ca="1" t="shared" si="7"/>
        <v>0</v>
      </c>
    </row>
    <row r="97" s="30" customFormat="1" ht="20" customHeight="1" spans="1:15">
      <c r="A97" s="36"/>
      <c r="B97" s="32"/>
      <c r="C97" s="33"/>
      <c r="D97" s="32"/>
      <c r="E97" s="32"/>
      <c r="F97" s="32"/>
      <c r="G97" s="32"/>
      <c r="H97" s="37">
        <f ca="1" t="array" ref="H97">INDEX(成本核算表!J:J,MATCH(1,(成本核算表!D:D=E97)*(成本核算表!C:C=G97),0))</f>
        <v>0</v>
      </c>
      <c r="I97" s="37"/>
      <c r="J97" s="37">
        <f ca="1" t="shared" si="5"/>
        <v>0</v>
      </c>
      <c r="K97" s="32"/>
      <c r="L97" s="32"/>
      <c r="N97" s="37">
        <f ca="1" t="shared" si="6"/>
        <v>0</v>
      </c>
      <c r="O97" s="37">
        <f ca="1" t="shared" si="7"/>
        <v>0</v>
      </c>
    </row>
    <row r="98" s="30" customFormat="1" ht="20" customHeight="1" spans="1:15">
      <c r="A98" s="36"/>
      <c r="B98" s="32"/>
      <c r="C98" s="33"/>
      <c r="D98" s="32"/>
      <c r="E98" s="32"/>
      <c r="F98" s="32"/>
      <c r="G98" s="32"/>
      <c r="H98" s="37">
        <f ca="1" t="array" ref="H98">INDEX(成本核算表!J:J,MATCH(1,(成本核算表!D:D=E98)*(成本核算表!C:C=G98),0))</f>
        <v>0</v>
      </c>
      <c r="I98" s="37"/>
      <c r="J98" s="37">
        <f ca="1" t="shared" si="5"/>
        <v>0</v>
      </c>
      <c r="K98" s="32"/>
      <c r="L98" s="32"/>
      <c r="N98" s="37">
        <f ca="1" t="shared" si="6"/>
        <v>0</v>
      </c>
      <c r="O98" s="37">
        <f ca="1" t="shared" si="7"/>
        <v>0</v>
      </c>
    </row>
    <row r="99" s="30" customFormat="1" ht="20" customHeight="1" spans="1:15">
      <c r="A99" s="36"/>
      <c r="B99" s="32"/>
      <c r="C99" s="33"/>
      <c r="D99" s="32"/>
      <c r="E99" s="32"/>
      <c r="F99" s="32"/>
      <c r="G99" s="32"/>
      <c r="H99" s="37">
        <f ca="1" t="array" ref="H99">INDEX(成本核算表!J:J,MATCH(1,(成本核算表!D:D=E99)*(成本核算表!C:C=G99),0))</f>
        <v>0</v>
      </c>
      <c r="I99" s="37"/>
      <c r="J99" s="37">
        <f ca="1" t="shared" si="5"/>
        <v>0</v>
      </c>
      <c r="K99" s="32"/>
      <c r="L99" s="32"/>
      <c r="N99" s="37">
        <f ca="1" t="shared" si="6"/>
        <v>0</v>
      </c>
      <c r="O99" s="37">
        <f ca="1" t="shared" si="7"/>
        <v>0</v>
      </c>
    </row>
    <row r="100" s="30" customFormat="1" ht="20" customHeight="1" spans="1:15">
      <c r="A100" s="36"/>
      <c r="B100" s="32"/>
      <c r="C100" s="33"/>
      <c r="D100" s="32"/>
      <c r="E100" s="32"/>
      <c r="F100" s="32"/>
      <c r="G100" s="32"/>
      <c r="H100" s="37">
        <f ca="1" t="array" ref="H100">INDEX(成本核算表!J:J,MATCH(1,(成本核算表!D:D=E100)*(成本核算表!C:C=G100),0))</f>
        <v>0</v>
      </c>
      <c r="I100" s="37"/>
      <c r="J100" s="37">
        <f ca="1" t="shared" si="5"/>
        <v>0</v>
      </c>
      <c r="K100" s="32"/>
      <c r="L100" s="32"/>
      <c r="N100" s="37">
        <f ca="1" t="shared" si="6"/>
        <v>0</v>
      </c>
      <c r="O100" s="37">
        <f ca="1" t="shared" si="7"/>
        <v>0</v>
      </c>
    </row>
    <row r="101" s="30" customFormat="1" ht="20" customHeight="1" spans="1:15">
      <c r="A101" s="31"/>
      <c r="B101" s="32"/>
      <c r="C101" s="33"/>
      <c r="D101" s="32"/>
      <c r="E101" s="32"/>
      <c r="F101" s="32"/>
      <c r="G101" s="32"/>
      <c r="H101" s="37">
        <f ca="1" t="array" ref="H101">INDEX(成本核算表!J:J,MATCH(1,(成本核算表!D:D=E101)*(成本核算表!C:C=G101),0))</f>
        <v>0</v>
      </c>
      <c r="I101" s="37"/>
      <c r="J101" s="37">
        <f ca="1" t="shared" si="5"/>
        <v>0</v>
      </c>
      <c r="K101" s="32"/>
      <c r="L101" s="32"/>
      <c r="N101" s="37">
        <f ca="1" t="shared" si="6"/>
        <v>0</v>
      </c>
      <c r="O101" s="37">
        <f ca="1" t="shared" si="7"/>
        <v>0</v>
      </c>
    </row>
    <row r="102" s="30" customFormat="1" customHeight="1" spans="1:15">
      <c r="A102" s="31"/>
      <c r="B102" s="32"/>
      <c r="C102" s="33"/>
      <c r="D102" s="32"/>
      <c r="E102" s="32"/>
      <c r="F102" s="32"/>
      <c r="G102" s="32"/>
      <c r="H102" s="34"/>
      <c r="I102" s="34"/>
      <c r="J102" s="32"/>
      <c r="K102" s="32"/>
      <c r="L102" s="32"/>
    </row>
    <row r="103" s="30" customFormat="1" customHeight="1" spans="1:15">
      <c r="A103" s="31"/>
      <c r="B103" s="32"/>
      <c r="C103" s="33"/>
      <c r="D103" s="32"/>
      <c r="E103" s="32"/>
      <c r="F103" s="32"/>
      <c r="G103" s="32"/>
      <c r="H103" s="34"/>
      <c r="I103" s="34"/>
      <c r="J103" s="32"/>
      <c r="K103" s="32"/>
      <c r="L103" s="32"/>
    </row>
    <row r="104" s="30" customFormat="1" customHeight="1" spans="1:15">
      <c r="A104" s="31"/>
      <c r="B104" s="32"/>
      <c r="C104" s="33"/>
      <c r="D104" s="32"/>
      <c r="E104" s="32"/>
      <c r="F104" s="32"/>
      <c r="G104" s="32"/>
      <c r="H104" s="34"/>
      <c r="I104" s="34"/>
      <c r="J104" s="32"/>
      <c r="K104" s="32"/>
      <c r="L104" s="32"/>
    </row>
    <row r="105" s="30" customFormat="1" customHeight="1" spans="1:15">
      <c r="A105" s="31"/>
      <c r="B105" s="32"/>
      <c r="C105" s="33"/>
      <c r="D105" s="32"/>
      <c r="E105" s="32"/>
      <c r="F105" s="32"/>
      <c r="G105" s="32"/>
      <c r="H105" s="34"/>
      <c r="I105" s="34"/>
      <c r="J105" s="32"/>
      <c r="K105" s="32"/>
      <c r="L105" s="32"/>
    </row>
    <row r="106" s="30" customFormat="1" customHeight="1" spans="1:15">
      <c r="A106" s="31"/>
      <c r="B106" s="32"/>
      <c r="C106" s="33"/>
      <c r="D106" s="32"/>
      <c r="E106" s="32"/>
      <c r="F106" s="32"/>
      <c r="G106" s="32"/>
      <c r="H106" s="34"/>
      <c r="I106" s="34"/>
      <c r="J106" s="32"/>
      <c r="K106" s="32"/>
      <c r="L106" s="32"/>
    </row>
    <row r="107" s="30" customFormat="1" customHeight="1" spans="1:15">
      <c r="A107" s="31"/>
      <c r="B107" s="32"/>
      <c r="C107" s="33"/>
      <c r="D107" s="32"/>
      <c r="E107" s="32"/>
      <c r="F107" s="32"/>
      <c r="G107" s="32"/>
      <c r="H107" s="34"/>
      <c r="I107" s="34"/>
      <c r="J107" s="32"/>
      <c r="K107" s="32"/>
      <c r="L107" s="32"/>
    </row>
    <row r="108" s="30" customFormat="1" customHeight="1" spans="1:15">
      <c r="A108" s="31"/>
      <c r="B108" s="32"/>
      <c r="C108" s="33"/>
      <c r="D108" s="32"/>
      <c r="E108" s="32"/>
      <c r="F108" s="32"/>
      <c r="G108" s="32"/>
      <c r="H108" s="34"/>
      <c r="I108" s="34"/>
      <c r="J108" s="32"/>
      <c r="K108" s="32"/>
      <c r="L108" s="32"/>
    </row>
    <row r="109" s="30" customFormat="1" customHeight="1" spans="1:15">
      <c r="A109" s="31"/>
      <c r="B109" s="32"/>
      <c r="C109" s="33"/>
      <c r="D109" s="32"/>
      <c r="E109" s="32"/>
      <c r="F109" s="32"/>
      <c r="G109" s="32"/>
      <c r="H109" s="34"/>
      <c r="I109" s="34"/>
      <c r="J109" s="32"/>
      <c r="K109" s="32"/>
      <c r="L109" s="32"/>
    </row>
    <row r="110" s="30" customFormat="1" customHeight="1" spans="1:15">
      <c r="A110" s="31"/>
      <c r="B110" s="32"/>
      <c r="C110" s="33"/>
      <c r="D110" s="32"/>
      <c r="E110" s="32"/>
      <c r="F110" s="32"/>
      <c r="G110" s="32"/>
      <c r="H110" s="34"/>
      <c r="I110" s="34"/>
      <c r="J110" s="32"/>
      <c r="K110" s="32"/>
      <c r="L110" s="32"/>
    </row>
    <row r="111" s="30" customFormat="1" customHeight="1" spans="1:15">
      <c r="A111" s="31"/>
      <c r="B111" s="32"/>
      <c r="C111" s="33"/>
      <c r="D111" s="32"/>
      <c r="E111" s="32"/>
      <c r="F111" s="32"/>
      <c r="G111" s="32"/>
      <c r="H111" s="34"/>
      <c r="I111" s="34"/>
      <c r="J111" s="32"/>
      <c r="K111" s="32"/>
      <c r="L111" s="32"/>
    </row>
    <row r="112" s="30" customFormat="1" customHeight="1" spans="1:15">
      <c r="A112" s="31"/>
      <c r="B112" s="32"/>
      <c r="C112" s="33"/>
      <c r="D112" s="32"/>
      <c r="E112" s="32"/>
      <c r="F112" s="32"/>
      <c r="G112" s="32"/>
      <c r="H112" s="34"/>
      <c r="I112" s="34"/>
      <c r="J112" s="32"/>
      <c r="K112" s="32"/>
      <c r="L112" s="32"/>
    </row>
    <row r="113" s="30" customFormat="1" customHeight="1" spans="1:12">
      <c r="A113" s="31"/>
      <c r="B113" s="32"/>
      <c r="C113" s="33"/>
      <c r="D113" s="32"/>
      <c r="E113" s="32"/>
      <c r="F113" s="32"/>
      <c r="G113" s="32"/>
      <c r="H113" s="34"/>
      <c r="I113" s="34"/>
      <c r="J113" s="32"/>
      <c r="K113" s="32"/>
      <c r="L113" s="32"/>
    </row>
    <row r="114" s="30" customFormat="1" customHeight="1" spans="1:12">
      <c r="A114" s="31"/>
      <c r="B114" s="32"/>
      <c r="C114" s="33"/>
      <c r="D114" s="32"/>
      <c r="E114" s="32"/>
      <c r="F114" s="32"/>
      <c r="G114" s="32"/>
      <c r="H114" s="34"/>
      <c r="I114" s="34"/>
      <c r="J114" s="32"/>
      <c r="K114" s="32"/>
      <c r="L114" s="32"/>
    </row>
    <row r="115" s="30" customFormat="1" customHeight="1" spans="1:12">
      <c r="A115" s="31"/>
      <c r="B115" s="32"/>
      <c r="C115" s="33"/>
      <c r="D115" s="32"/>
      <c r="E115" s="32"/>
      <c r="F115" s="32"/>
      <c r="G115" s="32"/>
      <c r="H115" s="34"/>
      <c r="I115" s="34"/>
      <c r="J115" s="32"/>
      <c r="K115" s="32"/>
      <c r="L115" s="32"/>
    </row>
    <row r="116" s="30" customFormat="1" customHeight="1" spans="1:12">
      <c r="A116" s="31"/>
      <c r="B116" s="32"/>
      <c r="C116" s="33"/>
      <c r="D116" s="32"/>
      <c r="E116" s="32"/>
      <c r="F116" s="32"/>
      <c r="G116" s="32"/>
      <c r="H116" s="34"/>
      <c r="I116" s="34"/>
      <c r="J116" s="32"/>
      <c r="K116" s="32"/>
      <c r="L116" s="32"/>
    </row>
    <row r="117" s="30" customFormat="1" customHeight="1" spans="1:12">
      <c r="A117" s="31"/>
      <c r="B117" s="32"/>
      <c r="C117" s="33"/>
      <c r="D117" s="32"/>
      <c r="E117" s="32"/>
      <c r="F117" s="32"/>
      <c r="G117" s="32"/>
      <c r="H117" s="34"/>
      <c r="I117" s="34"/>
      <c r="J117" s="32"/>
      <c r="K117" s="32"/>
      <c r="L117" s="32"/>
    </row>
    <row r="118" s="30" customFormat="1" customHeight="1" spans="1:12">
      <c r="A118" s="31"/>
      <c r="B118" s="32"/>
      <c r="C118" s="33"/>
      <c r="D118" s="32"/>
      <c r="E118" s="32"/>
      <c r="F118" s="32"/>
      <c r="G118" s="32"/>
      <c r="H118" s="34"/>
      <c r="I118" s="34"/>
      <c r="J118" s="32"/>
      <c r="K118" s="32"/>
      <c r="L118" s="32"/>
    </row>
    <row r="119" s="30" customFormat="1" customHeight="1" spans="1:12">
      <c r="A119" s="31"/>
      <c r="B119" s="32"/>
      <c r="C119" s="33"/>
      <c r="D119" s="32"/>
      <c r="E119" s="32"/>
      <c r="F119" s="32"/>
      <c r="G119" s="32"/>
      <c r="H119" s="34"/>
      <c r="I119" s="34"/>
      <c r="J119" s="32"/>
      <c r="K119" s="32"/>
      <c r="L119" s="32"/>
    </row>
    <row r="120" s="30" customFormat="1" customHeight="1" spans="1:12">
      <c r="A120" s="31"/>
      <c r="B120" s="32"/>
      <c r="C120" s="33"/>
      <c r="D120" s="32"/>
      <c r="E120" s="32"/>
      <c r="F120" s="32"/>
      <c r="G120" s="32"/>
      <c r="H120" s="34"/>
      <c r="I120" s="34"/>
      <c r="J120" s="32"/>
      <c r="K120" s="32"/>
      <c r="L120" s="32"/>
    </row>
    <row r="121" s="30" customFormat="1" customHeight="1" spans="1:12">
      <c r="A121" s="31"/>
      <c r="B121" s="32"/>
      <c r="C121" s="33"/>
      <c r="D121" s="32"/>
      <c r="E121" s="32"/>
      <c r="F121" s="32"/>
      <c r="G121" s="32"/>
      <c r="H121" s="34"/>
      <c r="I121" s="34"/>
      <c r="J121" s="32"/>
      <c r="K121" s="32"/>
      <c r="L121" s="32"/>
    </row>
    <row r="122" s="30" customFormat="1" customHeight="1" spans="1:12">
      <c r="A122" s="31"/>
      <c r="B122" s="32"/>
      <c r="C122" s="33"/>
      <c r="D122" s="32"/>
      <c r="E122" s="32"/>
      <c r="F122" s="32"/>
      <c r="G122" s="32"/>
      <c r="H122" s="34"/>
      <c r="I122" s="34"/>
      <c r="J122" s="32"/>
      <c r="K122" s="32"/>
      <c r="L122" s="32"/>
    </row>
    <row r="123" s="30" customFormat="1" customHeight="1" spans="1:12">
      <c r="A123" s="31"/>
      <c r="B123" s="32"/>
      <c r="C123" s="33"/>
      <c r="D123" s="32"/>
      <c r="E123" s="32"/>
      <c r="F123" s="32"/>
      <c r="G123" s="32"/>
      <c r="H123" s="34"/>
      <c r="I123" s="34"/>
      <c r="J123" s="32"/>
      <c r="K123" s="32"/>
      <c r="L123" s="32"/>
    </row>
    <row r="124" s="30" customFormat="1" customHeight="1" spans="1:12">
      <c r="A124" s="31"/>
      <c r="B124" s="32"/>
      <c r="C124" s="33"/>
      <c r="D124" s="32"/>
      <c r="E124" s="32"/>
      <c r="F124" s="32"/>
      <c r="G124" s="32"/>
      <c r="H124" s="34"/>
      <c r="I124" s="34"/>
      <c r="J124" s="32"/>
      <c r="K124" s="32"/>
      <c r="L124" s="32"/>
    </row>
    <row r="125" s="30" customFormat="1" customHeight="1" spans="1:12">
      <c r="A125" s="31"/>
      <c r="B125" s="32"/>
      <c r="C125" s="33"/>
      <c r="D125" s="32"/>
      <c r="E125" s="32"/>
      <c r="F125" s="32"/>
      <c r="G125" s="32"/>
      <c r="H125" s="34"/>
      <c r="I125" s="34"/>
      <c r="J125" s="32"/>
      <c r="K125" s="32"/>
      <c r="L125" s="32"/>
    </row>
    <row r="126" s="30" customFormat="1" customHeight="1" spans="1:12">
      <c r="A126" s="31"/>
      <c r="B126" s="32"/>
      <c r="C126" s="33"/>
      <c r="D126" s="32"/>
      <c r="E126" s="32"/>
      <c r="F126" s="32"/>
      <c r="G126" s="32"/>
      <c r="H126" s="34"/>
      <c r="I126" s="34"/>
      <c r="J126" s="32"/>
      <c r="K126" s="32"/>
      <c r="L126" s="32"/>
    </row>
    <row r="127" s="30" customFormat="1" customHeight="1" spans="1:12">
      <c r="A127" s="31"/>
      <c r="B127" s="32"/>
      <c r="C127" s="33"/>
      <c r="D127" s="32"/>
      <c r="E127" s="32"/>
      <c r="F127" s="32"/>
      <c r="G127" s="32"/>
      <c r="H127" s="34"/>
      <c r="I127" s="34"/>
      <c r="J127" s="32"/>
      <c r="K127" s="32"/>
      <c r="L127" s="32"/>
    </row>
    <row r="128" s="30" customFormat="1" customHeight="1" spans="1:12">
      <c r="A128" s="31"/>
      <c r="B128" s="32"/>
      <c r="C128" s="33"/>
      <c r="D128" s="32"/>
      <c r="E128" s="32"/>
      <c r="F128" s="32"/>
      <c r="G128" s="32"/>
      <c r="H128" s="34"/>
      <c r="I128" s="34"/>
      <c r="J128" s="32"/>
      <c r="K128" s="32"/>
      <c r="L128" s="32"/>
    </row>
    <row r="129" s="30" customFormat="1" customHeight="1" spans="1:12">
      <c r="A129" s="31"/>
      <c r="B129" s="32"/>
      <c r="C129" s="33"/>
      <c r="D129" s="32"/>
      <c r="E129" s="32"/>
      <c r="F129" s="32"/>
      <c r="G129" s="32"/>
      <c r="H129" s="34"/>
      <c r="I129" s="34"/>
      <c r="J129" s="32"/>
      <c r="K129" s="32"/>
      <c r="L129" s="32"/>
    </row>
    <row r="130" s="30" customFormat="1" customHeight="1" spans="1:12">
      <c r="A130" s="31"/>
      <c r="B130" s="32"/>
      <c r="C130" s="33"/>
      <c r="D130" s="32"/>
      <c r="E130" s="32"/>
      <c r="F130" s="32"/>
      <c r="G130" s="32"/>
      <c r="H130" s="34"/>
      <c r="I130" s="34"/>
      <c r="J130" s="32"/>
      <c r="K130" s="32"/>
      <c r="L130" s="32"/>
    </row>
    <row r="131" s="30" customFormat="1" customHeight="1" spans="1:12">
      <c r="A131" s="31"/>
      <c r="B131" s="32"/>
      <c r="C131" s="33"/>
      <c r="D131" s="32"/>
      <c r="E131" s="32"/>
      <c r="F131" s="32"/>
      <c r="G131" s="32"/>
      <c r="H131" s="34"/>
      <c r="I131" s="34"/>
      <c r="J131" s="32"/>
      <c r="K131" s="32"/>
      <c r="L131" s="32"/>
    </row>
    <row r="132" s="30" customFormat="1" customHeight="1" spans="1:12">
      <c r="A132" s="31"/>
      <c r="B132" s="32"/>
      <c r="C132" s="33"/>
      <c r="D132" s="32"/>
      <c r="E132" s="32"/>
      <c r="F132" s="32"/>
      <c r="G132" s="32"/>
      <c r="H132" s="34"/>
      <c r="I132" s="34"/>
      <c r="J132" s="32"/>
      <c r="K132" s="32"/>
      <c r="L132" s="32"/>
    </row>
    <row r="133" s="30" customFormat="1" customHeight="1" spans="1:12">
      <c r="A133" s="31"/>
      <c r="B133" s="32"/>
      <c r="C133" s="33"/>
      <c r="D133" s="32"/>
      <c r="E133" s="32"/>
      <c r="F133" s="32"/>
      <c r="G133" s="32"/>
      <c r="H133" s="34"/>
      <c r="I133" s="34"/>
      <c r="J133" s="32"/>
      <c r="K133" s="32"/>
      <c r="L133" s="32"/>
    </row>
    <row r="134" s="30" customFormat="1" customHeight="1" spans="1:12">
      <c r="A134" s="31"/>
      <c r="B134" s="32"/>
      <c r="C134" s="33"/>
      <c r="D134" s="32"/>
      <c r="E134" s="32"/>
      <c r="F134" s="32"/>
      <c r="G134" s="32"/>
      <c r="H134" s="34"/>
      <c r="I134" s="34"/>
      <c r="J134" s="32"/>
      <c r="K134" s="32"/>
      <c r="L134" s="32"/>
    </row>
    <row r="135" s="30" customFormat="1" customHeight="1" spans="1:12">
      <c r="A135" s="31"/>
      <c r="B135" s="32"/>
      <c r="C135" s="33"/>
      <c r="D135" s="32"/>
      <c r="E135" s="32"/>
      <c r="F135" s="32"/>
      <c r="G135" s="32"/>
      <c r="H135" s="34"/>
      <c r="I135" s="34"/>
      <c r="J135" s="32"/>
      <c r="K135" s="32"/>
      <c r="L135" s="32"/>
    </row>
    <row r="136" s="30" customFormat="1" customHeight="1" spans="1:12">
      <c r="A136" s="31"/>
      <c r="B136" s="32"/>
      <c r="C136" s="33"/>
      <c r="D136" s="32"/>
      <c r="E136" s="32"/>
      <c r="F136" s="32"/>
      <c r="G136" s="32"/>
      <c r="H136" s="34"/>
      <c r="I136" s="34"/>
      <c r="J136" s="32"/>
      <c r="K136" s="32"/>
      <c r="L136" s="32"/>
    </row>
    <row r="137" s="30" customFormat="1" customHeight="1" spans="1:12">
      <c r="A137" s="31"/>
      <c r="B137" s="32"/>
      <c r="C137" s="33"/>
      <c r="D137" s="32"/>
      <c r="E137" s="32"/>
      <c r="F137" s="32"/>
      <c r="G137" s="32"/>
      <c r="H137" s="34"/>
      <c r="I137" s="34"/>
      <c r="J137" s="32"/>
      <c r="K137" s="32"/>
      <c r="L137" s="32"/>
    </row>
    <row r="138" s="30" customFormat="1" customHeight="1" spans="1:12">
      <c r="A138" s="31"/>
      <c r="B138" s="32"/>
      <c r="C138" s="33"/>
      <c r="D138" s="32"/>
      <c r="E138" s="32"/>
      <c r="F138" s="32"/>
      <c r="G138" s="32"/>
      <c r="H138" s="34"/>
      <c r="I138" s="34"/>
      <c r="J138" s="32"/>
      <c r="K138" s="32"/>
      <c r="L138" s="32"/>
    </row>
    <row r="139" s="30" customFormat="1" customHeight="1" spans="1:12">
      <c r="A139" s="31"/>
      <c r="B139" s="32"/>
      <c r="C139" s="33"/>
      <c r="D139" s="32"/>
      <c r="E139" s="32"/>
      <c r="F139" s="32"/>
      <c r="G139" s="32"/>
      <c r="H139" s="34"/>
      <c r="I139" s="34"/>
      <c r="J139" s="32"/>
      <c r="K139" s="32"/>
      <c r="L139" s="32"/>
    </row>
    <row r="140" s="30" customFormat="1" customHeight="1" spans="1:12">
      <c r="A140" s="31"/>
      <c r="B140" s="32"/>
      <c r="C140" s="33"/>
      <c r="D140" s="32"/>
      <c r="E140" s="32"/>
      <c r="F140" s="32"/>
      <c r="G140" s="32"/>
      <c r="H140" s="34"/>
      <c r="I140" s="34"/>
      <c r="J140" s="32"/>
      <c r="K140" s="32"/>
      <c r="L140" s="32"/>
    </row>
    <row r="141" s="30" customFormat="1" customHeight="1" spans="1:12">
      <c r="A141" s="31"/>
      <c r="B141" s="32"/>
      <c r="C141" s="33"/>
      <c r="D141" s="32"/>
      <c r="E141" s="32"/>
      <c r="F141" s="32"/>
      <c r="G141" s="32"/>
      <c r="H141" s="34"/>
      <c r="I141" s="34"/>
      <c r="J141" s="32"/>
      <c r="K141" s="32"/>
      <c r="L141" s="32"/>
    </row>
    <row r="142" s="30" customFormat="1" customHeight="1" spans="1:12">
      <c r="A142" s="31"/>
      <c r="B142" s="32"/>
      <c r="C142" s="33"/>
      <c r="D142" s="32"/>
      <c r="E142" s="32"/>
      <c r="F142" s="32"/>
      <c r="G142" s="32"/>
      <c r="H142" s="34"/>
      <c r="I142" s="34"/>
      <c r="J142" s="32"/>
      <c r="K142" s="32"/>
      <c r="L142" s="32"/>
    </row>
    <row r="143" s="30" customFormat="1" customHeight="1" spans="1:12">
      <c r="A143" s="31"/>
      <c r="B143" s="32"/>
      <c r="C143" s="33"/>
      <c r="D143" s="32"/>
      <c r="E143" s="32"/>
      <c r="F143" s="32"/>
      <c r="G143" s="32"/>
      <c r="H143" s="34"/>
      <c r="I143" s="34"/>
      <c r="J143" s="32"/>
      <c r="K143" s="32"/>
      <c r="L143" s="32"/>
    </row>
    <row r="144" s="30" customFormat="1" customHeight="1" spans="1:12">
      <c r="A144" s="31"/>
      <c r="B144" s="32"/>
      <c r="C144" s="33"/>
      <c r="D144" s="32"/>
      <c r="E144" s="32"/>
      <c r="F144" s="32"/>
      <c r="G144" s="32"/>
      <c r="H144" s="34"/>
      <c r="I144" s="34"/>
      <c r="J144" s="32"/>
      <c r="K144" s="32"/>
      <c r="L144" s="32"/>
    </row>
    <row r="145" s="30" customFormat="1" customHeight="1" spans="1:12">
      <c r="A145" s="31"/>
      <c r="B145" s="32"/>
      <c r="C145" s="33"/>
      <c r="D145" s="32"/>
      <c r="E145" s="32"/>
      <c r="F145" s="32"/>
      <c r="G145" s="32"/>
      <c r="H145" s="34"/>
      <c r="I145" s="34"/>
      <c r="J145" s="32"/>
      <c r="K145" s="32"/>
      <c r="L145" s="32"/>
    </row>
    <row r="146" s="30" customFormat="1" customHeight="1" spans="1:12">
      <c r="A146" s="31"/>
      <c r="B146" s="32"/>
      <c r="C146" s="33"/>
      <c r="D146" s="32"/>
      <c r="E146" s="32"/>
      <c r="F146" s="32"/>
      <c r="G146" s="32"/>
      <c r="H146" s="34"/>
      <c r="I146" s="34"/>
      <c r="J146" s="32"/>
      <c r="K146" s="32"/>
      <c r="L146" s="32"/>
    </row>
    <row r="147" s="30" customFormat="1" customHeight="1" spans="1:12">
      <c r="A147" s="31"/>
      <c r="B147" s="32"/>
      <c r="C147" s="33"/>
      <c r="D147" s="32"/>
      <c r="E147" s="32"/>
      <c r="F147" s="32"/>
      <c r="G147" s="32"/>
      <c r="H147" s="34"/>
      <c r="I147" s="34"/>
      <c r="J147" s="32"/>
      <c r="K147" s="32"/>
      <c r="L147" s="32"/>
    </row>
    <row r="148" s="30" customFormat="1" customHeight="1" spans="1:12">
      <c r="A148" s="31"/>
      <c r="B148" s="32"/>
      <c r="C148" s="33"/>
      <c r="D148" s="32"/>
      <c r="E148" s="32"/>
      <c r="F148" s="32"/>
      <c r="G148" s="32"/>
      <c r="H148" s="34"/>
      <c r="I148" s="34"/>
      <c r="J148" s="32"/>
      <c r="K148" s="32"/>
      <c r="L148" s="32"/>
    </row>
    <row r="149" s="30" customFormat="1" customHeight="1" spans="1:12">
      <c r="A149" s="31"/>
      <c r="B149" s="32"/>
      <c r="C149" s="33"/>
      <c r="D149" s="32"/>
      <c r="E149" s="32"/>
      <c r="F149" s="32"/>
      <c r="G149" s="32"/>
      <c r="H149" s="34"/>
      <c r="I149" s="34"/>
      <c r="J149" s="32"/>
      <c r="K149" s="32"/>
      <c r="L149" s="32"/>
    </row>
    <row r="150" s="30" customFormat="1" customHeight="1" spans="1:12">
      <c r="A150" s="31"/>
      <c r="B150" s="32"/>
      <c r="C150" s="33"/>
      <c r="D150" s="32"/>
      <c r="E150" s="32"/>
      <c r="F150" s="32"/>
      <c r="G150" s="32"/>
      <c r="H150" s="34"/>
      <c r="I150" s="34"/>
      <c r="J150" s="32"/>
      <c r="K150" s="32"/>
      <c r="L150" s="32"/>
    </row>
    <row r="151" s="30" customFormat="1" customHeight="1" spans="1:12">
      <c r="A151" s="31"/>
      <c r="B151" s="32"/>
      <c r="C151" s="33"/>
      <c r="D151" s="32"/>
      <c r="E151" s="32"/>
      <c r="F151" s="32"/>
      <c r="G151" s="32"/>
      <c r="H151" s="34"/>
      <c r="I151" s="34"/>
      <c r="J151" s="32"/>
      <c r="K151" s="32"/>
      <c r="L151" s="32"/>
    </row>
    <row r="152" s="30" customFormat="1" customHeight="1" spans="1:12">
      <c r="A152" s="31"/>
      <c r="B152" s="32"/>
      <c r="C152" s="33"/>
      <c r="D152" s="32"/>
      <c r="E152" s="32"/>
      <c r="F152" s="32"/>
      <c r="G152" s="32"/>
      <c r="H152" s="34"/>
      <c r="I152" s="34"/>
      <c r="J152" s="32"/>
      <c r="K152" s="32"/>
      <c r="L152" s="32"/>
    </row>
    <row r="153" s="30" customFormat="1" customHeight="1" spans="1:12">
      <c r="A153" s="31"/>
      <c r="B153" s="32"/>
      <c r="C153" s="33"/>
      <c r="D153" s="32"/>
      <c r="E153" s="32"/>
      <c r="F153" s="32"/>
      <c r="G153" s="32"/>
      <c r="H153" s="34"/>
      <c r="I153" s="34"/>
      <c r="J153" s="32"/>
      <c r="K153" s="32"/>
      <c r="L153" s="32"/>
    </row>
    <row r="154" s="30" customFormat="1" customHeight="1" spans="1:12">
      <c r="A154" s="31"/>
      <c r="B154" s="32"/>
      <c r="C154" s="33"/>
      <c r="D154" s="32"/>
      <c r="E154" s="32"/>
      <c r="F154" s="32"/>
      <c r="G154" s="32"/>
      <c r="H154" s="34"/>
      <c r="I154" s="34"/>
      <c r="J154" s="32"/>
      <c r="K154" s="32"/>
      <c r="L154" s="32"/>
    </row>
    <row r="155" s="30" customFormat="1" customHeight="1" spans="1:12">
      <c r="A155" s="31"/>
      <c r="B155" s="32"/>
      <c r="C155" s="33"/>
      <c r="D155" s="32"/>
      <c r="E155" s="32"/>
      <c r="F155" s="32"/>
      <c r="G155" s="32"/>
      <c r="H155" s="34"/>
      <c r="I155" s="34"/>
      <c r="J155" s="32"/>
      <c r="K155" s="32"/>
      <c r="L155" s="32"/>
    </row>
    <row r="156" s="30" customFormat="1" customHeight="1" spans="1:12">
      <c r="A156" s="31"/>
      <c r="B156" s="32"/>
      <c r="C156" s="33"/>
      <c r="D156" s="32"/>
      <c r="E156" s="32"/>
      <c r="F156" s="32"/>
      <c r="G156" s="32"/>
      <c r="H156" s="34"/>
      <c r="I156" s="34"/>
      <c r="J156" s="32"/>
      <c r="K156" s="32"/>
      <c r="L156" s="32"/>
    </row>
    <row r="157" s="30" customFormat="1" customHeight="1" spans="1:12">
      <c r="A157" s="31"/>
      <c r="B157" s="32"/>
      <c r="C157" s="33"/>
      <c r="D157" s="32"/>
      <c r="E157" s="32"/>
      <c r="F157" s="32"/>
      <c r="G157" s="32"/>
      <c r="H157" s="34"/>
      <c r="I157" s="34"/>
      <c r="J157" s="32"/>
      <c r="K157" s="32"/>
      <c r="L157" s="32"/>
    </row>
    <row r="158" s="30" customFormat="1" customHeight="1" spans="1:12">
      <c r="A158" s="31"/>
      <c r="B158" s="32"/>
      <c r="C158" s="33"/>
      <c r="D158" s="32"/>
      <c r="E158" s="32"/>
      <c r="F158" s="32"/>
      <c r="G158" s="32"/>
      <c r="H158" s="34"/>
      <c r="I158" s="34"/>
      <c r="J158" s="32"/>
      <c r="K158" s="32"/>
      <c r="L158" s="32"/>
    </row>
    <row r="159" s="30" customFormat="1" customHeight="1" spans="1:12">
      <c r="A159" s="31"/>
      <c r="B159" s="32"/>
      <c r="C159" s="33"/>
      <c r="D159" s="32"/>
      <c r="E159" s="32"/>
      <c r="F159" s="32"/>
      <c r="G159" s="32"/>
      <c r="H159" s="34"/>
      <c r="I159" s="34"/>
      <c r="J159" s="32"/>
      <c r="K159" s="32"/>
      <c r="L159" s="32"/>
    </row>
    <row r="160" s="30" customFormat="1" customHeight="1" spans="1:12">
      <c r="A160" s="31"/>
      <c r="B160" s="32"/>
      <c r="C160" s="33"/>
      <c r="D160" s="32"/>
      <c r="E160" s="32"/>
      <c r="F160" s="32"/>
      <c r="G160" s="32"/>
      <c r="H160" s="34"/>
      <c r="I160" s="34"/>
      <c r="J160" s="32"/>
      <c r="K160" s="32"/>
      <c r="L160" s="32"/>
    </row>
    <row r="161" s="30" customFormat="1" customHeight="1" spans="1:12">
      <c r="A161" s="31"/>
      <c r="B161" s="32"/>
      <c r="C161" s="33"/>
      <c r="D161" s="32"/>
      <c r="E161" s="32"/>
      <c r="F161" s="32"/>
      <c r="G161" s="32"/>
      <c r="H161" s="34"/>
      <c r="I161" s="34"/>
      <c r="J161" s="32"/>
      <c r="K161" s="32"/>
      <c r="L161" s="32"/>
    </row>
    <row r="162" s="30" customFormat="1" customHeight="1" spans="1:12">
      <c r="A162" s="31"/>
      <c r="B162" s="32"/>
      <c r="C162" s="33"/>
      <c r="D162" s="32"/>
      <c r="E162" s="32"/>
      <c r="F162" s="32"/>
      <c r="G162" s="32"/>
      <c r="H162" s="34"/>
      <c r="I162" s="34"/>
      <c r="J162" s="32"/>
      <c r="K162" s="32"/>
      <c r="L162" s="32"/>
    </row>
    <row r="163" s="30" customFormat="1" customHeight="1" spans="1:12">
      <c r="A163" s="31"/>
      <c r="B163" s="32"/>
      <c r="C163" s="33"/>
      <c r="D163" s="32"/>
      <c r="E163" s="32"/>
      <c r="F163" s="32"/>
      <c r="G163" s="32"/>
      <c r="H163" s="34"/>
      <c r="I163" s="34"/>
      <c r="J163" s="32"/>
      <c r="K163" s="32"/>
      <c r="L163" s="32"/>
    </row>
    <row r="164" s="30" customFormat="1" customHeight="1" spans="1:12">
      <c r="A164" s="31"/>
      <c r="B164" s="32"/>
      <c r="C164" s="33"/>
      <c r="D164" s="32"/>
      <c r="E164" s="32"/>
      <c r="F164" s="32"/>
      <c r="G164" s="32"/>
      <c r="H164" s="34"/>
      <c r="I164" s="34"/>
      <c r="J164" s="32"/>
      <c r="K164" s="32"/>
      <c r="L164" s="32"/>
    </row>
    <row r="165" s="30" customFormat="1" customHeight="1" spans="1:12">
      <c r="A165" s="31"/>
      <c r="B165" s="32"/>
      <c r="C165" s="33"/>
      <c r="D165" s="32"/>
      <c r="E165" s="32"/>
      <c r="F165" s="32"/>
      <c r="G165" s="32"/>
      <c r="H165" s="34"/>
      <c r="I165" s="34"/>
      <c r="J165" s="32"/>
      <c r="K165" s="32"/>
      <c r="L165" s="32"/>
    </row>
    <row r="166" s="30" customFormat="1" customHeight="1" spans="1:12">
      <c r="A166" s="31"/>
      <c r="B166" s="32"/>
      <c r="C166" s="33"/>
      <c r="D166" s="32"/>
      <c r="E166" s="32"/>
      <c r="F166" s="32"/>
      <c r="G166" s="32"/>
      <c r="H166" s="34"/>
      <c r="I166" s="34"/>
      <c r="J166" s="32"/>
      <c r="K166" s="32"/>
      <c r="L166" s="32"/>
    </row>
    <row r="167" s="30" customFormat="1" customHeight="1" spans="1:12">
      <c r="A167" s="31"/>
      <c r="B167" s="32"/>
      <c r="C167" s="33"/>
      <c r="D167" s="32"/>
      <c r="E167" s="32"/>
      <c r="F167" s="32"/>
      <c r="G167" s="32"/>
      <c r="H167" s="34"/>
      <c r="I167" s="34"/>
      <c r="J167" s="32"/>
      <c r="K167" s="32"/>
      <c r="L167" s="32"/>
    </row>
    <row r="168" s="30" customFormat="1" customHeight="1" spans="1:12">
      <c r="A168" s="31"/>
      <c r="B168" s="32"/>
      <c r="C168" s="33"/>
      <c r="D168" s="32"/>
      <c r="E168" s="32"/>
      <c r="F168" s="32"/>
      <c r="G168" s="32"/>
      <c r="H168" s="34"/>
      <c r="I168" s="34"/>
      <c r="J168" s="32"/>
      <c r="K168" s="32"/>
      <c r="L168" s="32"/>
    </row>
    <row r="169" s="30" customFormat="1" customHeight="1" spans="1:12">
      <c r="A169" s="31"/>
      <c r="B169" s="32"/>
      <c r="C169" s="33"/>
      <c r="D169" s="32"/>
      <c r="E169" s="32"/>
      <c r="F169" s="32"/>
      <c r="G169" s="32"/>
      <c r="H169" s="34"/>
      <c r="I169" s="34"/>
      <c r="J169" s="32"/>
      <c r="K169" s="32"/>
      <c r="L169" s="32"/>
    </row>
    <row r="170" s="30" customFormat="1" customHeight="1" spans="1:12">
      <c r="A170" s="31"/>
      <c r="B170" s="32"/>
      <c r="C170" s="33"/>
      <c r="D170" s="32"/>
      <c r="E170" s="32"/>
      <c r="F170" s="32"/>
      <c r="G170" s="32"/>
      <c r="H170" s="34"/>
      <c r="I170" s="34"/>
      <c r="J170" s="32"/>
      <c r="K170" s="32"/>
      <c r="L170" s="32"/>
    </row>
    <row r="171" s="30" customFormat="1" customHeight="1" spans="1:12">
      <c r="A171" s="31"/>
      <c r="B171" s="32"/>
      <c r="C171" s="33"/>
      <c r="D171" s="32"/>
      <c r="E171" s="32"/>
      <c r="F171" s="32"/>
      <c r="G171" s="32"/>
      <c r="H171" s="34"/>
      <c r="I171" s="34"/>
      <c r="J171" s="32"/>
      <c r="K171" s="32"/>
      <c r="L171" s="32"/>
    </row>
    <row r="172" s="30" customFormat="1" customHeight="1" spans="1:12">
      <c r="A172" s="31"/>
      <c r="B172" s="32"/>
      <c r="C172" s="33"/>
      <c r="D172" s="32"/>
      <c r="E172" s="32"/>
      <c r="F172" s="32"/>
      <c r="G172" s="32"/>
      <c r="H172" s="34"/>
      <c r="I172" s="34"/>
      <c r="J172" s="32"/>
      <c r="K172" s="32"/>
      <c r="L172" s="32"/>
    </row>
    <row r="173" s="30" customFormat="1" customHeight="1" spans="1:12">
      <c r="A173" s="31"/>
      <c r="B173" s="32"/>
      <c r="C173" s="33"/>
      <c r="D173" s="32"/>
      <c r="E173" s="32"/>
      <c r="F173" s="32"/>
      <c r="G173" s="32"/>
      <c r="H173" s="34"/>
      <c r="I173" s="34"/>
      <c r="J173" s="32"/>
      <c r="K173" s="32"/>
      <c r="L173" s="32"/>
    </row>
    <row r="174" s="30" customFormat="1" customHeight="1" spans="1:12">
      <c r="A174" s="31"/>
      <c r="B174" s="32"/>
      <c r="C174" s="33"/>
      <c r="D174" s="32"/>
      <c r="E174" s="32"/>
      <c r="F174" s="32"/>
      <c r="G174" s="32"/>
      <c r="H174" s="34"/>
      <c r="I174" s="34"/>
      <c r="J174" s="32"/>
      <c r="K174" s="32"/>
      <c r="L174" s="32"/>
    </row>
    <row r="175" s="30" customFormat="1" customHeight="1" spans="1:12">
      <c r="A175" s="31"/>
      <c r="B175" s="32"/>
      <c r="C175" s="33"/>
      <c r="D175" s="32"/>
      <c r="E175" s="32"/>
      <c r="F175" s="32"/>
      <c r="G175" s="32"/>
      <c r="H175" s="34"/>
      <c r="I175" s="34"/>
      <c r="J175" s="32"/>
      <c r="K175" s="32"/>
      <c r="L175" s="32"/>
    </row>
    <row r="176" s="30" customFormat="1" customHeight="1" spans="1:12">
      <c r="A176" s="31"/>
      <c r="B176" s="32"/>
      <c r="C176" s="33"/>
      <c r="D176" s="32"/>
      <c r="E176" s="32"/>
      <c r="F176" s="32"/>
      <c r="G176" s="32"/>
      <c r="H176" s="34"/>
      <c r="I176" s="34"/>
      <c r="J176" s="32"/>
      <c r="K176" s="32"/>
      <c r="L176" s="32"/>
    </row>
    <row r="177" s="30" customFormat="1" customHeight="1" spans="1:12">
      <c r="A177" s="31"/>
      <c r="B177" s="32"/>
      <c r="C177" s="33"/>
      <c r="D177" s="32"/>
      <c r="E177" s="32"/>
      <c r="F177" s="32"/>
      <c r="G177" s="32"/>
      <c r="H177" s="34"/>
      <c r="I177" s="34"/>
      <c r="J177" s="32"/>
      <c r="K177" s="32"/>
      <c r="L177" s="32"/>
    </row>
    <row r="178" s="30" customFormat="1" customHeight="1" spans="1:12">
      <c r="A178" s="31"/>
      <c r="B178" s="32"/>
      <c r="C178" s="33"/>
      <c r="D178" s="32"/>
      <c r="E178" s="32"/>
      <c r="F178" s="32"/>
      <c r="G178" s="32"/>
      <c r="H178" s="34"/>
      <c r="I178" s="34"/>
      <c r="J178" s="32"/>
      <c r="K178" s="32"/>
      <c r="L178" s="32"/>
    </row>
    <row r="179" s="30" customFormat="1" customHeight="1" spans="1:12">
      <c r="A179" s="31"/>
      <c r="B179" s="32"/>
      <c r="C179" s="33"/>
      <c r="D179" s="32"/>
      <c r="E179" s="32"/>
      <c r="F179" s="32"/>
      <c r="G179" s="32"/>
      <c r="H179" s="34"/>
      <c r="I179" s="34"/>
      <c r="J179" s="32"/>
      <c r="K179" s="32"/>
      <c r="L179" s="32"/>
    </row>
    <row r="180" s="30" customFormat="1" customHeight="1" spans="1:12">
      <c r="A180" s="31"/>
      <c r="B180" s="32"/>
      <c r="C180" s="33"/>
      <c r="D180" s="32"/>
      <c r="E180" s="32"/>
      <c r="F180" s="32"/>
      <c r="G180" s="32"/>
      <c r="H180" s="34"/>
      <c r="I180" s="34"/>
      <c r="J180" s="32"/>
      <c r="K180" s="32"/>
      <c r="L180" s="32"/>
    </row>
    <row r="181" s="30" customFormat="1" customHeight="1" spans="1:12">
      <c r="A181" s="31"/>
      <c r="B181" s="32"/>
      <c r="C181" s="33"/>
      <c r="D181" s="32"/>
      <c r="E181" s="32"/>
      <c r="F181" s="32"/>
      <c r="G181" s="32"/>
      <c r="H181" s="34"/>
      <c r="I181" s="34"/>
      <c r="J181" s="32"/>
      <c r="K181" s="32"/>
      <c r="L181" s="32"/>
    </row>
    <row r="182" s="30" customFormat="1" customHeight="1" spans="1:12">
      <c r="A182" s="31"/>
      <c r="B182" s="32"/>
      <c r="C182" s="33"/>
      <c r="D182" s="32"/>
      <c r="E182" s="32"/>
      <c r="F182" s="32"/>
      <c r="G182" s="32"/>
      <c r="H182" s="34"/>
      <c r="I182" s="34"/>
      <c r="J182" s="32"/>
      <c r="K182" s="32"/>
      <c r="L182" s="32"/>
    </row>
    <row r="183" s="30" customFormat="1" customHeight="1" spans="1:12">
      <c r="A183" s="31"/>
      <c r="B183" s="32"/>
      <c r="C183" s="33"/>
      <c r="D183" s="32"/>
      <c r="E183" s="32"/>
      <c r="F183" s="32"/>
      <c r="G183" s="32"/>
      <c r="H183" s="34"/>
      <c r="I183" s="34"/>
      <c r="J183" s="32"/>
      <c r="K183" s="32"/>
      <c r="L183" s="32"/>
    </row>
    <row r="184" s="30" customFormat="1" customHeight="1" spans="1:12">
      <c r="A184" s="31"/>
      <c r="B184" s="32"/>
      <c r="C184" s="33"/>
      <c r="D184" s="32"/>
      <c r="E184" s="32"/>
      <c r="F184" s="32"/>
      <c r="G184" s="32"/>
      <c r="H184" s="34"/>
      <c r="I184" s="34"/>
      <c r="J184" s="32"/>
      <c r="K184" s="32"/>
      <c r="L184" s="32"/>
    </row>
    <row r="185" s="30" customFormat="1" customHeight="1" spans="1:12">
      <c r="A185" s="31"/>
      <c r="B185" s="32"/>
      <c r="C185" s="33"/>
      <c r="D185" s="32"/>
      <c r="E185" s="32"/>
      <c r="F185" s="32"/>
      <c r="G185" s="32"/>
      <c r="H185" s="34"/>
      <c r="I185" s="34"/>
      <c r="J185" s="32"/>
      <c r="K185" s="32"/>
      <c r="L185" s="32"/>
    </row>
    <row r="186" s="30" customFormat="1" customHeight="1" spans="1:12">
      <c r="A186" s="31"/>
      <c r="B186" s="32"/>
      <c r="C186" s="33"/>
      <c r="D186" s="32"/>
      <c r="E186" s="32"/>
      <c r="F186" s="32"/>
      <c r="G186" s="32"/>
      <c r="H186" s="34"/>
      <c r="I186" s="34"/>
      <c r="J186" s="32"/>
      <c r="K186" s="32"/>
      <c r="L186" s="32"/>
    </row>
    <row r="187" s="30" customFormat="1" customHeight="1" spans="1:12">
      <c r="A187" s="31"/>
      <c r="B187" s="32"/>
      <c r="C187" s="33"/>
      <c r="D187" s="32"/>
      <c r="E187" s="32"/>
      <c r="F187" s="32"/>
      <c r="G187" s="32"/>
      <c r="H187" s="34"/>
      <c r="I187" s="34"/>
      <c r="J187" s="32"/>
      <c r="K187" s="32"/>
      <c r="L187" s="32"/>
    </row>
    <row r="188" s="30" customFormat="1" customHeight="1" spans="1:12">
      <c r="A188" s="31"/>
      <c r="B188" s="32"/>
      <c r="C188" s="33"/>
      <c r="D188" s="32"/>
      <c r="E188" s="32"/>
      <c r="F188" s="32"/>
      <c r="G188" s="32"/>
      <c r="H188" s="34"/>
      <c r="I188" s="34"/>
      <c r="J188" s="32"/>
      <c r="K188" s="32"/>
      <c r="L188" s="32"/>
    </row>
    <row r="189" s="30" customFormat="1" customHeight="1" spans="1:12">
      <c r="A189" s="31"/>
      <c r="B189" s="32"/>
      <c r="C189" s="33"/>
      <c r="D189" s="32"/>
      <c r="E189" s="32"/>
      <c r="F189" s="32"/>
      <c r="G189" s="32"/>
      <c r="H189" s="34"/>
      <c r="I189" s="34"/>
      <c r="J189" s="32"/>
      <c r="K189" s="32"/>
      <c r="L189" s="32"/>
    </row>
  </sheetData>
  <sheetCalcPr fullCalcOnLoad="1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9"/>
  <sheetViews>
    <sheetView workbookViewId="0">
      <pane ySplit="1" topLeftCell="A43" activePane="bottomLeft" state="frozen"/>
      <selection/>
      <selection pane="bottomLeft" activeCell="C3" sqref="C3"/>
    </sheetView>
  </sheetViews>
  <sheetFormatPr defaultColWidth="9" defaultRowHeight="14.25" customHeight="1"/>
  <cols>
    <col min="1" max="1" width="9" style="31"/>
    <col min="2" max="2" width="15.625" style="32" customWidth="1"/>
    <col min="3" max="3" width="15.625" style="33" customWidth="1"/>
    <col min="4" max="4" width="12.625" style="32" customWidth="1"/>
    <col min="5" max="6" width="14.125" style="32"/>
    <col min="7" max="7" width="9" style="32"/>
    <col min="8" max="8" width="14.125" style="34"/>
    <col min="9" max="9" width="11" style="34" customWidth="1"/>
    <col min="10" max="10" width="9.875" style="32" customWidth="1"/>
    <col min="11" max="11" width="12.625" style="32"/>
    <col min="12" max="12" width="9" style="32"/>
    <col min="13" max="14" width="12.625" style="30"/>
    <col min="15" max="15" width="14.125" style="30"/>
    <col min="16" max="16" width="9" style="30"/>
    <col min="17" max="17" width="14" style="30" customWidth="1"/>
    <col min="18" max="16384" width="9" style="30"/>
  </cols>
  <sheetData>
    <row r="1" s="30" customFormat="1" ht="27" spans="1:17">
      <c r="A1" s="35" t="s">
        <v>0</v>
      </c>
      <c r="B1" s="35" t="s">
        <v>1</v>
      </c>
      <c r="C1" s="2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</row>
    <row r="2" s="30" customFormat="1" ht="20" customHeight="1" spans="1:17">
      <c r="A2" s="36">
        <v>46082</v>
      </c>
      <c r="B2" s="37">
        <v>9.5</v>
      </c>
      <c r="C2" s="38">
        <f ca="1">O2/B2</f>
        <v>1.35321637426901</v>
      </c>
      <c r="D2" s="39" t="s">
        <v>20</v>
      </c>
      <c r="E2" s="39" t="s">
        <v>18</v>
      </c>
      <c r="F2" s="37">
        <v>1942</v>
      </c>
      <c r="G2" s="39" t="s">
        <v>30</v>
      </c>
      <c r="H2" s="37">
        <f ca="1" t="array" ref="H2">INDEX(成本核算表!J:J,MATCH(1,(成本核算表!D:D=E2)*(成本核算表!C:C=G2),0))</f>
        <v>40</v>
      </c>
      <c r="I2" s="37">
        <f>1157</f>
        <v>1157</v>
      </c>
      <c r="J2" s="37">
        <f ca="1" t="shared" ref="J2:J63" si="0">H2*I2</f>
        <v>46280</v>
      </c>
      <c r="K2" s="37"/>
      <c r="L2" s="37"/>
      <c r="M2" s="37">
        <f ca="1" t="shared" ref="M2:M63" si="1">K2*H2</f>
        <v>0</v>
      </c>
      <c r="N2" s="37">
        <f ca="1" t="shared" ref="N2:N63" si="2">J2-M2+L2</f>
        <v>46280</v>
      </c>
      <c r="O2" s="37">
        <f ca="1" t="shared" ref="O2:O63" si="3">N2/3600</f>
        <v>12.8555555555556</v>
      </c>
      <c r="P2" s="37"/>
      <c r="Q2" s="37"/>
    </row>
    <row r="3" s="30" customFormat="1" ht="20" customHeight="1" spans="1:17">
      <c r="A3" s="36">
        <v>46083</v>
      </c>
      <c r="B3" s="37">
        <v>11</v>
      </c>
      <c r="C3" s="38">
        <f ca="1" t="shared" ref="C3:C7" si="4">SUM(O3:O4)/B3</f>
        <v>1.29292929292929</v>
      </c>
      <c r="D3" s="5" t="s">
        <v>107</v>
      </c>
      <c r="E3" s="5" t="s">
        <v>108</v>
      </c>
      <c r="F3" s="37">
        <v>260</v>
      </c>
      <c r="G3" s="5" t="s">
        <v>24</v>
      </c>
      <c r="H3" s="37">
        <f ca="1" t="array" ref="H3">INDEX(成本核算表!J:J,MATCH(1,(成本核算表!D:D=E3)*(成本核算表!C:C=G3),0))</f>
        <v>50</v>
      </c>
      <c r="I3" s="37">
        <v>400</v>
      </c>
      <c r="J3" s="37">
        <f ca="1" t="shared" si="0"/>
        <v>20000</v>
      </c>
      <c r="K3" s="37"/>
      <c r="L3" s="37">
        <v>7200</v>
      </c>
      <c r="M3" s="37">
        <f ca="1" t="shared" si="1"/>
        <v>0</v>
      </c>
      <c r="N3" s="37">
        <f ca="1" t="shared" si="2"/>
        <v>27200</v>
      </c>
      <c r="O3" s="37">
        <f ca="1" t="shared" si="3"/>
        <v>7.55555555555556</v>
      </c>
      <c r="P3" s="37"/>
      <c r="Q3" s="5" t="s">
        <v>228</v>
      </c>
    </row>
    <row r="4" s="30" customFormat="1" ht="20" customHeight="1" spans="1:17">
      <c r="A4" s="36">
        <v>46083</v>
      </c>
      <c r="B4" s="37"/>
      <c r="C4" s="38"/>
      <c r="D4" s="5" t="s">
        <v>107</v>
      </c>
      <c r="E4" s="5" t="s">
        <v>108</v>
      </c>
      <c r="F4" s="37">
        <v>260</v>
      </c>
      <c r="G4" s="5" t="s">
        <v>25</v>
      </c>
      <c r="H4" s="37">
        <f ca="1" t="array" ref="H4">INDEX(成本核算表!J:J,MATCH(1,(成本核算表!D:D=E4)*(成本核算表!C:C=G4),0))</f>
        <v>60</v>
      </c>
      <c r="I4" s="37">
        <v>400</v>
      </c>
      <c r="J4" s="37">
        <f ca="1" t="shared" si="0"/>
        <v>24000</v>
      </c>
      <c r="K4" s="37"/>
      <c r="L4" s="37"/>
      <c r="M4" s="37">
        <f ca="1" t="shared" si="1"/>
        <v>0</v>
      </c>
      <c r="N4" s="37">
        <f ca="1" t="shared" si="2"/>
        <v>24000</v>
      </c>
      <c r="O4" s="37">
        <f ca="1" t="shared" si="3"/>
        <v>6.66666666666667</v>
      </c>
      <c r="P4" s="37"/>
      <c r="Q4" s="37"/>
    </row>
    <row r="5" s="30" customFormat="1" ht="20" customHeight="1" spans="1:17">
      <c r="A5" s="36">
        <v>46084</v>
      </c>
      <c r="B5" s="37">
        <v>11</v>
      </c>
      <c r="C5" s="38">
        <f ca="1" t="shared" si="4"/>
        <v>1.29292929292929</v>
      </c>
      <c r="D5" s="5" t="s">
        <v>107</v>
      </c>
      <c r="E5" s="5" t="s">
        <v>108</v>
      </c>
      <c r="F5" s="37">
        <v>260</v>
      </c>
      <c r="G5" s="5" t="s">
        <v>24</v>
      </c>
      <c r="H5" s="37">
        <f ca="1" t="array" ref="H5">INDEX(成本核算表!J:J,MATCH(1,(成本核算表!D:D=E5)*(成本核算表!C:C=G5),0))</f>
        <v>50</v>
      </c>
      <c r="I5" s="37">
        <v>400</v>
      </c>
      <c r="J5" s="37">
        <f ca="1" t="shared" si="0"/>
        <v>20000</v>
      </c>
      <c r="K5" s="37"/>
      <c r="L5" s="37">
        <v>7200</v>
      </c>
      <c r="M5" s="37">
        <f ca="1" t="shared" si="1"/>
        <v>0</v>
      </c>
      <c r="N5" s="37">
        <f ca="1" t="shared" si="2"/>
        <v>27200</v>
      </c>
      <c r="O5" s="37">
        <f ca="1" t="shared" si="3"/>
        <v>7.55555555555556</v>
      </c>
      <c r="P5" s="37"/>
      <c r="Q5" s="5" t="s">
        <v>228</v>
      </c>
    </row>
    <row r="6" s="30" customFormat="1" ht="20" customHeight="1" spans="1:17">
      <c r="A6" s="36">
        <v>46084</v>
      </c>
      <c r="B6" s="37"/>
      <c r="C6" s="38"/>
      <c r="D6" s="5" t="s">
        <v>107</v>
      </c>
      <c r="E6" s="5" t="s">
        <v>108</v>
      </c>
      <c r="F6" s="37">
        <v>260</v>
      </c>
      <c r="G6" s="5" t="s">
        <v>25</v>
      </c>
      <c r="H6" s="37">
        <f ca="1" t="array" ref="H6">INDEX(成本核算表!J:J,MATCH(1,(成本核算表!D:D=E6)*(成本核算表!C:C=G6),0))</f>
        <v>60</v>
      </c>
      <c r="I6" s="37">
        <v>400</v>
      </c>
      <c r="J6" s="37">
        <f ca="1" t="shared" si="0"/>
        <v>24000</v>
      </c>
      <c r="K6" s="37"/>
      <c r="L6" s="37"/>
      <c r="M6" s="37">
        <f ca="1" t="shared" si="1"/>
        <v>0</v>
      </c>
      <c r="N6" s="37">
        <f ca="1" t="shared" si="2"/>
        <v>24000</v>
      </c>
      <c r="O6" s="37">
        <f ca="1" t="shared" si="3"/>
        <v>6.66666666666667</v>
      </c>
      <c r="P6" s="37"/>
      <c r="Q6" s="37"/>
    </row>
    <row r="7" s="30" customFormat="1" ht="20" customHeight="1" spans="1:17">
      <c r="A7" s="36">
        <v>46085</v>
      </c>
      <c r="B7" s="37">
        <v>11</v>
      </c>
      <c r="C7" s="38">
        <f ca="1" t="shared" si="4"/>
        <v>1.29141414141414</v>
      </c>
      <c r="D7" s="5" t="s">
        <v>107</v>
      </c>
      <c r="E7" s="5" t="s">
        <v>108</v>
      </c>
      <c r="F7" s="37">
        <v>260</v>
      </c>
      <c r="G7" s="5" t="s">
        <v>24</v>
      </c>
      <c r="H7" s="37">
        <f ca="1" t="array" ref="H7">INDEX(成本核算表!J:J,MATCH(1,(成本核算表!D:D=E7)*(成本核算表!C:C=G7),0))</f>
        <v>50</v>
      </c>
      <c r="I7" s="37">
        <v>400</v>
      </c>
      <c r="J7" s="37">
        <f ca="1" t="shared" si="0"/>
        <v>20000</v>
      </c>
      <c r="K7" s="37"/>
      <c r="L7" s="37">
        <v>7200</v>
      </c>
      <c r="M7" s="37">
        <f ca="1" t="shared" si="1"/>
        <v>0</v>
      </c>
      <c r="N7" s="37">
        <f ca="1" t="shared" si="2"/>
        <v>27200</v>
      </c>
      <c r="O7" s="37">
        <f ca="1" t="shared" si="3"/>
        <v>7.55555555555556</v>
      </c>
      <c r="P7" s="37"/>
      <c r="Q7" s="37"/>
    </row>
    <row r="8" s="30" customFormat="1" ht="20" customHeight="1" spans="1:17">
      <c r="A8" s="36">
        <v>46085</v>
      </c>
      <c r="B8" s="37"/>
      <c r="C8" s="38"/>
      <c r="D8" s="5" t="s">
        <v>107</v>
      </c>
      <c r="E8" s="5" t="s">
        <v>108</v>
      </c>
      <c r="F8" s="37">
        <v>260</v>
      </c>
      <c r="G8" s="5" t="s">
        <v>25</v>
      </c>
      <c r="H8" s="37">
        <f ca="1" t="array" ref="H8">INDEX(成本核算表!J:J,MATCH(1,(成本核算表!D:D=E8)*(成本核算表!C:C=G8),0))</f>
        <v>60</v>
      </c>
      <c r="I8" s="37">
        <v>401</v>
      </c>
      <c r="J8" s="37">
        <f ca="1" t="shared" si="0"/>
        <v>24060</v>
      </c>
      <c r="K8" s="37">
        <v>2</v>
      </c>
      <c r="L8" s="37"/>
      <c r="M8" s="37">
        <f ca="1" t="shared" si="1"/>
        <v>120</v>
      </c>
      <c r="N8" s="37">
        <f ca="1" t="shared" si="2"/>
        <v>23940</v>
      </c>
      <c r="O8" s="37">
        <f ca="1" t="shared" si="3"/>
        <v>6.65</v>
      </c>
      <c r="P8" s="37"/>
      <c r="Q8" s="37"/>
    </row>
    <row r="9" s="30" customFormat="1" ht="20" customHeight="1" spans="1:17">
      <c r="A9" s="36">
        <v>46086</v>
      </c>
      <c r="B9" s="37">
        <v>11</v>
      </c>
      <c r="C9" s="38">
        <f ca="1" t="shared" ref="C9:C13" si="5">SUM(O9:O10)/B9</f>
        <v>1.11111111111111</v>
      </c>
      <c r="D9" s="5" t="s">
        <v>107</v>
      </c>
      <c r="E9" s="5" t="s">
        <v>108</v>
      </c>
      <c r="F9" s="37">
        <v>260</v>
      </c>
      <c r="G9" s="5" t="s">
        <v>24</v>
      </c>
      <c r="H9" s="37">
        <f ca="1" t="array" ref="H9">INDEX(成本核算表!J:J,MATCH(1,(成本核算表!D:D=E9)*(成本核算表!C:C=G9),0))</f>
        <v>50</v>
      </c>
      <c r="I9" s="37">
        <v>400</v>
      </c>
      <c r="J9" s="37">
        <f ca="1" t="shared" si="0"/>
        <v>20000</v>
      </c>
      <c r="K9" s="37"/>
      <c r="L9" s="37"/>
      <c r="M9" s="37">
        <f ca="1" t="shared" si="1"/>
        <v>0</v>
      </c>
      <c r="N9" s="37">
        <f ca="1" t="shared" si="2"/>
        <v>20000</v>
      </c>
      <c r="O9" s="37">
        <f ca="1" t="shared" si="3"/>
        <v>5.55555555555556</v>
      </c>
      <c r="P9" s="37"/>
      <c r="Q9" s="37"/>
    </row>
    <row r="10" s="30" customFormat="1" ht="20" customHeight="1" spans="1:17">
      <c r="A10" s="36">
        <v>46086</v>
      </c>
      <c r="B10" s="37"/>
      <c r="C10" s="38"/>
      <c r="D10" s="5" t="s">
        <v>107</v>
      </c>
      <c r="E10" s="5" t="s">
        <v>108</v>
      </c>
      <c r="F10" s="37">
        <v>260</v>
      </c>
      <c r="G10" s="5" t="s">
        <v>25</v>
      </c>
      <c r="H10" s="37">
        <f ca="1" t="array" ref="H10">INDEX(成本核算表!J:J,MATCH(1,(成本核算表!D:D=E10)*(成本核算表!C:C=G10),0))</f>
        <v>60</v>
      </c>
      <c r="I10" s="37">
        <v>400</v>
      </c>
      <c r="J10" s="37">
        <f ca="1" t="shared" si="0"/>
        <v>24000</v>
      </c>
      <c r="K10" s="37"/>
      <c r="L10" s="37"/>
      <c r="M10" s="37">
        <f ca="1" t="shared" si="1"/>
        <v>0</v>
      </c>
      <c r="N10" s="37">
        <f ca="1" t="shared" si="2"/>
        <v>24000</v>
      </c>
      <c r="O10" s="37">
        <f ca="1" t="shared" si="3"/>
        <v>6.66666666666667</v>
      </c>
      <c r="P10" s="37"/>
      <c r="Q10" s="37"/>
    </row>
    <row r="11" s="30" customFormat="1" ht="20" customHeight="1" spans="1:17">
      <c r="A11" s="36">
        <v>46087</v>
      </c>
      <c r="B11" s="37">
        <v>11</v>
      </c>
      <c r="C11" s="38">
        <f ca="1" t="shared" si="5"/>
        <v>1.2989898989899</v>
      </c>
      <c r="D11" s="5" t="s">
        <v>107</v>
      </c>
      <c r="E11" s="5" t="s">
        <v>108</v>
      </c>
      <c r="F11" s="37">
        <v>260</v>
      </c>
      <c r="G11" s="5" t="s">
        <v>24</v>
      </c>
      <c r="H11" s="37">
        <f ca="1" t="array" ref="H11">INDEX(成本核算表!J:J,MATCH(1,(成本核算表!D:D=E11)*(成本核算表!C:C=G11),0))</f>
        <v>50</v>
      </c>
      <c r="I11" s="37">
        <v>400</v>
      </c>
      <c r="J11" s="37">
        <f ca="1" t="shared" si="0"/>
        <v>20000</v>
      </c>
      <c r="K11" s="37"/>
      <c r="L11" s="37">
        <v>7200</v>
      </c>
      <c r="M11" s="37">
        <f ca="1" t="shared" si="1"/>
        <v>0</v>
      </c>
      <c r="N11" s="37">
        <f ca="1" t="shared" si="2"/>
        <v>27200</v>
      </c>
      <c r="O11" s="37">
        <f ca="1" t="shared" si="3"/>
        <v>7.55555555555556</v>
      </c>
      <c r="P11" s="37"/>
      <c r="Q11" s="5" t="s">
        <v>229</v>
      </c>
    </row>
    <row r="12" s="30" customFormat="1" ht="20" customHeight="1" spans="1:17">
      <c r="A12" s="36">
        <v>46087</v>
      </c>
      <c r="B12" s="37"/>
      <c r="C12" s="38"/>
      <c r="D12" s="5" t="s">
        <v>107</v>
      </c>
      <c r="E12" s="5" t="s">
        <v>108</v>
      </c>
      <c r="F12" s="37">
        <v>260</v>
      </c>
      <c r="G12" s="5" t="s">
        <v>25</v>
      </c>
      <c r="H12" s="37">
        <f ca="1" t="array" ref="H12">INDEX(成本核算表!J:J,MATCH(1,(成本核算表!D:D=E12)*(成本核算表!C:C=G12),0))</f>
        <v>60</v>
      </c>
      <c r="I12" s="37">
        <v>412</v>
      </c>
      <c r="J12" s="37">
        <f ca="1" t="shared" si="0"/>
        <v>24720</v>
      </c>
      <c r="K12" s="37">
        <v>8</v>
      </c>
      <c r="L12" s="37"/>
      <c r="M12" s="37">
        <f ca="1" t="shared" si="1"/>
        <v>480</v>
      </c>
      <c r="N12" s="37">
        <f ca="1" t="shared" si="2"/>
        <v>24240</v>
      </c>
      <c r="O12" s="37">
        <f ca="1" t="shared" si="3"/>
        <v>6.73333333333333</v>
      </c>
      <c r="P12" s="37"/>
      <c r="Q12" s="37"/>
    </row>
    <row r="13" s="30" customFormat="1" ht="20" customHeight="1" spans="1:17">
      <c r="A13" s="36">
        <v>46088</v>
      </c>
      <c r="B13" s="37">
        <v>11</v>
      </c>
      <c r="C13" s="38">
        <f ca="1" t="shared" si="5"/>
        <v>1.11111111111111</v>
      </c>
      <c r="D13" s="5" t="s">
        <v>107</v>
      </c>
      <c r="E13" s="5" t="s">
        <v>108</v>
      </c>
      <c r="F13" s="37">
        <v>260</v>
      </c>
      <c r="G13" s="5" t="s">
        <v>24</v>
      </c>
      <c r="H13" s="37">
        <f ca="1" t="array" ref="H13">INDEX(成本核算表!J:J,MATCH(1,(成本核算表!D:D=E13)*(成本核算表!C:C=G13),0))</f>
        <v>50</v>
      </c>
      <c r="I13" s="37">
        <v>400</v>
      </c>
      <c r="J13" s="37">
        <f ca="1" t="shared" si="0"/>
        <v>20000</v>
      </c>
      <c r="K13" s="37"/>
      <c r="L13" s="37"/>
      <c r="M13" s="37">
        <f ca="1" t="shared" si="1"/>
        <v>0</v>
      </c>
      <c r="N13" s="37">
        <f ca="1" t="shared" si="2"/>
        <v>20000</v>
      </c>
      <c r="O13" s="37">
        <f ca="1" t="shared" si="3"/>
        <v>5.55555555555556</v>
      </c>
      <c r="P13" s="37"/>
      <c r="Q13" s="5" t="s">
        <v>229</v>
      </c>
    </row>
    <row r="14" s="30" customFormat="1" ht="20" customHeight="1" spans="1:17">
      <c r="A14" s="36">
        <v>46088</v>
      </c>
      <c r="B14" s="37"/>
      <c r="C14" s="38"/>
      <c r="D14" s="5" t="s">
        <v>107</v>
      </c>
      <c r="E14" s="5" t="s">
        <v>108</v>
      </c>
      <c r="F14" s="37">
        <v>260</v>
      </c>
      <c r="G14" s="5" t="s">
        <v>25</v>
      </c>
      <c r="H14" s="37">
        <f ca="1" t="array" ref="H14">INDEX(成本核算表!J:J,MATCH(1,(成本核算表!D:D=E14)*(成本核算表!C:C=G14),0))</f>
        <v>60</v>
      </c>
      <c r="I14" s="37">
        <v>400</v>
      </c>
      <c r="J14" s="37">
        <f ca="1" t="shared" si="0"/>
        <v>24000</v>
      </c>
      <c r="K14" s="37"/>
      <c r="L14" s="37"/>
      <c r="M14" s="37">
        <f ca="1" t="shared" si="1"/>
        <v>0</v>
      </c>
      <c r="N14" s="37">
        <f ca="1" t="shared" si="2"/>
        <v>24000</v>
      </c>
      <c r="O14" s="37">
        <f ca="1" t="shared" si="3"/>
        <v>6.66666666666667</v>
      </c>
      <c r="P14" s="37"/>
      <c r="Q14" s="37"/>
    </row>
    <row r="15" s="30" customFormat="1" ht="20" customHeight="1" spans="1:17">
      <c r="A15" s="36">
        <v>46089</v>
      </c>
      <c r="B15" s="37">
        <v>12</v>
      </c>
      <c r="C15" s="38">
        <f ca="1">SUM(O15:O18)/B15</f>
        <v>0.970601851851852</v>
      </c>
      <c r="D15" s="5" t="s">
        <v>230</v>
      </c>
      <c r="E15" s="5" t="s">
        <v>207</v>
      </c>
      <c r="F15" s="37">
        <v>380.85</v>
      </c>
      <c r="G15" s="5" t="s">
        <v>24</v>
      </c>
      <c r="H15" s="37">
        <f ca="1" t="array" ref="H15">INDEX(成本核算表!J:J,MATCH(1,(成本核算表!D:D=E15)*(成本核算表!C:C=G15),0))</f>
        <v>270</v>
      </c>
      <c r="I15" s="37">
        <v>19</v>
      </c>
      <c r="J15" s="37">
        <f ca="1" t="shared" si="0"/>
        <v>5130</v>
      </c>
      <c r="K15" s="37"/>
      <c r="L15" s="37"/>
      <c r="M15" s="37">
        <f ca="1" t="shared" si="1"/>
        <v>0</v>
      </c>
      <c r="N15" s="37">
        <f ca="1" t="shared" si="2"/>
        <v>5130</v>
      </c>
      <c r="O15" s="37">
        <f ca="1" t="shared" si="3"/>
        <v>1.425</v>
      </c>
      <c r="P15" s="37"/>
      <c r="Q15" s="37"/>
    </row>
    <row r="16" s="30" customFormat="1" ht="20" customHeight="1" spans="1:17">
      <c r="A16" s="36">
        <v>46089</v>
      </c>
      <c r="B16" s="37"/>
      <c r="C16" s="38"/>
      <c r="D16" s="5" t="s">
        <v>230</v>
      </c>
      <c r="E16" s="5" t="s">
        <v>207</v>
      </c>
      <c r="F16" s="37">
        <v>380.85</v>
      </c>
      <c r="G16" s="5" t="s">
        <v>25</v>
      </c>
      <c r="H16" s="37">
        <f ca="1" t="array" ref="H16">INDEX(成本核算表!J:J,MATCH(1,(成本核算表!D:D=E16)*(成本核算表!C:C=G16),0))</f>
        <v>160</v>
      </c>
      <c r="I16" s="37">
        <v>1</v>
      </c>
      <c r="J16" s="37">
        <f ca="1" t="shared" si="0"/>
        <v>160</v>
      </c>
      <c r="K16" s="37"/>
      <c r="L16" s="37"/>
      <c r="M16" s="37">
        <f ca="1" t="shared" si="1"/>
        <v>0</v>
      </c>
      <c r="N16" s="37">
        <f ca="1" t="shared" si="2"/>
        <v>160</v>
      </c>
      <c r="O16" s="37">
        <f ca="1" t="shared" si="3"/>
        <v>0.0444444444444444</v>
      </c>
      <c r="P16" s="37"/>
      <c r="Q16" s="37"/>
    </row>
    <row r="17" s="30" customFormat="1" ht="20" customHeight="1" spans="1:17">
      <c r="A17" s="36">
        <v>46089</v>
      </c>
      <c r="B17" s="37"/>
      <c r="C17" s="38"/>
      <c r="D17" s="5" t="s">
        <v>221</v>
      </c>
      <c r="E17" s="5" t="s">
        <v>207</v>
      </c>
      <c r="F17" s="37">
        <v>380.85</v>
      </c>
      <c r="G17" s="5" t="s">
        <v>25</v>
      </c>
      <c r="H17" s="37">
        <f ca="1" t="array" ref="H17">INDEX(成本核算表!J:J,MATCH(1,(成本核算表!D:D=E17)*(成本核算表!C:C=G17),0))</f>
        <v>160</v>
      </c>
      <c r="I17" s="37">
        <v>54</v>
      </c>
      <c r="J17" s="37">
        <f ca="1" t="shared" si="0"/>
        <v>8640</v>
      </c>
      <c r="K17" s="37"/>
      <c r="L17" s="37"/>
      <c r="M17" s="37">
        <f ca="1" t="shared" si="1"/>
        <v>0</v>
      </c>
      <c r="N17" s="37">
        <f ca="1" t="shared" si="2"/>
        <v>8640</v>
      </c>
      <c r="O17" s="37">
        <f ca="1" t="shared" si="3"/>
        <v>2.4</v>
      </c>
      <c r="P17" s="37"/>
      <c r="Q17" s="37"/>
    </row>
    <row r="18" s="30" customFormat="1" ht="20" customHeight="1" spans="1:17">
      <c r="A18" s="36">
        <v>46089</v>
      </c>
      <c r="B18" s="37"/>
      <c r="C18" s="38"/>
      <c r="D18" s="5" t="s">
        <v>130</v>
      </c>
      <c r="E18" s="5" t="s">
        <v>131</v>
      </c>
      <c r="F18" s="37">
        <v>140</v>
      </c>
      <c r="G18" s="5" t="s">
        <v>25</v>
      </c>
      <c r="H18" s="37">
        <f ca="1" t="array" ref="H18">INDEX(成本核算表!J:J,MATCH(1,(成本核算表!D:D=E18)*(成本核算表!C:C=G18),0))</f>
        <v>700</v>
      </c>
      <c r="I18" s="37">
        <v>40</v>
      </c>
      <c r="J18" s="37">
        <f ca="1" t="shared" si="0"/>
        <v>28000</v>
      </c>
      <c r="K18" s="37"/>
      <c r="L18" s="37"/>
      <c r="M18" s="37">
        <f ca="1" t="shared" si="1"/>
        <v>0</v>
      </c>
      <c r="N18" s="37">
        <f ca="1" t="shared" si="2"/>
        <v>28000</v>
      </c>
      <c r="O18" s="37">
        <f ca="1" t="shared" si="3"/>
        <v>7.77777777777778</v>
      </c>
      <c r="P18" s="37"/>
      <c r="Q18" s="37"/>
    </row>
    <row r="19" s="30" customFormat="1" ht="20" customHeight="1" spans="1:17">
      <c r="A19" s="36">
        <v>46090</v>
      </c>
      <c r="B19" s="37">
        <v>11</v>
      </c>
      <c r="C19" s="38">
        <f ca="1" t="shared" ref="C19:C23" si="6">SUM(O19:O20)/B19</f>
        <v>1.11111111111111</v>
      </c>
      <c r="D19" s="5" t="s">
        <v>107</v>
      </c>
      <c r="E19" s="5" t="s">
        <v>108</v>
      </c>
      <c r="F19" s="37">
        <v>260</v>
      </c>
      <c r="G19" s="5" t="s">
        <v>24</v>
      </c>
      <c r="H19" s="37">
        <f ca="1" t="array" ref="H19">INDEX(成本核算表!J:J,MATCH(1,(成本核算表!D:D=E19)*(成本核算表!C:C=G19),0))</f>
        <v>50</v>
      </c>
      <c r="I19" s="37">
        <v>400</v>
      </c>
      <c r="J19" s="37">
        <f ca="1" t="shared" si="0"/>
        <v>20000</v>
      </c>
      <c r="K19" s="37"/>
      <c r="L19" s="37"/>
      <c r="M19" s="37">
        <f ca="1" t="shared" si="1"/>
        <v>0</v>
      </c>
      <c r="N19" s="37">
        <f ca="1" t="shared" si="2"/>
        <v>20000</v>
      </c>
      <c r="O19" s="37">
        <f ca="1" t="shared" si="3"/>
        <v>5.55555555555556</v>
      </c>
      <c r="P19" s="37"/>
      <c r="Q19" s="37"/>
    </row>
    <row r="20" s="30" customFormat="1" ht="20" customHeight="1" spans="1:17">
      <c r="A20" s="36">
        <v>46090</v>
      </c>
      <c r="B20" s="37"/>
      <c r="C20" s="38"/>
      <c r="D20" s="5" t="s">
        <v>107</v>
      </c>
      <c r="E20" s="5" t="s">
        <v>108</v>
      </c>
      <c r="F20" s="37">
        <v>260</v>
      </c>
      <c r="G20" s="5" t="s">
        <v>25</v>
      </c>
      <c r="H20" s="37">
        <f ca="1" t="array" ref="H20">INDEX(成本核算表!J:J,MATCH(1,(成本核算表!D:D=E20)*(成本核算表!C:C=G20),0))</f>
        <v>60</v>
      </c>
      <c r="I20" s="37">
        <v>400</v>
      </c>
      <c r="J20" s="37">
        <f ca="1" t="shared" si="0"/>
        <v>24000</v>
      </c>
      <c r="K20" s="37"/>
      <c r="L20" s="37"/>
      <c r="M20" s="37">
        <f ca="1" t="shared" si="1"/>
        <v>0</v>
      </c>
      <c r="N20" s="37">
        <f ca="1" t="shared" si="2"/>
        <v>24000</v>
      </c>
      <c r="O20" s="37">
        <f ca="1" t="shared" si="3"/>
        <v>6.66666666666667</v>
      </c>
      <c r="P20" s="37"/>
      <c r="Q20" s="37"/>
    </row>
    <row r="21" s="30" customFormat="1" ht="20" customHeight="1" spans="1:17">
      <c r="A21" s="36">
        <v>46091</v>
      </c>
      <c r="B21" s="37">
        <v>12</v>
      </c>
      <c r="C21" s="38">
        <f ca="1" t="shared" si="6"/>
        <v>1.00972222222222</v>
      </c>
      <c r="D21" s="5" t="s">
        <v>77</v>
      </c>
      <c r="E21" s="5" t="s">
        <v>78</v>
      </c>
      <c r="F21" s="37">
        <v>1960</v>
      </c>
      <c r="G21" s="5" t="s">
        <v>22</v>
      </c>
      <c r="H21" s="37">
        <f ca="1" t="array" ref="H21">INDEX(成本核算表!J:J,MATCH(1,(成本核算表!D:D=E21)*(成本核算表!C:C=G21),0))</f>
        <v>60</v>
      </c>
      <c r="I21" s="37">
        <v>157</v>
      </c>
      <c r="J21" s="37">
        <f ca="1" t="shared" si="0"/>
        <v>9420</v>
      </c>
      <c r="K21" s="37"/>
      <c r="L21" s="37">
        <v>7200</v>
      </c>
      <c r="M21" s="37">
        <f ca="1" t="shared" si="1"/>
        <v>0</v>
      </c>
      <c r="N21" s="37">
        <f ca="1" t="shared" si="2"/>
        <v>16620</v>
      </c>
      <c r="O21" s="37">
        <f ca="1" t="shared" si="3"/>
        <v>4.61666666666667</v>
      </c>
      <c r="P21" s="37"/>
      <c r="Q21" s="37"/>
    </row>
    <row r="22" s="30" customFormat="1" ht="20" customHeight="1" spans="1:17">
      <c r="A22" s="36">
        <v>46091</v>
      </c>
      <c r="B22" s="37"/>
      <c r="C22" s="38"/>
      <c r="D22" s="5" t="s">
        <v>80</v>
      </c>
      <c r="E22" s="5" t="s">
        <v>78</v>
      </c>
      <c r="F22" s="37">
        <v>1960</v>
      </c>
      <c r="G22" s="5" t="s">
        <v>22</v>
      </c>
      <c r="H22" s="37">
        <f ca="1" t="array" ref="H22">INDEX(成本核算表!J:J,MATCH(1,(成本核算表!D:D=E22)*(成本核算表!C:C=G22),0))</f>
        <v>60</v>
      </c>
      <c r="I22" s="37">
        <v>450</v>
      </c>
      <c r="J22" s="37">
        <f ca="1" t="shared" si="0"/>
        <v>27000</v>
      </c>
      <c r="K22" s="37"/>
      <c r="L22" s="37"/>
      <c r="M22" s="37">
        <f ca="1" t="shared" si="1"/>
        <v>0</v>
      </c>
      <c r="N22" s="37">
        <f ca="1" t="shared" si="2"/>
        <v>27000</v>
      </c>
      <c r="O22" s="37">
        <f ca="1" t="shared" si="3"/>
        <v>7.5</v>
      </c>
      <c r="P22" s="37"/>
      <c r="Q22" s="37"/>
    </row>
    <row r="23" s="30" customFormat="1" ht="20" customHeight="1" spans="1:17">
      <c r="A23" s="36">
        <v>46092</v>
      </c>
      <c r="B23" s="37">
        <v>12</v>
      </c>
      <c r="C23" s="38">
        <f ca="1">SUM(O23:O26)/B23</f>
        <v>0.907638888888889</v>
      </c>
      <c r="D23" s="5" t="s">
        <v>84</v>
      </c>
      <c r="E23" s="5" t="s">
        <v>78</v>
      </c>
      <c r="F23" s="37">
        <v>780</v>
      </c>
      <c r="G23" s="5" t="s">
        <v>22</v>
      </c>
      <c r="H23" s="37">
        <f ca="1" t="array" ref="H23">INDEX(成本核算表!J:J,MATCH(1,(成本核算表!D:D=E23)*(成本核算表!C:C=G23),0))</f>
        <v>60</v>
      </c>
      <c r="I23" s="37">
        <v>252</v>
      </c>
      <c r="J23" s="37">
        <f ca="1" t="shared" si="0"/>
        <v>15120</v>
      </c>
      <c r="K23" s="37"/>
      <c r="L23" s="37"/>
      <c r="M23" s="37">
        <f ca="1" t="shared" si="1"/>
        <v>0</v>
      </c>
      <c r="N23" s="37">
        <f ca="1" t="shared" si="2"/>
        <v>15120</v>
      </c>
      <c r="O23" s="37">
        <f ca="1" t="shared" si="3"/>
        <v>4.2</v>
      </c>
      <c r="P23" s="37"/>
      <c r="Q23" s="37"/>
    </row>
    <row r="24" s="30" customFormat="1" ht="20" customHeight="1" spans="1:17">
      <c r="A24" s="36">
        <v>46092</v>
      </c>
      <c r="B24" s="37"/>
      <c r="C24" s="38"/>
      <c r="D24" s="5" t="s">
        <v>231</v>
      </c>
      <c r="E24" s="5" t="s">
        <v>163</v>
      </c>
      <c r="F24" s="37">
        <v>2470</v>
      </c>
      <c r="G24" s="5" t="s">
        <v>22</v>
      </c>
      <c r="H24" s="37">
        <v>150</v>
      </c>
      <c r="I24" s="37">
        <v>15</v>
      </c>
      <c r="J24" s="37">
        <f t="shared" si="0"/>
        <v>2250</v>
      </c>
      <c r="K24" s="37"/>
      <c r="L24" s="37"/>
      <c r="M24" s="37">
        <f t="shared" si="1"/>
        <v>0</v>
      </c>
      <c r="N24" s="37">
        <f t="shared" si="2"/>
        <v>2250</v>
      </c>
      <c r="O24" s="37">
        <f t="shared" si="3"/>
        <v>0.625</v>
      </c>
      <c r="P24" s="37"/>
      <c r="Q24" s="37"/>
    </row>
    <row r="25" s="30" customFormat="1" ht="20" customHeight="1" spans="1:17">
      <c r="A25" s="36">
        <v>46092</v>
      </c>
      <c r="B25" s="37"/>
      <c r="C25" s="38"/>
      <c r="D25" s="5" t="s">
        <v>77</v>
      </c>
      <c r="E25" s="5" t="s">
        <v>78</v>
      </c>
      <c r="F25" s="37">
        <v>1960</v>
      </c>
      <c r="G25" s="5" t="s">
        <v>22</v>
      </c>
      <c r="H25" s="37">
        <f ca="1" t="array" ref="H25">INDEX(成本核算表!J:J,MATCH(1,(成本核算表!D:D=E25)*(成本核算表!C:C=G25),0))</f>
        <v>60</v>
      </c>
      <c r="I25" s="37">
        <v>280</v>
      </c>
      <c r="J25" s="37">
        <f ca="1" t="shared" si="0"/>
        <v>16800</v>
      </c>
      <c r="K25" s="37"/>
      <c r="L25" s="37"/>
      <c r="M25" s="37">
        <f ca="1" t="shared" si="1"/>
        <v>0</v>
      </c>
      <c r="N25" s="37">
        <f ca="1" t="shared" si="2"/>
        <v>16800</v>
      </c>
      <c r="O25" s="37">
        <f ca="1" t="shared" si="3"/>
        <v>4.66666666666667</v>
      </c>
      <c r="P25" s="37"/>
      <c r="Q25" s="37"/>
    </row>
    <row r="26" s="30" customFormat="1" ht="20" customHeight="1" spans="1:17">
      <c r="A26" s="36">
        <v>46092</v>
      </c>
      <c r="B26" s="37"/>
      <c r="C26" s="38"/>
      <c r="D26" s="5" t="s">
        <v>80</v>
      </c>
      <c r="E26" s="5" t="s">
        <v>78</v>
      </c>
      <c r="F26" s="37">
        <v>1960</v>
      </c>
      <c r="G26" s="5" t="s">
        <v>22</v>
      </c>
      <c r="H26" s="37">
        <f ca="1" t="array" ref="H26">INDEX(成本核算表!J:J,MATCH(1,(成本核算表!D:D=E26)*(成本核算表!C:C=G26),0))</f>
        <v>60</v>
      </c>
      <c r="I26" s="37">
        <v>84</v>
      </c>
      <c r="J26" s="37">
        <f ca="1" t="shared" si="0"/>
        <v>5040</v>
      </c>
      <c r="K26" s="37"/>
      <c r="L26" s="37"/>
      <c r="M26" s="37">
        <f ca="1" t="shared" si="1"/>
        <v>0</v>
      </c>
      <c r="N26" s="37">
        <f ca="1" t="shared" si="2"/>
        <v>5040</v>
      </c>
      <c r="O26" s="37">
        <f ca="1" t="shared" si="3"/>
        <v>1.4</v>
      </c>
      <c r="P26" s="37"/>
      <c r="Q26" s="37"/>
    </row>
    <row r="27" s="30" customFormat="1" ht="20" customHeight="1" spans="1:17">
      <c r="A27" s="36">
        <v>46093</v>
      </c>
      <c r="B27" s="37">
        <v>12</v>
      </c>
      <c r="C27" s="38">
        <f ca="1" t="shared" ref="C27:C31" si="7">SUM(O27:O28)/B27</f>
        <v>1.01851851851852</v>
      </c>
      <c r="D27" s="5" t="s">
        <v>107</v>
      </c>
      <c r="E27" s="5" t="s">
        <v>108</v>
      </c>
      <c r="F27" s="37">
        <v>260</v>
      </c>
      <c r="G27" s="5" t="s">
        <v>24</v>
      </c>
      <c r="H27" s="37">
        <f ca="1" t="array" ref="H27">INDEX(成本核算表!J:J,MATCH(1,(成本核算表!D:D=E27)*(成本核算表!C:C=G27),0))</f>
        <v>50</v>
      </c>
      <c r="I27" s="37">
        <v>400</v>
      </c>
      <c r="J27" s="37">
        <f ca="1" t="shared" si="0"/>
        <v>20000</v>
      </c>
      <c r="K27" s="37"/>
      <c r="L27" s="37"/>
      <c r="M27" s="37">
        <f ca="1" t="shared" si="1"/>
        <v>0</v>
      </c>
      <c r="N27" s="37">
        <f ca="1" t="shared" si="2"/>
        <v>20000</v>
      </c>
      <c r="O27" s="37">
        <f ca="1" t="shared" si="3"/>
        <v>5.55555555555556</v>
      </c>
      <c r="P27" s="37"/>
      <c r="Q27" s="37"/>
    </row>
    <row r="28" s="30" customFormat="1" ht="20" customHeight="1" spans="1:17">
      <c r="A28" s="36">
        <v>46093</v>
      </c>
      <c r="B28" s="37"/>
      <c r="C28" s="38"/>
      <c r="D28" s="5" t="s">
        <v>107</v>
      </c>
      <c r="E28" s="5" t="s">
        <v>108</v>
      </c>
      <c r="F28" s="37">
        <v>260</v>
      </c>
      <c r="G28" s="5" t="s">
        <v>25</v>
      </c>
      <c r="H28" s="37">
        <f ca="1" t="array" ref="H28">INDEX(成本核算表!J:J,MATCH(1,(成本核算表!D:D=E28)*(成本核算表!C:C=G28),0))</f>
        <v>60</v>
      </c>
      <c r="I28" s="37">
        <v>400</v>
      </c>
      <c r="J28" s="37">
        <f ca="1" t="shared" si="0"/>
        <v>24000</v>
      </c>
      <c r="K28" s="37"/>
      <c r="L28" s="37"/>
      <c r="M28" s="37">
        <f ca="1" t="shared" si="1"/>
        <v>0</v>
      </c>
      <c r="N28" s="37">
        <f ca="1" t="shared" si="2"/>
        <v>24000</v>
      </c>
      <c r="O28" s="37">
        <f ca="1" t="shared" si="3"/>
        <v>6.66666666666667</v>
      </c>
      <c r="P28" s="37"/>
      <c r="Q28" s="37"/>
    </row>
    <row r="29" s="30" customFormat="1" ht="20" customHeight="1" spans="1:17">
      <c r="A29" s="36">
        <v>46094</v>
      </c>
      <c r="B29" s="37">
        <v>12</v>
      </c>
      <c r="C29" s="38">
        <f ca="1" t="shared" si="7"/>
        <v>1.01851851851852</v>
      </c>
      <c r="D29" s="5" t="s">
        <v>107</v>
      </c>
      <c r="E29" s="5" t="s">
        <v>108</v>
      </c>
      <c r="F29" s="37">
        <v>260</v>
      </c>
      <c r="G29" s="5" t="s">
        <v>24</v>
      </c>
      <c r="H29" s="37">
        <f ca="1" t="array" ref="H29">INDEX(成本核算表!J:J,MATCH(1,(成本核算表!D:D=E29)*(成本核算表!C:C=G29),0))</f>
        <v>50</v>
      </c>
      <c r="I29" s="37">
        <v>400</v>
      </c>
      <c r="J29" s="37">
        <f ca="1" t="shared" si="0"/>
        <v>20000</v>
      </c>
      <c r="K29" s="37"/>
      <c r="L29" s="37"/>
      <c r="M29" s="37">
        <f ca="1" t="shared" si="1"/>
        <v>0</v>
      </c>
      <c r="N29" s="37">
        <f ca="1" t="shared" si="2"/>
        <v>20000</v>
      </c>
      <c r="O29" s="37">
        <f ca="1" t="shared" si="3"/>
        <v>5.55555555555556</v>
      </c>
      <c r="P29" s="37"/>
      <c r="Q29" s="37"/>
    </row>
    <row r="30" s="30" customFormat="1" ht="20" customHeight="1" spans="1:17">
      <c r="A30" s="36">
        <v>46094</v>
      </c>
      <c r="B30" s="37"/>
      <c r="C30" s="38"/>
      <c r="D30" s="5" t="s">
        <v>107</v>
      </c>
      <c r="E30" s="5" t="s">
        <v>108</v>
      </c>
      <c r="F30" s="37">
        <v>260</v>
      </c>
      <c r="G30" s="5" t="s">
        <v>25</v>
      </c>
      <c r="H30" s="37">
        <f ca="1" t="array" ref="H30">INDEX(成本核算表!J:J,MATCH(1,(成本核算表!D:D=E30)*(成本核算表!C:C=G30),0))</f>
        <v>60</v>
      </c>
      <c r="I30" s="37">
        <v>400</v>
      </c>
      <c r="J30" s="37">
        <f ca="1" t="shared" si="0"/>
        <v>24000</v>
      </c>
      <c r="K30" s="37"/>
      <c r="L30" s="37"/>
      <c r="M30" s="37">
        <f ca="1" t="shared" si="1"/>
        <v>0</v>
      </c>
      <c r="N30" s="37">
        <f ca="1" t="shared" si="2"/>
        <v>24000</v>
      </c>
      <c r="O30" s="37">
        <f ca="1" t="shared" si="3"/>
        <v>6.66666666666667</v>
      </c>
      <c r="P30" s="37"/>
      <c r="Q30" s="37"/>
    </row>
    <row r="31" s="30" customFormat="1" ht="20" customHeight="1" spans="1:17">
      <c r="A31" s="36">
        <v>46095</v>
      </c>
      <c r="B31" s="37">
        <v>12</v>
      </c>
      <c r="C31" s="38">
        <f ca="1">SUM(O31:O33)/B31</f>
        <v>0.973611111111111</v>
      </c>
      <c r="D31" s="5" t="s">
        <v>80</v>
      </c>
      <c r="E31" s="5" t="s">
        <v>78</v>
      </c>
      <c r="F31" s="37">
        <v>1960</v>
      </c>
      <c r="G31" s="5" t="s">
        <v>22</v>
      </c>
      <c r="H31" s="37">
        <f ca="1" t="array" ref="H31">INDEX(成本核算表!J:J,MATCH(1,(成本核算表!D:D=E31)*(成本核算表!C:C=G31),0))</f>
        <v>60</v>
      </c>
      <c r="I31" s="37">
        <v>302</v>
      </c>
      <c r="J31" s="37">
        <f ca="1" t="shared" si="0"/>
        <v>18120</v>
      </c>
      <c r="K31" s="37"/>
      <c r="L31" s="37"/>
      <c r="M31" s="37">
        <f ca="1" t="shared" si="1"/>
        <v>0</v>
      </c>
      <c r="N31" s="37">
        <f ca="1" t="shared" si="2"/>
        <v>18120</v>
      </c>
      <c r="O31" s="37">
        <f ca="1" t="shared" si="3"/>
        <v>5.03333333333333</v>
      </c>
      <c r="P31" s="37"/>
      <c r="Q31" s="37"/>
    </row>
    <row r="32" s="30" customFormat="1" ht="20" customHeight="1" spans="1:17">
      <c r="A32" s="36">
        <v>46095</v>
      </c>
      <c r="B32" s="37"/>
      <c r="C32" s="38"/>
      <c r="D32" s="5" t="s">
        <v>77</v>
      </c>
      <c r="E32" s="5" t="s">
        <v>78</v>
      </c>
      <c r="F32" s="37">
        <v>1960</v>
      </c>
      <c r="G32" s="5" t="s">
        <v>22</v>
      </c>
      <c r="H32" s="37">
        <f ca="1" t="array" ref="H32">INDEX(成本核算表!J:J,MATCH(1,(成本核算表!D:D=E32)*(成本核算表!C:C=G32),0))</f>
        <v>60</v>
      </c>
      <c r="I32" s="37">
        <v>136</v>
      </c>
      <c r="J32" s="37">
        <f ca="1" t="shared" si="0"/>
        <v>8160</v>
      </c>
      <c r="K32" s="37"/>
      <c r="L32" s="37"/>
      <c r="M32" s="37">
        <f ca="1" t="shared" si="1"/>
        <v>0</v>
      </c>
      <c r="N32" s="37">
        <f ca="1" t="shared" si="2"/>
        <v>8160</v>
      </c>
      <c r="O32" s="37">
        <f ca="1" t="shared" si="3"/>
        <v>2.26666666666667</v>
      </c>
      <c r="P32" s="37"/>
      <c r="Q32" s="37"/>
    </row>
    <row r="33" s="30" customFormat="1" ht="20" customHeight="1" spans="1:17">
      <c r="A33" s="36">
        <v>46095</v>
      </c>
      <c r="B33" s="37"/>
      <c r="C33" s="38"/>
      <c r="D33" s="5" t="s">
        <v>84</v>
      </c>
      <c r="E33" s="5" t="s">
        <v>78</v>
      </c>
      <c r="F33" s="37">
        <v>780</v>
      </c>
      <c r="G33" s="5" t="s">
        <v>22</v>
      </c>
      <c r="H33" s="37">
        <f ca="1" t="array" ref="H33">INDEX(成本核算表!J:J,MATCH(1,(成本核算表!D:D=E33)*(成本核算表!C:C=G33),0))</f>
        <v>60</v>
      </c>
      <c r="I33" s="37">
        <v>263</v>
      </c>
      <c r="J33" s="37">
        <f ca="1" t="shared" si="0"/>
        <v>15780</v>
      </c>
      <c r="K33" s="37"/>
      <c r="L33" s="37"/>
      <c r="M33" s="37">
        <f ca="1" t="shared" si="1"/>
        <v>0</v>
      </c>
      <c r="N33" s="37">
        <f ca="1" t="shared" si="2"/>
        <v>15780</v>
      </c>
      <c r="O33" s="37">
        <f ca="1" t="shared" si="3"/>
        <v>4.38333333333333</v>
      </c>
      <c r="P33" s="37"/>
      <c r="Q33" s="37"/>
    </row>
    <row r="34" s="30" customFormat="1" ht="20" customHeight="1" spans="1:17">
      <c r="A34" s="37"/>
      <c r="B34" s="37"/>
      <c r="C34" s="38"/>
      <c r="D34" s="37"/>
      <c r="E34" s="37"/>
      <c r="F34" s="37"/>
      <c r="G34" s="37"/>
      <c r="H34" s="37">
        <f ca="1" t="array" ref="H34">INDEX(成本核算表!J:J,MATCH(1,(成本核算表!D:D=E34)*(成本核算表!C:C=G34),0))</f>
        <v>0</v>
      </c>
      <c r="I34" s="37"/>
      <c r="J34" s="37">
        <f ca="1" t="shared" si="0"/>
        <v>0</v>
      </c>
      <c r="K34" s="37"/>
      <c r="L34" s="37"/>
      <c r="M34" s="37">
        <f ca="1" t="shared" si="1"/>
        <v>0</v>
      </c>
      <c r="N34" s="37">
        <f ca="1" t="shared" si="2"/>
        <v>0</v>
      </c>
      <c r="O34" s="37">
        <f ca="1" t="shared" si="3"/>
        <v>0</v>
      </c>
      <c r="P34" s="37"/>
      <c r="Q34" s="37"/>
    </row>
    <row r="35" s="30" customFormat="1" ht="20" customHeight="1" spans="1:17">
      <c r="A35" s="36">
        <v>46097</v>
      </c>
      <c r="B35" s="37">
        <v>11</v>
      </c>
      <c r="C35" s="38">
        <f ca="1">SUM(O35:O36)/B35</f>
        <v>0.953030303030303</v>
      </c>
      <c r="D35" s="5" t="s">
        <v>80</v>
      </c>
      <c r="E35" s="5" t="s">
        <v>78</v>
      </c>
      <c r="F35" s="37">
        <v>1960</v>
      </c>
      <c r="G35" s="5" t="s">
        <v>22</v>
      </c>
      <c r="H35" s="37">
        <f ca="1" t="array" ref="H35">INDEX(成本核算表!J:J,MATCH(1,(成本核算表!D:D=E35)*(成本核算表!C:C=G35),0))</f>
        <v>60</v>
      </c>
      <c r="I35" s="37">
        <v>277</v>
      </c>
      <c r="J35" s="37">
        <f ca="1" t="shared" si="0"/>
        <v>16620</v>
      </c>
      <c r="K35" s="37"/>
      <c r="L35" s="37"/>
      <c r="M35" s="37">
        <f ca="1" t="shared" si="1"/>
        <v>0</v>
      </c>
      <c r="N35" s="37">
        <f ca="1" t="shared" si="2"/>
        <v>16620</v>
      </c>
      <c r="O35" s="37">
        <f ca="1" t="shared" si="3"/>
        <v>4.61666666666667</v>
      </c>
      <c r="P35" s="37"/>
      <c r="Q35" s="37"/>
    </row>
    <row r="36" s="30" customFormat="1" ht="20" customHeight="1" spans="1:17">
      <c r="A36" s="36">
        <v>46097</v>
      </c>
      <c r="B36" s="37"/>
      <c r="C36" s="38"/>
      <c r="D36" s="5" t="s">
        <v>77</v>
      </c>
      <c r="E36" s="5" t="s">
        <v>78</v>
      </c>
      <c r="F36" s="37">
        <v>1960</v>
      </c>
      <c r="G36" s="5" t="s">
        <v>22</v>
      </c>
      <c r="H36" s="37">
        <f ca="1" t="array" ref="H36">INDEX(成本核算表!J:J,MATCH(1,(成本核算表!D:D=E36)*(成本核算表!C:C=G36),0))</f>
        <v>60</v>
      </c>
      <c r="I36" s="37">
        <v>352</v>
      </c>
      <c r="J36" s="37">
        <f ca="1" t="shared" si="0"/>
        <v>21120</v>
      </c>
      <c r="K36" s="37"/>
      <c r="L36" s="37"/>
      <c r="M36" s="37">
        <f ca="1" t="shared" si="1"/>
        <v>0</v>
      </c>
      <c r="N36" s="37">
        <f ca="1" t="shared" si="2"/>
        <v>21120</v>
      </c>
      <c r="O36" s="37">
        <f ca="1" t="shared" si="3"/>
        <v>5.86666666666667</v>
      </c>
      <c r="P36" s="37"/>
      <c r="Q36" s="37"/>
    </row>
    <row r="37" s="30" customFormat="1" ht="20" customHeight="1" spans="1:17">
      <c r="A37" s="36">
        <v>46098</v>
      </c>
      <c r="B37" s="37">
        <v>11</v>
      </c>
      <c r="C37" s="38">
        <f ca="1">SUM(O37:O39)/B37</f>
        <v>1.01666666666667</v>
      </c>
      <c r="D37" s="5" t="s">
        <v>84</v>
      </c>
      <c r="E37" s="5" t="s">
        <v>78</v>
      </c>
      <c r="F37" s="37">
        <v>780</v>
      </c>
      <c r="G37" s="5" t="s">
        <v>22</v>
      </c>
      <c r="H37" s="37">
        <f ca="1" t="array" ref="H37">INDEX(成本核算表!J:J,MATCH(1,(成本核算表!D:D=E37)*(成本核算表!C:C=G37),0))</f>
        <v>60</v>
      </c>
      <c r="I37" s="37">
        <v>304</v>
      </c>
      <c r="J37" s="37">
        <f ca="1" t="shared" si="0"/>
        <v>18240</v>
      </c>
      <c r="K37" s="37"/>
      <c r="L37" s="37"/>
      <c r="M37" s="37">
        <f ca="1" t="shared" si="1"/>
        <v>0</v>
      </c>
      <c r="N37" s="37">
        <f ca="1" t="shared" si="2"/>
        <v>18240</v>
      </c>
      <c r="O37" s="37">
        <f ca="1" t="shared" si="3"/>
        <v>5.06666666666667</v>
      </c>
      <c r="P37" s="37"/>
      <c r="Q37" s="37"/>
    </row>
    <row r="38" s="30" customFormat="1" ht="20" customHeight="1" spans="1:17">
      <c r="A38" s="36">
        <v>46098</v>
      </c>
      <c r="B38" s="37"/>
      <c r="C38" s="38"/>
      <c r="D38" s="5" t="s">
        <v>80</v>
      </c>
      <c r="E38" s="5" t="s">
        <v>78</v>
      </c>
      <c r="F38" s="37">
        <v>1960</v>
      </c>
      <c r="G38" s="5" t="s">
        <v>22</v>
      </c>
      <c r="H38" s="37">
        <f ca="1" t="array" ref="H38">INDEX(成本核算表!J:J,MATCH(1,(成本核算表!D:D=E38)*(成本核算表!C:C=G38),0))</f>
        <v>60</v>
      </c>
      <c r="I38" s="37">
        <v>198</v>
      </c>
      <c r="J38" s="37">
        <f ca="1" t="shared" si="0"/>
        <v>11880</v>
      </c>
      <c r="K38" s="37"/>
      <c r="L38" s="37"/>
      <c r="M38" s="37">
        <f ca="1" t="shared" si="1"/>
        <v>0</v>
      </c>
      <c r="N38" s="37">
        <f ca="1" t="shared" si="2"/>
        <v>11880</v>
      </c>
      <c r="O38" s="37">
        <f ca="1" t="shared" si="3"/>
        <v>3.3</v>
      </c>
      <c r="P38" s="37"/>
      <c r="Q38" s="37"/>
    </row>
    <row r="39" s="30" customFormat="1" ht="20" customHeight="1" spans="1:17">
      <c r="A39" s="36">
        <v>46098</v>
      </c>
      <c r="B39" s="37"/>
      <c r="C39" s="38"/>
      <c r="D39" s="5" t="s">
        <v>77</v>
      </c>
      <c r="E39" s="5" t="s">
        <v>78</v>
      </c>
      <c r="F39" s="37">
        <v>1960</v>
      </c>
      <c r="G39" s="5" t="s">
        <v>22</v>
      </c>
      <c r="H39" s="37">
        <f ca="1" t="array" ref="H39">INDEX(成本核算表!J:J,MATCH(1,(成本核算表!D:D=E39)*(成本核算表!C:C=G39),0))</f>
        <v>60</v>
      </c>
      <c r="I39" s="37">
        <v>169</v>
      </c>
      <c r="J39" s="37">
        <f ca="1" t="shared" si="0"/>
        <v>10140</v>
      </c>
      <c r="K39" s="37"/>
      <c r="L39" s="37"/>
      <c r="M39" s="37">
        <f ca="1" t="shared" si="1"/>
        <v>0</v>
      </c>
      <c r="N39" s="37">
        <f ca="1" t="shared" si="2"/>
        <v>10140</v>
      </c>
      <c r="O39" s="37">
        <f ca="1" t="shared" si="3"/>
        <v>2.81666666666667</v>
      </c>
      <c r="P39" s="37"/>
      <c r="Q39" s="37"/>
    </row>
    <row r="40" s="30" customFormat="1" ht="20" customHeight="1" spans="1:17">
      <c r="A40" s="36">
        <v>46099</v>
      </c>
      <c r="B40" s="32">
        <v>11</v>
      </c>
      <c r="C40" s="38">
        <f ca="1">SUM(O40:O42)/B40</f>
        <v>1.08030303030303</v>
      </c>
      <c r="D40" s="5" t="s">
        <v>80</v>
      </c>
      <c r="E40" s="5" t="s">
        <v>78</v>
      </c>
      <c r="F40" s="37">
        <v>1960</v>
      </c>
      <c r="G40" s="5" t="s">
        <v>22</v>
      </c>
      <c r="H40" s="37">
        <f ca="1" t="array" ref="H40">INDEX(成本核算表!J:J,MATCH(1,(成本核算表!D:D=E40)*(成本核算表!C:C=G40),0))</f>
        <v>60</v>
      </c>
      <c r="I40" s="37">
        <v>348</v>
      </c>
      <c r="J40" s="37">
        <f ca="1" t="shared" si="0"/>
        <v>20880</v>
      </c>
      <c r="K40" s="32"/>
      <c r="L40" s="32"/>
      <c r="M40" s="37">
        <f ca="1" t="shared" si="1"/>
        <v>0</v>
      </c>
      <c r="N40" s="37">
        <f ca="1" t="shared" si="2"/>
        <v>20880</v>
      </c>
      <c r="O40" s="37">
        <f ca="1" t="shared" si="3"/>
        <v>5.8</v>
      </c>
    </row>
    <row r="41" s="30" customFormat="1" ht="20" customHeight="1" spans="1:17">
      <c r="A41" s="36">
        <v>46099</v>
      </c>
      <c r="B41" s="32"/>
      <c r="C41" s="33"/>
      <c r="D41" s="5" t="s">
        <v>77</v>
      </c>
      <c r="E41" s="5" t="s">
        <v>78</v>
      </c>
      <c r="F41" s="37">
        <v>1960</v>
      </c>
      <c r="G41" s="5" t="s">
        <v>22</v>
      </c>
      <c r="H41" s="37">
        <f ca="1" t="array" ref="H41">INDEX(成本核算表!J:J,MATCH(1,(成本核算表!D:D=E41)*(成本核算表!C:C=G41),0))</f>
        <v>60</v>
      </c>
      <c r="I41" s="37">
        <v>315</v>
      </c>
      <c r="J41" s="37">
        <f ca="1" t="shared" si="0"/>
        <v>18900</v>
      </c>
      <c r="K41" s="32"/>
      <c r="L41" s="32"/>
      <c r="M41" s="37">
        <f ca="1" t="shared" si="1"/>
        <v>0</v>
      </c>
      <c r="N41" s="37">
        <f ca="1" t="shared" si="2"/>
        <v>18900</v>
      </c>
      <c r="O41" s="37">
        <f ca="1" t="shared" si="3"/>
        <v>5.25</v>
      </c>
    </row>
    <row r="42" s="30" customFormat="1" ht="20" customHeight="1" spans="1:17">
      <c r="A42" s="36">
        <v>46099</v>
      </c>
      <c r="B42" s="32"/>
      <c r="C42" s="33"/>
      <c r="D42" s="5" t="s">
        <v>84</v>
      </c>
      <c r="E42" s="5" t="s">
        <v>78</v>
      </c>
      <c r="F42" s="37">
        <v>780</v>
      </c>
      <c r="G42" s="5" t="s">
        <v>22</v>
      </c>
      <c r="H42" s="37">
        <f ca="1" t="array" ref="H42">INDEX(成本核算表!J:J,MATCH(1,(成本核算表!D:D=E42)*(成本核算表!C:C=G42),0))</f>
        <v>60</v>
      </c>
      <c r="I42" s="37">
        <v>50</v>
      </c>
      <c r="J42" s="37">
        <f ca="1" t="shared" si="0"/>
        <v>3000</v>
      </c>
      <c r="K42" s="32"/>
      <c r="L42" s="32"/>
      <c r="M42" s="37">
        <f ca="1" t="shared" si="1"/>
        <v>0</v>
      </c>
      <c r="N42" s="37">
        <f ca="1" t="shared" si="2"/>
        <v>3000</v>
      </c>
      <c r="O42" s="37">
        <f ca="1" t="shared" si="3"/>
        <v>0.833333333333333</v>
      </c>
    </row>
    <row r="43" s="30" customFormat="1" ht="20" customHeight="1" spans="1:17">
      <c r="A43" s="36">
        <v>46100</v>
      </c>
      <c r="B43" s="32">
        <v>11</v>
      </c>
      <c r="C43" s="38">
        <f ca="1">SUM(O43:O47)/B43</f>
        <v>1.0354797979798</v>
      </c>
      <c r="D43" s="32"/>
      <c r="E43" s="52" t="s">
        <v>139</v>
      </c>
      <c r="F43" s="32">
        <v>2015</v>
      </c>
      <c r="G43" s="5" t="s">
        <v>22</v>
      </c>
      <c r="H43" s="37">
        <f ca="1" t="array" ref="H43">INDEX(成本核算表!J:J,MATCH(1,(成本核算表!D:D=E43)*(成本核算表!C:C=G43),0))</f>
        <v>120</v>
      </c>
      <c r="I43" s="37">
        <v>10</v>
      </c>
      <c r="J43" s="37">
        <f ca="1" t="shared" si="0"/>
        <v>1200</v>
      </c>
      <c r="K43" s="32"/>
      <c r="L43" s="32">
        <v>18000</v>
      </c>
      <c r="M43" s="37">
        <f ca="1" t="shared" si="1"/>
        <v>0</v>
      </c>
      <c r="N43" s="37">
        <f ca="1" t="shared" si="2"/>
        <v>19200</v>
      </c>
      <c r="O43" s="37">
        <f ca="1" t="shared" si="3"/>
        <v>5.33333333333333</v>
      </c>
    </row>
    <row r="44" s="30" customFormat="1" ht="20" customHeight="1" spans="1:17">
      <c r="A44" s="36">
        <v>46100</v>
      </c>
      <c r="B44" s="32"/>
      <c r="C44" s="33"/>
      <c r="D44" s="32"/>
      <c r="E44" s="52" t="s">
        <v>146</v>
      </c>
      <c r="F44" s="32">
        <v>334</v>
      </c>
      <c r="G44" s="5" t="s">
        <v>24</v>
      </c>
      <c r="H44" s="37">
        <f ca="1" t="array" ref="H44">INDEX(成本核算表!J:J,MATCH(1,(成本核算表!D:D=E44)*(成本核算表!C:C=G44),0))</f>
        <v>75</v>
      </c>
      <c r="I44" s="37">
        <v>43</v>
      </c>
      <c r="J44" s="37">
        <f ca="1" t="shared" si="0"/>
        <v>3225</v>
      </c>
      <c r="K44" s="32"/>
      <c r="L44" s="32"/>
      <c r="M44" s="37">
        <f ca="1" t="shared" si="1"/>
        <v>0</v>
      </c>
      <c r="N44" s="37">
        <f ca="1" t="shared" si="2"/>
        <v>3225</v>
      </c>
      <c r="O44" s="37">
        <f ca="1" t="shared" si="3"/>
        <v>0.895833333333333</v>
      </c>
    </row>
    <row r="45" s="30" customFormat="1" ht="20" customHeight="1" spans="1:17">
      <c r="A45" s="36">
        <v>46100</v>
      </c>
      <c r="B45" s="32"/>
      <c r="C45" s="33"/>
      <c r="D45" s="32"/>
      <c r="E45" s="52" t="s">
        <v>146</v>
      </c>
      <c r="F45" s="32">
        <v>334</v>
      </c>
      <c r="G45" s="42" t="s">
        <v>25</v>
      </c>
      <c r="H45" s="37">
        <f ca="1" t="array" ref="H45">INDEX(成本核算表!J:J,MATCH(1,(成本核算表!D:D=E45)*(成本核算表!C:C=G45),0))</f>
        <v>160</v>
      </c>
      <c r="I45" s="37">
        <v>43</v>
      </c>
      <c r="J45" s="37">
        <f ca="1" t="shared" si="0"/>
        <v>6880</v>
      </c>
      <c r="K45" s="32"/>
      <c r="L45" s="32"/>
      <c r="M45" s="37">
        <f ca="1" t="shared" si="1"/>
        <v>0</v>
      </c>
      <c r="N45" s="37">
        <f ca="1" t="shared" si="2"/>
        <v>6880</v>
      </c>
      <c r="O45" s="37">
        <f ca="1" t="shared" si="3"/>
        <v>1.91111111111111</v>
      </c>
    </row>
    <row r="46" s="30" customFormat="1" ht="20" customHeight="1" spans="1:17">
      <c r="A46" s="36">
        <v>46100</v>
      </c>
      <c r="B46" s="32"/>
      <c r="C46" s="33"/>
      <c r="D46" s="32"/>
      <c r="E46" s="52" t="s">
        <v>145</v>
      </c>
      <c r="F46" s="32">
        <v>384</v>
      </c>
      <c r="G46" s="5" t="s">
        <v>24</v>
      </c>
      <c r="H46" s="37">
        <f ca="1" t="array" ref="H46">INDEX(成本核算表!J:J,MATCH(1,(成本核算表!D:D=E46)*(成本核算表!C:C=G46),0))</f>
        <v>90</v>
      </c>
      <c r="I46" s="37">
        <v>44</v>
      </c>
      <c r="J46" s="37">
        <f ca="1" t="shared" si="0"/>
        <v>3960</v>
      </c>
      <c r="K46" s="32">
        <v>2</v>
      </c>
      <c r="L46" s="32"/>
      <c r="M46" s="37">
        <f ca="1" t="shared" si="1"/>
        <v>180</v>
      </c>
      <c r="N46" s="37">
        <f ca="1" t="shared" si="2"/>
        <v>3780</v>
      </c>
      <c r="O46" s="37">
        <f ca="1" t="shared" si="3"/>
        <v>1.05</v>
      </c>
    </row>
    <row r="47" s="30" customFormat="1" ht="20" customHeight="1" spans="1:17">
      <c r="A47" s="36">
        <v>46100</v>
      </c>
      <c r="B47" s="32"/>
      <c r="C47" s="33"/>
      <c r="D47" s="32"/>
      <c r="E47" s="52" t="s">
        <v>145</v>
      </c>
      <c r="F47" s="32">
        <v>384</v>
      </c>
      <c r="G47" s="42" t="s">
        <v>25</v>
      </c>
      <c r="H47" s="37">
        <f ca="1" t="array" ref="H47">INDEX(成本核算表!J:J,MATCH(1,(成本核算表!D:D=E47)*(成本核算表!C:C=G47),0))</f>
        <v>180</v>
      </c>
      <c r="I47" s="37">
        <v>44</v>
      </c>
      <c r="J47" s="37">
        <f ca="1" t="shared" si="0"/>
        <v>7920</v>
      </c>
      <c r="K47" s="32"/>
      <c r="L47" s="32"/>
      <c r="M47" s="37">
        <f ca="1" t="shared" si="1"/>
        <v>0</v>
      </c>
      <c r="N47" s="37">
        <f ca="1" t="shared" si="2"/>
        <v>7920</v>
      </c>
      <c r="O47" s="37">
        <f ca="1" t="shared" si="3"/>
        <v>2.2</v>
      </c>
    </row>
    <row r="48" s="30" customFormat="1" ht="20" customHeight="1" spans="1:17">
      <c r="A48" s="36">
        <v>46101</v>
      </c>
      <c r="B48" s="37">
        <v>11</v>
      </c>
      <c r="C48" s="38">
        <f ca="1">SUM(O48:O49)/B48</f>
        <v>1.11111111111111</v>
      </c>
      <c r="D48" s="5" t="s">
        <v>107</v>
      </c>
      <c r="E48" s="5" t="s">
        <v>108</v>
      </c>
      <c r="F48" s="37">
        <v>260</v>
      </c>
      <c r="G48" s="5" t="s">
        <v>24</v>
      </c>
      <c r="H48" s="37">
        <f ca="1" t="array" ref="H48">INDEX(成本核算表!J:J,MATCH(1,(成本核算表!D:D=E48)*(成本核算表!C:C=G48),0))</f>
        <v>50</v>
      </c>
      <c r="I48" s="37">
        <v>400</v>
      </c>
      <c r="J48" s="37">
        <f ca="1" t="shared" si="0"/>
        <v>20000</v>
      </c>
      <c r="K48" s="32"/>
      <c r="L48" s="32"/>
      <c r="M48" s="37">
        <f ca="1" t="shared" si="1"/>
        <v>0</v>
      </c>
      <c r="N48" s="37">
        <f ca="1" t="shared" si="2"/>
        <v>20000</v>
      </c>
      <c r="O48" s="37">
        <f ca="1" t="shared" si="3"/>
        <v>5.55555555555556</v>
      </c>
    </row>
    <row r="49" s="30" customFormat="1" ht="20" customHeight="1" spans="1:15">
      <c r="A49" s="36">
        <v>46101</v>
      </c>
      <c r="B49" s="37"/>
      <c r="C49" s="38"/>
      <c r="D49" s="5" t="s">
        <v>107</v>
      </c>
      <c r="E49" s="5" t="s">
        <v>108</v>
      </c>
      <c r="F49" s="37">
        <v>260</v>
      </c>
      <c r="G49" s="5" t="s">
        <v>25</v>
      </c>
      <c r="H49" s="37">
        <f ca="1" t="array" ref="H49">INDEX(成本核算表!J:J,MATCH(1,(成本核算表!D:D=E49)*(成本核算表!C:C=G49),0))</f>
        <v>60</v>
      </c>
      <c r="I49" s="37">
        <v>400</v>
      </c>
      <c r="J49" s="37">
        <f ca="1" t="shared" si="0"/>
        <v>24000</v>
      </c>
      <c r="K49" s="32"/>
      <c r="L49" s="32"/>
      <c r="M49" s="37">
        <f ca="1" t="shared" si="1"/>
        <v>0</v>
      </c>
      <c r="N49" s="37">
        <f ca="1" t="shared" si="2"/>
        <v>24000</v>
      </c>
      <c r="O49" s="37">
        <f ca="1" t="shared" si="3"/>
        <v>6.66666666666667</v>
      </c>
    </row>
    <row r="50" s="30" customFormat="1" ht="20" customHeight="1" spans="1:15">
      <c r="A50" s="36"/>
      <c r="B50" s="32"/>
      <c r="C50" s="33"/>
      <c r="D50" s="32"/>
      <c r="E50" s="32"/>
      <c r="F50" s="32"/>
      <c r="G50" s="32"/>
      <c r="H50" s="37">
        <f ca="1" t="array" ref="H50">INDEX(成本核算表!J:J,MATCH(1,(成本核算表!D:D=E50)*(成本核算表!C:C=G50),0))</f>
        <v>0</v>
      </c>
      <c r="I50" s="37"/>
      <c r="J50" s="37">
        <f ca="1" t="shared" si="0"/>
        <v>0</v>
      </c>
      <c r="K50" s="32"/>
      <c r="L50" s="32"/>
      <c r="M50" s="37">
        <f ca="1" t="shared" si="1"/>
        <v>0</v>
      </c>
      <c r="N50" s="37">
        <f ca="1" t="shared" si="2"/>
        <v>0</v>
      </c>
      <c r="O50" s="37">
        <f ca="1" t="shared" si="3"/>
        <v>0</v>
      </c>
    </row>
    <row r="51" s="30" customFormat="1" ht="20" customHeight="1" spans="1:15">
      <c r="A51" s="36"/>
      <c r="B51" s="32"/>
      <c r="C51" s="33"/>
      <c r="D51" s="32"/>
      <c r="E51" s="32"/>
      <c r="F51" s="32"/>
      <c r="G51" s="32"/>
      <c r="H51" s="37">
        <f ca="1" t="array" ref="H51">INDEX(成本核算表!J:J,MATCH(1,(成本核算表!D:D=E51)*(成本核算表!C:C=G51),0))</f>
        <v>0</v>
      </c>
      <c r="I51" s="37"/>
      <c r="J51" s="37">
        <f ca="1" t="shared" si="0"/>
        <v>0</v>
      </c>
      <c r="K51" s="32"/>
      <c r="L51" s="32"/>
      <c r="M51" s="37">
        <f ca="1" t="shared" si="1"/>
        <v>0</v>
      </c>
      <c r="N51" s="37">
        <f ca="1" t="shared" si="2"/>
        <v>0</v>
      </c>
      <c r="O51" s="37">
        <f ca="1" t="shared" si="3"/>
        <v>0</v>
      </c>
    </row>
    <row r="52" s="30" customFormat="1" ht="20" customHeight="1" spans="1:15">
      <c r="A52" s="36"/>
      <c r="B52" s="32"/>
      <c r="C52" s="33"/>
      <c r="D52" s="32"/>
      <c r="E52" s="32"/>
      <c r="F52" s="32"/>
      <c r="G52" s="32"/>
      <c r="H52" s="37">
        <f ca="1" t="array" ref="H52">INDEX(成本核算表!J:J,MATCH(1,(成本核算表!D:D=E52)*(成本核算表!C:C=G52),0))</f>
        <v>0</v>
      </c>
      <c r="I52" s="37"/>
      <c r="J52" s="37">
        <f ca="1" t="shared" si="0"/>
        <v>0</v>
      </c>
      <c r="K52" s="32"/>
      <c r="L52" s="32"/>
      <c r="M52" s="37">
        <f ca="1" t="shared" si="1"/>
        <v>0</v>
      </c>
      <c r="N52" s="37">
        <f ca="1" t="shared" si="2"/>
        <v>0</v>
      </c>
      <c r="O52" s="37">
        <f ca="1" t="shared" si="3"/>
        <v>0</v>
      </c>
    </row>
    <row r="53" s="30" customFormat="1" ht="20" customHeight="1" spans="1:15">
      <c r="A53" s="36"/>
      <c r="B53" s="32"/>
      <c r="C53" s="33"/>
      <c r="D53" s="32"/>
      <c r="E53" s="32"/>
      <c r="F53" s="32"/>
      <c r="G53" s="32"/>
      <c r="H53" s="37">
        <f ca="1" t="array" ref="H53">INDEX(成本核算表!J:J,MATCH(1,(成本核算表!D:D=E53)*(成本核算表!C:C=G53),0))</f>
        <v>0</v>
      </c>
      <c r="I53" s="37"/>
      <c r="J53" s="37">
        <f ca="1" t="shared" si="0"/>
        <v>0</v>
      </c>
      <c r="K53" s="32"/>
      <c r="L53" s="32"/>
      <c r="M53" s="37">
        <f ca="1" t="shared" si="1"/>
        <v>0</v>
      </c>
      <c r="N53" s="37">
        <f ca="1" t="shared" si="2"/>
        <v>0</v>
      </c>
      <c r="O53" s="37">
        <f ca="1" t="shared" si="3"/>
        <v>0</v>
      </c>
    </row>
    <row r="54" s="30" customFormat="1" ht="20" customHeight="1" spans="1:15">
      <c r="A54" s="36"/>
      <c r="B54" s="32"/>
      <c r="C54" s="33"/>
      <c r="D54" s="32"/>
      <c r="E54" s="32"/>
      <c r="F54" s="32"/>
      <c r="G54" s="32"/>
      <c r="H54" s="37">
        <f ca="1" t="array" ref="H54">INDEX(成本核算表!J:J,MATCH(1,(成本核算表!D:D=E54)*(成本核算表!C:C=G54),0))</f>
        <v>0</v>
      </c>
      <c r="I54" s="37"/>
      <c r="J54" s="37">
        <f ca="1" t="shared" si="0"/>
        <v>0</v>
      </c>
      <c r="K54" s="32"/>
      <c r="L54" s="32"/>
      <c r="M54" s="37">
        <f ca="1" t="shared" si="1"/>
        <v>0</v>
      </c>
      <c r="N54" s="37">
        <f ca="1" t="shared" si="2"/>
        <v>0</v>
      </c>
      <c r="O54" s="37">
        <f ca="1" t="shared" si="3"/>
        <v>0</v>
      </c>
    </row>
    <row r="55" s="30" customFormat="1" ht="20" customHeight="1" spans="1:15">
      <c r="A55" s="36"/>
      <c r="B55" s="32"/>
      <c r="C55" s="33"/>
      <c r="D55" s="32"/>
      <c r="E55" s="32"/>
      <c r="F55" s="32"/>
      <c r="G55" s="32"/>
      <c r="H55" s="37">
        <f ca="1" t="array" ref="H55">INDEX(成本核算表!J:J,MATCH(1,(成本核算表!D:D=E55)*(成本核算表!C:C=G55),0))</f>
        <v>0</v>
      </c>
      <c r="I55" s="37"/>
      <c r="J55" s="37">
        <f ca="1" t="shared" si="0"/>
        <v>0</v>
      </c>
      <c r="K55" s="32"/>
      <c r="L55" s="32"/>
      <c r="M55" s="37">
        <f ca="1" t="shared" si="1"/>
        <v>0</v>
      </c>
      <c r="N55" s="37">
        <f ca="1" t="shared" si="2"/>
        <v>0</v>
      </c>
      <c r="O55" s="37">
        <f ca="1" t="shared" si="3"/>
        <v>0</v>
      </c>
    </row>
    <row r="56" s="30" customFormat="1" ht="20" customHeight="1" spans="1:15">
      <c r="A56" s="36"/>
      <c r="B56" s="32"/>
      <c r="C56" s="33"/>
      <c r="D56" s="32"/>
      <c r="E56" s="32"/>
      <c r="F56" s="32"/>
      <c r="G56" s="32"/>
      <c r="H56" s="37">
        <f ca="1" t="array" ref="H56">INDEX(成本核算表!J:J,MATCH(1,(成本核算表!D:D=E56)*(成本核算表!C:C=G56),0))</f>
        <v>0</v>
      </c>
      <c r="I56" s="37"/>
      <c r="J56" s="37">
        <f ca="1" t="shared" si="0"/>
        <v>0</v>
      </c>
      <c r="K56" s="32"/>
      <c r="L56" s="32"/>
      <c r="M56" s="37">
        <f ca="1" t="shared" si="1"/>
        <v>0</v>
      </c>
      <c r="N56" s="37">
        <f ca="1" t="shared" si="2"/>
        <v>0</v>
      </c>
      <c r="O56" s="37">
        <f ca="1" t="shared" si="3"/>
        <v>0</v>
      </c>
    </row>
    <row r="57" s="30" customFormat="1" ht="20" customHeight="1" spans="1:15">
      <c r="A57" s="36"/>
      <c r="B57" s="32"/>
      <c r="C57" s="33"/>
      <c r="D57" s="32"/>
      <c r="E57" s="32"/>
      <c r="F57" s="32"/>
      <c r="G57" s="32"/>
      <c r="H57" s="37">
        <f ca="1" t="array" ref="H57">INDEX(成本核算表!J:J,MATCH(1,(成本核算表!D:D=E57)*(成本核算表!C:C=G57),0))</f>
        <v>0</v>
      </c>
      <c r="I57" s="37"/>
      <c r="J57" s="37">
        <f ca="1" t="shared" si="0"/>
        <v>0</v>
      </c>
      <c r="K57" s="32"/>
      <c r="L57" s="32"/>
      <c r="M57" s="37">
        <f ca="1" t="shared" si="1"/>
        <v>0</v>
      </c>
      <c r="N57" s="37">
        <f ca="1" t="shared" si="2"/>
        <v>0</v>
      </c>
      <c r="O57" s="37">
        <f ca="1" t="shared" si="3"/>
        <v>0</v>
      </c>
    </row>
    <row r="58" s="30" customFormat="1" ht="20" customHeight="1" spans="1:15">
      <c r="A58" s="36"/>
      <c r="B58" s="32"/>
      <c r="C58" s="33"/>
      <c r="D58" s="32"/>
      <c r="E58" s="32"/>
      <c r="F58" s="32"/>
      <c r="G58" s="32"/>
      <c r="H58" s="37">
        <f ca="1" t="array" ref="H58">INDEX(成本核算表!J:J,MATCH(1,(成本核算表!D:D=E58)*(成本核算表!C:C=G58),0))</f>
        <v>0</v>
      </c>
      <c r="I58" s="37"/>
      <c r="J58" s="37">
        <f ca="1" t="shared" si="0"/>
        <v>0</v>
      </c>
      <c r="K58" s="32"/>
      <c r="L58" s="32"/>
      <c r="M58" s="37">
        <f ca="1" t="shared" si="1"/>
        <v>0</v>
      </c>
      <c r="N58" s="37">
        <f ca="1" t="shared" si="2"/>
        <v>0</v>
      </c>
      <c r="O58" s="37">
        <f ca="1" t="shared" si="3"/>
        <v>0</v>
      </c>
    </row>
    <row r="59" s="30" customFormat="1" ht="20" customHeight="1" spans="1:15">
      <c r="A59" s="36"/>
      <c r="B59" s="32"/>
      <c r="C59" s="33"/>
      <c r="D59" s="32"/>
      <c r="E59" s="32"/>
      <c r="F59" s="32"/>
      <c r="G59" s="32"/>
      <c r="H59" s="37">
        <f ca="1" t="array" ref="H59">INDEX(成本核算表!J:J,MATCH(1,(成本核算表!D:D=E59)*(成本核算表!C:C=G59),0))</f>
        <v>0</v>
      </c>
      <c r="I59" s="37"/>
      <c r="J59" s="37">
        <f ca="1" t="shared" si="0"/>
        <v>0</v>
      </c>
      <c r="K59" s="32"/>
      <c r="L59" s="32"/>
      <c r="M59" s="37">
        <f ca="1" t="shared" si="1"/>
        <v>0</v>
      </c>
      <c r="N59" s="37">
        <f ca="1" t="shared" si="2"/>
        <v>0</v>
      </c>
      <c r="O59" s="37">
        <f ca="1" t="shared" si="3"/>
        <v>0</v>
      </c>
    </row>
    <row r="60" s="30" customFormat="1" ht="20" customHeight="1" spans="1:15">
      <c r="A60" s="36"/>
      <c r="B60" s="32"/>
      <c r="C60" s="33"/>
      <c r="D60" s="32"/>
      <c r="E60" s="32"/>
      <c r="F60" s="32"/>
      <c r="G60" s="32"/>
      <c r="H60" s="37">
        <f ca="1" t="array" ref="H60">INDEX(成本核算表!J:J,MATCH(1,(成本核算表!D:D=E60)*(成本核算表!C:C=G60),0))</f>
        <v>0</v>
      </c>
      <c r="I60" s="37"/>
      <c r="J60" s="37">
        <f ca="1" t="shared" si="0"/>
        <v>0</v>
      </c>
      <c r="K60" s="32"/>
      <c r="L60" s="32"/>
      <c r="M60" s="37">
        <f ca="1" t="shared" si="1"/>
        <v>0</v>
      </c>
      <c r="N60" s="37">
        <f ca="1" t="shared" si="2"/>
        <v>0</v>
      </c>
      <c r="O60" s="37">
        <f ca="1" t="shared" si="3"/>
        <v>0</v>
      </c>
    </row>
    <row r="61" s="30" customFormat="1" ht="20" customHeight="1" spans="1:15">
      <c r="A61" s="31"/>
      <c r="B61" s="32"/>
      <c r="C61" s="33"/>
      <c r="D61" s="32"/>
      <c r="E61" s="32"/>
      <c r="F61" s="32"/>
      <c r="G61" s="32"/>
      <c r="H61" s="37">
        <f ca="1" t="array" ref="H61">INDEX(成本核算表!J:J,MATCH(1,(成本核算表!D:D=E61)*(成本核算表!C:C=G61),0))</f>
        <v>0</v>
      </c>
      <c r="I61" s="37"/>
      <c r="J61" s="37">
        <f ca="1" t="shared" si="0"/>
        <v>0</v>
      </c>
      <c r="K61" s="32"/>
      <c r="L61" s="32"/>
      <c r="M61" s="37">
        <f ca="1" t="shared" si="1"/>
        <v>0</v>
      </c>
      <c r="N61" s="37">
        <f ca="1" t="shared" si="2"/>
        <v>0</v>
      </c>
      <c r="O61" s="37">
        <f ca="1" t="shared" si="3"/>
        <v>0</v>
      </c>
    </row>
    <row r="62" s="30" customFormat="1" ht="20" customHeight="1" spans="1:15">
      <c r="A62" s="31"/>
      <c r="B62" s="32"/>
      <c r="C62" s="33"/>
      <c r="D62" s="32"/>
      <c r="E62" s="32"/>
      <c r="F62" s="32"/>
      <c r="G62" s="32"/>
      <c r="H62" s="37">
        <f ca="1" t="array" ref="H62">INDEX(成本核算表!J:J,MATCH(1,(成本核算表!D:D=E62)*(成本核算表!C:C=G62),0))</f>
        <v>0</v>
      </c>
      <c r="I62" s="37"/>
      <c r="J62" s="37">
        <f ca="1" t="shared" si="0"/>
        <v>0</v>
      </c>
      <c r="K62" s="32"/>
      <c r="L62" s="32"/>
      <c r="M62" s="37">
        <f ca="1" t="shared" si="1"/>
        <v>0</v>
      </c>
      <c r="N62" s="37">
        <f ca="1" t="shared" si="2"/>
        <v>0</v>
      </c>
      <c r="O62" s="37">
        <f ca="1" t="shared" si="3"/>
        <v>0</v>
      </c>
    </row>
    <row r="63" s="30" customFormat="1" ht="20" customHeight="1" spans="1:15">
      <c r="A63" s="31"/>
      <c r="B63" s="32"/>
      <c r="C63" s="33"/>
      <c r="D63" s="32"/>
      <c r="E63" s="32"/>
      <c r="F63" s="32"/>
      <c r="G63" s="32"/>
      <c r="H63" s="37">
        <f ca="1" t="array" ref="H63">INDEX(成本核算表!J:J,MATCH(1,(成本核算表!D:D=E63)*(成本核算表!C:C=G63),0))</f>
        <v>0</v>
      </c>
      <c r="I63" s="37"/>
      <c r="J63" s="37">
        <f ca="1" t="shared" si="0"/>
        <v>0</v>
      </c>
      <c r="K63" s="32"/>
      <c r="L63" s="32"/>
      <c r="M63" s="37">
        <f ca="1" t="shared" si="1"/>
        <v>0</v>
      </c>
      <c r="N63" s="37">
        <f ca="1" t="shared" si="2"/>
        <v>0</v>
      </c>
      <c r="O63" s="37">
        <f ca="1" t="shared" si="3"/>
        <v>0</v>
      </c>
    </row>
    <row r="64" s="30" customFormat="1" ht="20" customHeight="1" spans="1:15">
      <c r="A64" s="31"/>
      <c r="B64" s="32"/>
      <c r="C64" s="33"/>
      <c r="D64" s="32"/>
      <c r="E64" s="32"/>
      <c r="F64" s="32"/>
      <c r="G64" s="32"/>
      <c r="H64" s="37">
        <f ca="1" t="array" ref="H64">INDEX(成本核算表!J:J,MATCH(1,(成本核算表!D:D=E64)*(成本核算表!C:C=G64),0))</f>
        <v>0</v>
      </c>
      <c r="I64" s="37"/>
      <c r="J64" s="37">
        <f ca="1" t="shared" ref="J64:J99" si="8">H64*I64</f>
        <v>0</v>
      </c>
      <c r="K64" s="32"/>
      <c r="L64" s="32"/>
      <c r="M64" s="37">
        <f ca="1" t="shared" ref="M64:M99" si="9">K64*H64</f>
        <v>0</v>
      </c>
      <c r="N64" s="37">
        <f ca="1" t="shared" ref="N64:N99" si="10">J64-M64+L64</f>
        <v>0</v>
      </c>
      <c r="O64" s="37">
        <f ca="1" t="shared" ref="O64:O99" si="11">N64/3600</f>
        <v>0</v>
      </c>
    </row>
    <row r="65" s="30" customFormat="1" ht="20" customHeight="1" spans="1:15">
      <c r="A65" s="31"/>
      <c r="B65" s="32"/>
      <c r="C65" s="33"/>
      <c r="D65" s="32"/>
      <c r="E65" s="32"/>
      <c r="F65" s="32"/>
      <c r="G65" s="32"/>
      <c r="H65" s="37">
        <f ca="1" t="array" ref="H65">INDEX(成本核算表!J:J,MATCH(1,(成本核算表!D:D=E65)*(成本核算表!C:C=G65),0))</f>
        <v>0</v>
      </c>
      <c r="I65" s="37"/>
      <c r="J65" s="37">
        <f ca="1" t="shared" si="8"/>
        <v>0</v>
      </c>
      <c r="K65" s="32"/>
      <c r="L65" s="32"/>
      <c r="M65" s="37">
        <f ca="1" t="shared" si="9"/>
        <v>0</v>
      </c>
      <c r="N65" s="37">
        <f ca="1" t="shared" si="10"/>
        <v>0</v>
      </c>
      <c r="O65" s="37">
        <f ca="1" t="shared" si="11"/>
        <v>0</v>
      </c>
    </row>
    <row r="66" s="30" customFormat="1" ht="20" customHeight="1" spans="1:15">
      <c r="A66" s="31"/>
      <c r="B66" s="32"/>
      <c r="C66" s="33"/>
      <c r="D66" s="32"/>
      <c r="E66" s="32"/>
      <c r="F66" s="32"/>
      <c r="G66" s="32"/>
      <c r="H66" s="37">
        <f ca="1" t="array" ref="H66">INDEX(成本核算表!J:J,MATCH(1,(成本核算表!D:D=E66)*(成本核算表!C:C=G66),0))</f>
        <v>0</v>
      </c>
      <c r="I66" s="37"/>
      <c r="J66" s="37">
        <f ca="1" t="shared" si="8"/>
        <v>0</v>
      </c>
      <c r="K66" s="32"/>
      <c r="L66" s="32"/>
      <c r="M66" s="37">
        <f ca="1" t="shared" si="9"/>
        <v>0</v>
      </c>
      <c r="N66" s="37">
        <f ca="1" t="shared" si="10"/>
        <v>0</v>
      </c>
      <c r="O66" s="37">
        <f ca="1" t="shared" si="11"/>
        <v>0</v>
      </c>
    </row>
    <row r="67" s="30" customFormat="1" ht="20" customHeight="1" spans="1:15">
      <c r="A67" s="31"/>
      <c r="B67" s="32"/>
      <c r="C67" s="33"/>
      <c r="D67" s="32"/>
      <c r="E67" s="32"/>
      <c r="F67" s="32"/>
      <c r="G67" s="32"/>
      <c r="H67" s="37">
        <f ca="1" t="array" ref="H67">INDEX(成本核算表!J:J,MATCH(1,(成本核算表!D:D=E67)*(成本核算表!C:C=G67),0))</f>
        <v>0</v>
      </c>
      <c r="I67" s="37"/>
      <c r="J67" s="37">
        <f ca="1" t="shared" si="8"/>
        <v>0</v>
      </c>
      <c r="K67" s="32"/>
      <c r="L67" s="32"/>
      <c r="M67" s="37">
        <f ca="1" t="shared" si="9"/>
        <v>0</v>
      </c>
      <c r="N67" s="37">
        <f ca="1" t="shared" si="10"/>
        <v>0</v>
      </c>
      <c r="O67" s="37">
        <f ca="1" t="shared" si="11"/>
        <v>0</v>
      </c>
    </row>
    <row r="68" s="30" customFormat="1" ht="20" customHeight="1" spans="1:15">
      <c r="A68" s="31"/>
      <c r="B68" s="32"/>
      <c r="C68" s="33"/>
      <c r="D68" s="32"/>
      <c r="E68" s="32"/>
      <c r="F68" s="32"/>
      <c r="G68" s="32"/>
      <c r="H68" s="37">
        <f ca="1" t="array" ref="H68">INDEX(成本核算表!J:J,MATCH(1,(成本核算表!D:D=E68)*(成本核算表!C:C=G68),0))</f>
        <v>0</v>
      </c>
      <c r="I68" s="37"/>
      <c r="J68" s="37">
        <f ca="1" t="shared" si="8"/>
        <v>0</v>
      </c>
      <c r="K68" s="32"/>
      <c r="L68" s="32"/>
      <c r="M68" s="37">
        <f ca="1" t="shared" si="9"/>
        <v>0</v>
      </c>
      <c r="N68" s="37">
        <f ca="1" t="shared" si="10"/>
        <v>0</v>
      </c>
      <c r="O68" s="37">
        <f ca="1" t="shared" si="11"/>
        <v>0</v>
      </c>
    </row>
    <row r="69" s="30" customFormat="1" ht="20" customHeight="1" spans="1:15">
      <c r="A69" s="31"/>
      <c r="B69" s="32"/>
      <c r="C69" s="33"/>
      <c r="D69" s="32"/>
      <c r="E69" s="32"/>
      <c r="F69" s="32"/>
      <c r="G69" s="32"/>
      <c r="H69" s="37">
        <f ca="1" t="array" ref="H69">INDEX(成本核算表!J:J,MATCH(1,(成本核算表!D:D=E69)*(成本核算表!C:C=G69),0))</f>
        <v>0</v>
      </c>
      <c r="I69" s="37"/>
      <c r="J69" s="37">
        <f ca="1" t="shared" si="8"/>
        <v>0</v>
      </c>
      <c r="K69" s="32"/>
      <c r="L69" s="32"/>
      <c r="M69" s="37">
        <f ca="1" t="shared" si="9"/>
        <v>0</v>
      </c>
      <c r="N69" s="37">
        <f ca="1" t="shared" si="10"/>
        <v>0</v>
      </c>
      <c r="O69" s="37">
        <f ca="1" t="shared" si="11"/>
        <v>0</v>
      </c>
    </row>
    <row r="70" s="30" customFormat="1" ht="20" customHeight="1" spans="1:15">
      <c r="A70" s="31"/>
      <c r="B70" s="32"/>
      <c r="C70" s="33"/>
      <c r="D70" s="32"/>
      <c r="E70" s="32"/>
      <c r="F70" s="32"/>
      <c r="G70" s="32"/>
      <c r="H70" s="37">
        <f ca="1" t="array" ref="H70">INDEX(成本核算表!J:J,MATCH(1,(成本核算表!D:D=E70)*(成本核算表!C:C=G70),0))</f>
        <v>0</v>
      </c>
      <c r="I70" s="37"/>
      <c r="J70" s="37">
        <f ca="1" t="shared" si="8"/>
        <v>0</v>
      </c>
      <c r="K70" s="32"/>
      <c r="L70" s="32"/>
      <c r="M70" s="37">
        <f ca="1" t="shared" si="9"/>
        <v>0</v>
      </c>
      <c r="N70" s="37">
        <f ca="1" t="shared" si="10"/>
        <v>0</v>
      </c>
      <c r="O70" s="37">
        <f ca="1" t="shared" si="11"/>
        <v>0</v>
      </c>
    </row>
    <row r="71" s="30" customFormat="1" ht="20" customHeight="1" spans="1:15">
      <c r="A71" s="31"/>
      <c r="B71" s="32"/>
      <c r="C71" s="33"/>
      <c r="D71" s="32"/>
      <c r="E71" s="32"/>
      <c r="F71" s="32"/>
      <c r="G71" s="32"/>
      <c r="H71" s="37">
        <f ca="1" t="array" ref="H71">INDEX(成本核算表!J:J,MATCH(1,(成本核算表!D:D=E71)*(成本核算表!C:C=G71),0))</f>
        <v>0</v>
      </c>
      <c r="I71" s="37"/>
      <c r="J71" s="37">
        <f ca="1" t="shared" si="8"/>
        <v>0</v>
      </c>
      <c r="K71" s="32"/>
      <c r="L71" s="32"/>
      <c r="M71" s="37">
        <f ca="1" t="shared" si="9"/>
        <v>0</v>
      </c>
      <c r="N71" s="37">
        <f ca="1" t="shared" si="10"/>
        <v>0</v>
      </c>
      <c r="O71" s="37">
        <f ca="1" t="shared" si="11"/>
        <v>0</v>
      </c>
    </row>
    <row r="72" s="30" customFormat="1" ht="20" customHeight="1" spans="1:15">
      <c r="A72" s="31"/>
      <c r="B72" s="32"/>
      <c r="C72" s="33"/>
      <c r="D72" s="32"/>
      <c r="E72" s="32"/>
      <c r="F72" s="32"/>
      <c r="G72" s="32"/>
      <c r="H72" s="37">
        <f ca="1" t="array" ref="H72">INDEX(成本核算表!J:J,MATCH(1,(成本核算表!D:D=E72)*(成本核算表!C:C=G72),0))</f>
        <v>0</v>
      </c>
      <c r="I72" s="37"/>
      <c r="J72" s="37">
        <f ca="1" t="shared" si="8"/>
        <v>0</v>
      </c>
      <c r="K72" s="32"/>
      <c r="L72" s="32"/>
      <c r="M72" s="37">
        <f ca="1" t="shared" si="9"/>
        <v>0</v>
      </c>
      <c r="N72" s="37">
        <f ca="1" t="shared" si="10"/>
        <v>0</v>
      </c>
      <c r="O72" s="37">
        <f ca="1" t="shared" si="11"/>
        <v>0</v>
      </c>
    </row>
    <row r="73" s="30" customFormat="1" ht="20" customHeight="1" spans="1:15">
      <c r="A73" s="31"/>
      <c r="B73" s="32"/>
      <c r="C73" s="33"/>
      <c r="D73" s="32"/>
      <c r="E73" s="32"/>
      <c r="F73" s="32"/>
      <c r="G73" s="32"/>
      <c r="H73" s="37">
        <f ca="1" t="array" ref="H73">INDEX(成本核算表!J:J,MATCH(1,(成本核算表!D:D=E73)*(成本核算表!C:C=G73),0))</f>
        <v>0</v>
      </c>
      <c r="I73" s="37"/>
      <c r="J73" s="37">
        <f ca="1" t="shared" si="8"/>
        <v>0</v>
      </c>
      <c r="K73" s="32"/>
      <c r="L73" s="32"/>
      <c r="M73" s="37">
        <f ca="1" t="shared" si="9"/>
        <v>0</v>
      </c>
      <c r="N73" s="37">
        <f ca="1" t="shared" si="10"/>
        <v>0</v>
      </c>
      <c r="O73" s="37">
        <f ca="1" t="shared" si="11"/>
        <v>0</v>
      </c>
    </row>
    <row r="74" s="30" customFormat="1" ht="20" customHeight="1" spans="1:15">
      <c r="A74" s="31"/>
      <c r="B74" s="32"/>
      <c r="C74" s="33"/>
      <c r="D74" s="32"/>
      <c r="E74" s="32"/>
      <c r="F74" s="32"/>
      <c r="G74" s="32"/>
      <c r="H74" s="37">
        <f ca="1" t="array" ref="H74">INDEX(成本核算表!J:J,MATCH(1,(成本核算表!D:D=E74)*(成本核算表!C:C=G74),0))</f>
        <v>0</v>
      </c>
      <c r="I74" s="37"/>
      <c r="J74" s="37">
        <f ca="1" t="shared" si="8"/>
        <v>0</v>
      </c>
      <c r="K74" s="32"/>
      <c r="L74" s="32"/>
      <c r="M74" s="37">
        <f ca="1" t="shared" si="9"/>
        <v>0</v>
      </c>
      <c r="N74" s="37">
        <f ca="1" t="shared" si="10"/>
        <v>0</v>
      </c>
      <c r="O74" s="37">
        <f ca="1" t="shared" si="11"/>
        <v>0</v>
      </c>
    </row>
    <row r="75" s="30" customFormat="1" ht="20" customHeight="1" spans="1:15">
      <c r="A75" s="31"/>
      <c r="B75" s="32"/>
      <c r="C75" s="33"/>
      <c r="D75" s="32"/>
      <c r="E75" s="32"/>
      <c r="F75" s="32"/>
      <c r="G75" s="32"/>
      <c r="H75" s="37">
        <f ca="1" t="array" ref="H75">INDEX(成本核算表!J:J,MATCH(1,(成本核算表!D:D=E75)*(成本核算表!C:C=G75),0))</f>
        <v>0</v>
      </c>
      <c r="I75" s="37"/>
      <c r="J75" s="37">
        <f ca="1" t="shared" si="8"/>
        <v>0</v>
      </c>
      <c r="K75" s="32"/>
      <c r="L75" s="32"/>
      <c r="M75" s="37">
        <f ca="1" t="shared" si="9"/>
        <v>0</v>
      </c>
      <c r="N75" s="37">
        <f ca="1" t="shared" si="10"/>
        <v>0</v>
      </c>
      <c r="O75" s="37">
        <f ca="1" t="shared" si="11"/>
        <v>0</v>
      </c>
    </row>
    <row r="76" s="30" customFormat="1" ht="20" customHeight="1" spans="1:15">
      <c r="A76" s="31"/>
      <c r="B76" s="32"/>
      <c r="C76" s="33"/>
      <c r="D76" s="32"/>
      <c r="E76" s="32"/>
      <c r="F76" s="32"/>
      <c r="G76" s="32"/>
      <c r="H76" s="37">
        <f ca="1" t="array" ref="H76">INDEX(成本核算表!J:J,MATCH(1,(成本核算表!D:D=E76)*(成本核算表!C:C=G76),0))</f>
        <v>0</v>
      </c>
      <c r="I76" s="37"/>
      <c r="J76" s="37">
        <f ca="1" t="shared" si="8"/>
        <v>0</v>
      </c>
      <c r="K76" s="32"/>
      <c r="L76" s="32"/>
      <c r="M76" s="37">
        <f ca="1" t="shared" si="9"/>
        <v>0</v>
      </c>
      <c r="N76" s="37">
        <f ca="1" t="shared" si="10"/>
        <v>0</v>
      </c>
      <c r="O76" s="37">
        <f ca="1" t="shared" si="11"/>
        <v>0</v>
      </c>
    </row>
    <row r="77" s="30" customFormat="1" ht="20" customHeight="1" spans="1:15">
      <c r="A77" s="31"/>
      <c r="B77" s="32"/>
      <c r="C77" s="33"/>
      <c r="D77" s="32"/>
      <c r="E77" s="32"/>
      <c r="F77" s="32"/>
      <c r="G77" s="32"/>
      <c r="H77" s="37">
        <f ca="1" t="array" ref="H77">INDEX(成本核算表!J:J,MATCH(1,(成本核算表!D:D=E77)*(成本核算表!C:C=G77),0))</f>
        <v>0</v>
      </c>
      <c r="I77" s="37"/>
      <c r="J77" s="37">
        <f ca="1" t="shared" si="8"/>
        <v>0</v>
      </c>
      <c r="K77" s="32"/>
      <c r="L77" s="32"/>
      <c r="M77" s="37">
        <f ca="1" t="shared" si="9"/>
        <v>0</v>
      </c>
      <c r="N77" s="37">
        <f ca="1" t="shared" si="10"/>
        <v>0</v>
      </c>
      <c r="O77" s="37">
        <f ca="1" t="shared" si="11"/>
        <v>0</v>
      </c>
    </row>
    <row r="78" s="30" customFormat="1" ht="20" customHeight="1" spans="1:15">
      <c r="A78" s="31"/>
      <c r="B78" s="32"/>
      <c r="C78" s="33"/>
      <c r="D78" s="32"/>
      <c r="E78" s="32"/>
      <c r="F78" s="32"/>
      <c r="G78" s="32"/>
      <c r="H78" s="37">
        <f ca="1" t="array" ref="H78">INDEX(成本核算表!J:J,MATCH(1,(成本核算表!D:D=E78)*(成本核算表!C:C=G78),0))</f>
        <v>0</v>
      </c>
      <c r="I78" s="37"/>
      <c r="J78" s="37">
        <f ca="1" t="shared" si="8"/>
        <v>0</v>
      </c>
      <c r="K78" s="32"/>
      <c r="L78" s="32"/>
      <c r="M78" s="37">
        <f ca="1" t="shared" si="9"/>
        <v>0</v>
      </c>
      <c r="N78" s="37">
        <f ca="1" t="shared" si="10"/>
        <v>0</v>
      </c>
      <c r="O78" s="37">
        <f ca="1" t="shared" si="11"/>
        <v>0</v>
      </c>
    </row>
    <row r="79" s="30" customFormat="1" ht="20" customHeight="1" spans="1:15">
      <c r="A79" s="31"/>
      <c r="B79" s="32"/>
      <c r="C79" s="33"/>
      <c r="D79" s="32"/>
      <c r="E79" s="32"/>
      <c r="F79" s="32"/>
      <c r="G79" s="32"/>
      <c r="H79" s="37">
        <f ca="1" t="array" ref="H79">INDEX(成本核算表!J:J,MATCH(1,(成本核算表!D:D=E79)*(成本核算表!C:C=G79),0))</f>
        <v>0</v>
      </c>
      <c r="I79" s="37"/>
      <c r="J79" s="37">
        <f ca="1" t="shared" si="8"/>
        <v>0</v>
      </c>
      <c r="K79" s="32"/>
      <c r="L79" s="32"/>
      <c r="M79" s="37">
        <f ca="1" t="shared" si="9"/>
        <v>0</v>
      </c>
      <c r="N79" s="37">
        <f ca="1" t="shared" si="10"/>
        <v>0</v>
      </c>
      <c r="O79" s="37">
        <f ca="1" t="shared" si="11"/>
        <v>0</v>
      </c>
    </row>
    <row r="80" s="30" customFormat="1" ht="20" customHeight="1" spans="1:15">
      <c r="A80" s="31"/>
      <c r="B80" s="32"/>
      <c r="C80" s="33"/>
      <c r="D80" s="32"/>
      <c r="E80" s="32"/>
      <c r="F80" s="32"/>
      <c r="G80" s="32"/>
      <c r="H80" s="37">
        <f ca="1" t="array" ref="H80">INDEX(成本核算表!J:J,MATCH(1,(成本核算表!D:D=E80)*(成本核算表!C:C=G80),0))</f>
        <v>0</v>
      </c>
      <c r="I80" s="37"/>
      <c r="J80" s="37">
        <f ca="1" t="shared" si="8"/>
        <v>0</v>
      </c>
      <c r="K80" s="32"/>
      <c r="L80" s="32"/>
      <c r="M80" s="37">
        <f ca="1" t="shared" si="9"/>
        <v>0</v>
      </c>
      <c r="N80" s="37">
        <f ca="1" t="shared" si="10"/>
        <v>0</v>
      </c>
      <c r="O80" s="37">
        <f ca="1" t="shared" si="11"/>
        <v>0</v>
      </c>
    </row>
    <row r="81" s="30" customFormat="1" ht="20" customHeight="1" spans="1:15">
      <c r="A81" s="31"/>
      <c r="B81" s="32"/>
      <c r="C81" s="33"/>
      <c r="D81" s="32"/>
      <c r="E81" s="32"/>
      <c r="F81" s="32"/>
      <c r="G81" s="32"/>
      <c r="H81" s="37">
        <f ca="1" t="array" ref="H81">INDEX(成本核算表!J:J,MATCH(1,(成本核算表!D:D=E81)*(成本核算表!C:C=G81),0))</f>
        <v>0</v>
      </c>
      <c r="I81" s="37"/>
      <c r="J81" s="37">
        <f ca="1" t="shared" si="8"/>
        <v>0</v>
      </c>
      <c r="K81" s="32"/>
      <c r="L81" s="32"/>
      <c r="M81" s="37">
        <f ca="1" t="shared" si="9"/>
        <v>0</v>
      </c>
      <c r="N81" s="37">
        <f ca="1" t="shared" si="10"/>
        <v>0</v>
      </c>
      <c r="O81" s="37">
        <f ca="1" t="shared" si="11"/>
        <v>0</v>
      </c>
    </row>
    <row r="82" s="30" customFormat="1" ht="20" customHeight="1" spans="1:15">
      <c r="A82" s="31"/>
      <c r="B82" s="32"/>
      <c r="C82" s="33"/>
      <c r="D82" s="32"/>
      <c r="E82" s="32"/>
      <c r="F82" s="32"/>
      <c r="G82" s="32"/>
      <c r="H82" s="37">
        <f ca="1" t="array" ref="H82">INDEX(成本核算表!J:J,MATCH(1,(成本核算表!D:D=E82)*(成本核算表!C:C=G82),0))</f>
        <v>0</v>
      </c>
      <c r="I82" s="37"/>
      <c r="J82" s="37">
        <f ca="1" t="shared" si="8"/>
        <v>0</v>
      </c>
      <c r="K82" s="32"/>
      <c r="L82" s="32"/>
      <c r="M82" s="37">
        <f ca="1" t="shared" si="9"/>
        <v>0</v>
      </c>
      <c r="N82" s="37">
        <f ca="1" t="shared" si="10"/>
        <v>0</v>
      </c>
      <c r="O82" s="37">
        <f ca="1" t="shared" si="11"/>
        <v>0</v>
      </c>
    </row>
    <row r="83" s="30" customFormat="1" ht="20" customHeight="1" spans="1:15">
      <c r="A83" s="31"/>
      <c r="B83" s="32"/>
      <c r="C83" s="33"/>
      <c r="D83" s="32"/>
      <c r="E83" s="32"/>
      <c r="F83" s="32"/>
      <c r="G83" s="32"/>
      <c r="H83" s="37">
        <f ca="1" t="array" ref="H83">INDEX(成本核算表!J:J,MATCH(1,(成本核算表!D:D=E83)*(成本核算表!C:C=G83),0))</f>
        <v>0</v>
      </c>
      <c r="I83" s="37"/>
      <c r="J83" s="37">
        <f ca="1" t="shared" si="8"/>
        <v>0</v>
      </c>
      <c r="K83" s="32"/>
      <c r="L83" s="32"/>
      <c r="M83" s="37">
        <f ca="1" t="shared" si="9"/>
        <v>0</v>
      </c>
      <c r="N83" s="37">
        <f ca="1" t="shared" si="10"/>
        <v>0</v>
      </c>
      <c r="O83" s="37">
        <f ca="1" t="shared" si="11"/>
        <v>0</v>
      </c>
    </row>
    <row r="84" s="30" customFormat="1" ht="20" customHeight="1" spans="1:15">
      <c r="A84" s="31"/>
      <c r="B84" s="32"/>
      <c r="C84" s="33"/>
      <c r="D84" s="32"/>
      <c r="E84" s="32"/>
      <c r="F84" s="32"/>
      <c r="G84" s="32"/>
      <c r="H84" s="37">
        <f ca="1" t="array" ref="H84">INDEX(成本核算表!J:J,MATCH(1,(成本核算表!D:D=E84)*(成本核算表!C:C=G84),0))</f>
        <v>0</v>
      </c>
      <c r="I84" s="37"/>
      <c r="J84" s="37">
        <f ca="1" t="shared" si="8"/>
        <v>0</v>
      </c>
      <c r="K84" s="32"/>
      <c r="L84" s="32"/>
      <c r="M84" s="37">
        <f ca="1" t="shared" si="9"/>
        <v>0</v>
      </c>
      <c r="N84" s="37">
        <f ca="1" t="shared" si="10"/>
        <v>0</v>
      </c>
      <c r="O84" s="37">
        <f ca="1" t="shared" si="11"/>
        <v>0</v>
      </c>
    </row>
    <row r="85" s="30" customFormat="1" ht="20" customHeight="1" spans="1:15">
      <c r="A85" s="31"/>
      <c r="B85" s="32"/>
      <c r="C85" s="33"/>
      <c r="D85" s="32"/>
      <c r="E85" s="32"/>
      <c r="F85" s="32"/>
      <c r="G85" s="32"/>
      <c r="H85" s="37">
        <f ca="1" t="array" ref="H85">INDEX(成本核算表!J:J,MATCH(1,(成本核算表!D:D=E85)*(成本核算表!C:C=G85),0))</f>
        <v>0</v>
      </c>
      <c r="I85" s="37"/>
      <c r="J85" s="37">
        <f ca="1" t="shared" si="8"/>
        <v>0</v>
      </c>
      <c r="K85" s="32"/>
      <c r="L85" s="32"/>
      <c r="M85" s="37">
        <f ca="1" t="shared" si="9"/>
        <v>0</v>
      </c>
      <c r="N85" s="37">
        <f ca="1" t="shared" si="10"/>
        <v>0</v>
      </c>
      <c r="O85" s="37">
        <f ca="1" t="shared" si="11"/>
        <v>0</v>
      </c>
    </row>
    <row r="86" s="30" customFormat="1" ht="20" customHeight="1" spans="1:15">
      <c r="A86" s="31"/>
      <c r="B86" s="32"/>
      <c r="C86" s="33"/>
      <c r="D86" s="32"/>
      <c r="E86" s="32"/>
      <c r="F86" s="32"/>
      <c r="G86" s="32"/>
      <c r="H86" s="37">
        <f ca="1" t="array" ref="H86">INDEX(成本核算表!J:J,MATCH(1,(成本核算表!D:D=E86)*(成本核算表!C:C=G86),0))</f>
        <v>0</v>
      </c>
      <c r="I86" s="37"/>
      <c r="J86" s="37">
        <f ca="1" t="shared" si="8"/>
        <v>0</v>
      </c>
      <c r="K86" s="32"/>
      <c r="L86" s="32"/>
      <c r="M86" s="37">
        <f ca="1" t="shared" si="9"/>
        <v>0</v>
      </c>
      <c r="N86" s="37">
        <f ca="1" t="shared" si="10"/>
        <v>0</v>
      </c>
      <c r="O86" s="37">
        <f ca="1" t="shared" si="11"/>
        <v>0</v>
      </c>
    </row>
    <row r="87" s="30" customFormat="1" ht="20" customHeight="1" spans="1:15">
      <c r="A87" s="31"/>
      <c r="B87" s="32"/>
      <c r="C87" s="33"/>
      <c r="D87" s="32"/>
      <c r="E87" s="32"/>
      <c r="F87" s="32"/>
      <c r="G87" s="32"/>
      <c r="H87" s="37">
        <f ca="1" t="array" ref="H87">INDEX(成本核算表!J:J,MATCH(1,(成本核算表!D:D=E87)*(成本核算表!C:C=G87),0))</f>
        <v>0</v>
      </c>
      <c r="I87" s="37"/>
      <c r="J87" s="37">
        <f ca="1" t="shared" si="8"/>
        <v>0</v>
      </c>
      <c r="K87" s="32"/>
      <c r="L87" s="32"/>
      <c r="M87" s="37">
        <f ca="1" t="shared" si="9"/>
        <v>0</v>
      </c>
      <c r="N87" s="37">
        <f ca="1" t="shared" si="10"/>
        <v>0</v>
      </c>
      <c r="O87" s="37">
        <f ca="1" t="shared" si="11"/>
        <v>0</v>
      </c>
    </row>
    <row r="88" s="30" customFormat="1" ht="20" customHeight="1" spans="1:15">
      <c r="A88" s="31"/>
      <c r="B88" s="32"/>
      <c r="C88" s="33"/>
      <c r="D88" s="32"/>
      <c r="E88" s="32"/>
      <c r="F88" s="32"/>
      <c r="G88" s="32"/>
      <c r="H88" s="37">
        <f ca="1" t="array" ref="H88">INDEX(成本核算表!J:J,MATCH(1,(成本核算表!D:D=E88)*(成本核算表!C:C=G88),0))</f>
        <v>0</v>
      </c>
      <c r="I88" s="37"/>
      <c r="J88" s="37">
        <f ca="1" t="shared" si="8"/>
        <v>0</v>
      </c>
      <c r="K88" s="32"/>
      <c r="L88" s="32"/>
      <c r="M88" s="37">
        <f ca="1" t="shared" si="9"/>
        <v>0</v>
      </c>
      <c r="N88" s="37">
        <f ca="1" t="shared" si="10"/>
        <v>0</v>
      </c>
      <c r="O88" s="37">
        <f ca="1" t="shared" si="11"/>
        <v>0</v>
      </c>
    </row>
    <row r="89" s="30" customFormat="1" ht="20" customHeight="1" spans="1:15">
      <c r="A89" s="31"/>
      <c r="B89" s="32"/>
      <c r="C89" s="33"/>
      <c r="D89" s="32"/>
      <c r="E89" s="32"/>
      <c r="F89" s="32"/>
      <c r="G89" s="32"/>
      <c r="H89" s="37">
        <f ca="1" t="array" ref="H89">INDEX(成本核算表!J:J,MATCH(1,(成本核算表!D:D=E89)*(成本核算表!C:C=G89),0))</f>
        <v>0</v>
      </c>
      <c r="I89" s="37"/>
      <c r="J89" s="37">
        <f ca="1" t="shared" si="8"/>
        <v>0</v>
      </c>
      <c r="K89" s="32"/>
      <c r="L89" s="32"/>
      <c r="M89" s="37">
        <f ca="1" t="shared" si="9"/>
        <v>0</v>
      </c>
      <c r="N89" s="37">
        <f ca="1" t="shared" si="10"/>
        <v>0</v>
      </c>
      <c r="O89" s="37">
        <f ca="1" t="shared" si="11"/>
        <v>0</v>
      </c>
    </row>
    <row r="90" s="30" customFormat="1" ht="20" customHeight="1" spans="1:15">
      <c r="A90" s="31"/>
      <c r="B90" s="32"/>
      <c r="C90" s="33"/>
      <c r="D90" s="32"/>
      <c r="E90" s="32"/>
      <c r="F90" s="32"/>
      <c r="G90" s="32"/>
      <c r="H90" s="37">
        <f ca="1" t="array" ref="H90">INDEX(成本核算表!J:J,MATCH(1,(成本核算表!D:D=E90)*(成本核算表!C:C=G90),0))</f>
        <v>0</v>
      </c>
      <c r="I90" s="37"/>
      <c r="J90" s="37">
        <f ca="1" t="shared" si="8"/>
        <v>0</v>
      </c>
      <c r="K90" s="32"/>
      <c r="L90" s="32"/>
      <c r="M90" s="37">
        <f ca="1" t="shared" si="9"/>
        <v>0</v>
      </c>
      <c r="N90" s="37">
        <f ca="1" t="shared" si="10"/>
        <v>0</v>
      </c>
      <c r="O90" s="37">
        <f ca="1" t="shared" si="11"/>
        <v>0</v>
      </c>
    </row>
    <row r="91" s="30" customFormat="1" ht="20" customHeight="1" spans="1:15">
      <c r="A91" s="31"/>
      <c r="B91" s="32"/>
      <c r="C91" s="33"/>
      <c r="D91" s="32"/>
      <c r="E91" s="32"/>
      <c r="F91" s="32"/>
      <c r="G91" s="32"/>
      <c r="H91" s="37">
        <f ca="1" t="array" ref="H91">INDEX(成本核算表!J:J,MATCH(1,(成本核算表!D:D=E91)*(成本核算表!C:C=G91),0))</f>
        <v>0</v>
      </c>
      <c r="I91" s="37"/>
      <c r="J91" s="37">
        <f ca="1" t="shared" si="8"/>
        <v>0</v>
      </c>
      <c r="K91" s="32"/>
      <c r="L91" s="32"/>
      <c r="M91" s="37">
        <f ca="1" t="shared" si="9"/>
        <v>0</v>
      </c>
      <c r="N91" s="37">
        <f ca="1" t="shared" si="10"/>
        <v>0</v>
      </c>
      <c r="O91" s="37">
        <f ca="1" t="shared" si="11"/>
        <v>0</v>
      </c>
    </row>
    <row r="92" s="30" customFormat="1" ht="20" customHeight="1" spans="1:15">
      <c r="A92" s="31"/>
      <c r="B92" s="32"/>
      <c r="C92" s="33"/>
      <c r="D92" s="32"/>
      <c r="E92" s="32"/>
      <c r="F92" s="32"/>
      <c r="G92" s="32"/>
      <c r="H92" s="37">
        <f ca="1" t="array" ref="H92">INDEX(成本核算表!J:J,MATCH(1,(成本核算表!D:D=E92)*(成本核算表!C:C=G92),0))</f>
        <v>0</v>
      </c>
      <c r="I92" s="37"/>
      <c r="J92" s="37">
        <f ca="1" t="shared" si="8"/>
        <v>0</v>
      </c>
      <c r="K92" s="32"/>
      <c r="L92" s="32"/>
      <c r="M92" s="37">
        <f ca="1" t="shared" si="9"/>
        <v>0</v>
      </c>
      <c r="N92" s="37">
        <f ca="1" t="shared" si="10"/>
        <v>0</v>
      </c>
      <c r="O92" s="37">
        <f ca="1" t="shared" si="11"/>
        <v>0</v>
      </c>
    </row>
    <row r="93" s="30" customFormat="1" ht="20" customHeight="1" spans="1:15">
      <c r="A93" s="31"/>
      <c r="B93" s="32"/>
      <c r="C93" s="33"/>
      <c r="D93" s="32"/>
      <c r="E93" s="32"/>
      <c r="F93" s="32"/>
      <c r="G93" s="32"/>
      <c r="H93" s="37">
        <f ca="1" t="array" ref="H93">INDEX(成本核算表!J:J,MATCH(1,(成本核算表!D:D=E93)*(成本核算表!C:C=G93),0))</f>
        <v>0</v>
      </c>
      <c r="I93" s="37"/>
      <c r="J93" s="37">
        <f ca="1" t="shared" si="8"/>
        <v>0</v>
      </c>
      <c r="K93" s="32"/>
      <c r="L93" s="32"/>
      <c r="M93" s="37">
        <f ca="1" t="shared" si="9"/>
        <v>0</v>
      </c>
      <c r="N93" s="37">
        <f ca="1" t="shared" si="10"/>
        <v>0</v>
      </c>
      <c r="O93" s="37">
        <f ca="1" t="shared" si="11"/>
        <v>0</v>
      </c>
    </row>
    <row r="94" s="30" customFormat="1" ht="20" customHeight="1" spans="1:15">
      <c r="A94" s="31"/>
      <c r="B94" s="32"/>
      <c r="C94" s="33"/>
      <c r="D94" s="32"/>
      <c r="E94" s="32"/>
      <c r="F94" s="32"/>
      <c r="G94" s="32"/>
      <c r="H94" s="37">
        <f ca="1" t="array" ref="H94">INDEX(成本核算表!J:J,MATCH(1,(成本核算表!D:D=E94)*(成本核算表!C:C=G94),0))</f>
        <v>0</v>
      </c>
      <c r="I94" s="37"/>
      <c r="J94" s="37">
        <f ca="1" t="shared" si="8"/>
        <v>0</v>
      </c>
      <c r="K94" s="32"/>
      <c r="L94" s="32"/>
      <c r="M94" s="37">
        <f ca="1" t="shared" si="9"/>
        <v>0</v>
      </c>
      <c r="N94" s="37">
        <f ca="1" t="shared" si="10"/>
        <v>0</v>
      </c>
      <c r="O94" s="37">
        <f ca="1" t="shared" si="11"/>
        <v>0</v>
      </c>
    </row>
    <row r="95" s="30" customFormat="1" ht="20" customHeight="1" spans="1:15">
      <c r="A95" s="31"/>
      <c r="B95" s="32"/>
      <c r="C95" s="33"/>
      <c r="D95" s="32"/>
      <c r="E95" s="32"/>
      <c r="F95" s="32"/>
      <c r="G95" s="32"/>
      <c r="H95" s="37">
        <f ca="1" t="array" ref="H95">INDEX(成本核算表!J:J,MATCH(1,(成本核算表!D:D=E95)*(成本核算表!C:C=G95),0))</f>
        <v>0</v>
      </c>
      <c r="I95" s="37"/>
      <c r="J95" s="37">
        <f ca="1" t="shared" si="8"/>
        <v>0</v>
      </c>
      <c r="K95" s="32"/>
      <c r="L95" s="32"/>
      <c r="M95" s="37">
        <f ca="1" t="shared" si="9"/>
        <v>0</v>
      </c>
      <c r="N95" s="37">
        <f ca="1" t="shared" si="10"/>
        <v>0</v>
      </c>
      <c r="O95" s="37">
        <f ca="1" t="shared" si="11"/>
        <v>0</v>
      </c>
    </row>
    <row r="96" s="30" customFormat="1" ht="20" customHeight="1" spans="1:15">
      <c r="A96" s="31"/>
      <c r="B96" s="32"/>
      <c r="C96" s="33"/>
      <c r="D96" s="32"/>
      <c r="E96" s="32"/>
      <c r="F96" s="32"/>
      <c r="G96" s="32"/>
      <c r="H96" s="37">
        <f ca="1" t="array" ref="H96">INDEX(成本核算表!J:J,MATCH(1,(成本核算表!D:D=E96)*(成本核算表!C:C=G96),0))</f>
        <v>0</v>
      </c>
      <c r="I96" s="37"/>
      <c r="J96" s="37">
        <f ca="1" t="shared" si="8"/>
        <v>0</v>
      </c>
      <c r="K96" s="32"/>
      <c r="L96" s="32"/>
      <c r="M96" s="37">
        <f ca="1" t="shared" si="9"/>
        <v>0</v>
      </c>
      <c r="N96" s="37">
        <f ca="1" t="shared" si="10"/>
        <v>0</v>
      </c>
      <c r="O96" s="37">
        <f ca="1" t="shared" si="11"/>
        <v>0</v>
      </c>
    </row>
    <row r="97" s="30" customFormat="1" ht="20" customHeight="1" spans="1:15">
      <c r="A97" s="31"/>
      <c r="B97" s="32"/>
      <c r="C97" s="33"/>
      <c r="D97" s="32"/>
      <c r="E97" s="32"/>
      <c r="F97" s="32"/>
      <c r="G97" s="32"/>
      <c r="H97" s="37">
        <f ca="1" t="array" ref="H97">INDEX(成本核算表!J:J,MATCH(1,(成本核算表!D:D=E97)*(成本核算表!C:C=G97),0))</f>
        <v>0</v>
      </c>
      <c r="I97" s="37"/>
      <c r="J97" s="37">
        <f ca="1" t="shared" si="8"/>
        <v>0</v>
      </c>
      <c r="K97" s="32"/>
      <c r="L97" s="32"/>
      <c r="M97" s="37">
        <f ca="1" t="shared" si="9"/>
        <v>0</v>
      </c>
      <c r="N97" s="37">
        <f ca="1" t="shared" si="10"/>
        <v>0</v>
      </c>
      <c r="O97" s="37">
        <f ca="1" t="shared" si="11"/>
        <v>0</v>
      </c>
    </row>
    <row r="98" s="30" customFormat="1" ht="20" customHeight="1" spans="1:15">
      <c r="A98" s="31"/>
      <c r="B98" s="32"/>
      <c r="C98" s="33"/>
      <c r="D98" s="32"/>
      <c r="E98" s="32"/>
      <c r="F98" s="32"/>
      <c r="G98" s="32"/>
      <c r="H98" s="37">
        <f ca="1" t="array" ref="H98">INDEX(成本核算表!J:J,MATCH(1,(成本核算表!D:D=E98)*(成本核算表!C:C=G98),0))</f>
        <v>0</v>
      </c>
      <c r="I98" s="37"/>
      <c r="J98" s="37">
        <f ca="1" t="shared" si="8"/>
        <v>0</v>
      </c>
      <c r="K98" s="32"/>
      <c r="L98" s="32"/>
      <c r="M98" s="37">
        <f ca="1" t="shared" si="9"/>
        <v>0</v>
      </c>
      <c r="N98" s="37">
        <f ca="1" t="shared" si="10"/>
        <v>0</v>
      </c>
      <c r="O98" s="37">
        <f ca="1" t="shared" si="11"/>
        <v>0</v>
      </c>
    </row>
    <row r="99" s="30" customFormat="1" ht="20" customHeight="1" spans="1:15">
      <c r="A99" s="31"/>
      <c r="B99" s="32"/>
      <c r="C99" s="33"/>
      <c r="D99" s="32"/>
      <c r="E99" s="32"/>
      <c r="F99" s="32"/>
      <c r="G99" s="32"/>
      <c r="H99" s="37">
        <f ca="1" t="array" ref="H99">INDEX(成本核算表!J:J,MATCH(1,(成本核算表!D:D=E99)*(成本核算表!C:C=G99),0))</f>
        <v>0</v>
      </c>
      <c r="I99" s="37"/>
      <c r="J99" s="37">
        <f ca="1" t="shared" si="8"/>
        <v>0</v>
      </c>
      <c r="K99" s="32"/>
      <c r="L99" s="32"/>
      <c r="M99" s="37">
        <f ca="1" t="shared" si="9"/>
        <v>0</v>
      </c>
      <c r="N99" s="37">
        <f ca="1" t="shared" si="10"/>
        <v>0</v>
      </c>
      <c r="O99" s="37">
        <f ca="1" t="shared" si="11"/>
        <v>0</v>
      </c>
    </row>
    <row r="100" s="30" customFormat="1" customHeight="1" spans="1:15">
      <c r="A100" s="31"/>
      <c r="B100" s="32"/>
      <c r="C100" s="33"/>
      <c r="D100" s="32"/>
      <c r="E100" s="32"/>
      <c r="F100" s="32"/>
      <c r="G100" s="32"/>
      <c r="H100" s="34"/>
      <c r="I100" s="34"/>
      <c r="J100" s="32"/>
      <c r="K100" s="32"/>
      <c r="L100" s="32"/>
    </row>
    <row r="101" s="30" customFormat="1" customHeight="1" spans="1:15">
      <c r="A101" s="31"/>
      <c r="B101" s="32"/>
      <c r="C101" s="33"/>
      <c r="D101" s="32"/>
      <c r="E101" s="32"/>
      <c r="F101" s="32"/>
      <c r="G101" s="32"/>
      <c r="H101" s="34"/>
      <c r="I101" s="34"/>
      <c r="J101" s="32"/>
      <c r="K101" s="32"/>
      <c r="L101" s="32"/>
    </row>
    <row r="102" s="30" customFormat="1" customHeight="1" spans="1:15">
      <c r="A102" s="31"/>
      <c r="B102" s="32"/>
      <c r="C102" s="33"/>
      <c r="D102" s="32"/>
      <c r="E102" s="32"/>
      <c r="F102" s="32"/>
      <c r="G102" s="32"/>
      <c r="H102" s="34"/>
      <c r="I102" s="34"/>
      <c r="J102" s="32"/>
      <c r="K102" s="32"/>
      <c r="L102" s="32"/>
    </row>
    <row r="103" s="30" customFormat="1" customHeight="1" spans="1:15">
      <c r="A103" s="31"/>
      <c r="B103" s="32"/>
      <c r="C103" s="33"/>
      <c r="D103" s="32"/>
      <c r="E103" s="32"/>
      <c r="F103" s="32"/>
      <c r="G103" s="32"/>
      <c r="H103" s="34"/>
      <c r="I103" s="34"/>
      <c r="J103" s="32"/>
      <c r="K103" s="32"/>
      <c r="L103" s="32"/>
    </row>
    <row r="104" s="30" customFormat="1" customHeight="1" spans="1:15">
      <c r="A104" s="31"/>
      <c r="B104" s="32"/>
      <c r="C104" s="33"/>
      <c r="D104" s="32"/>
      <c r="E104" s="32"/>
      <c r="F104" s="32"/>
      <c r="G104" s="32"/>
      <c r="H104" s="34"/>
      <c r="I104" s="34"/>
      <c r="J104" s="32"/>
      <c r="K104" s="32"/>
      <c r="L104" s="32"/>
    </row>
    <row r="105" s="30" customFormat="1" customHeight="1" spans="1:15">
      <c r="A105" s="31"/>
      <c r="B105" s="32"/>
      <c r="C105" s="33"/>
      <c r="D105" s="32"/>
      <c r="E105" s="32"/>
      <c r="F105" s="32"/>
      <c r="G105" s="32"/>
      <c r="H105" s="34"/>
      <c r="I105" s="34"/>
      <c r="J105" s="32"/>
      <c r="K105" s="32"/>
      <c r="L105" s="32"/>
    </row>
    <row r="106" s="30" customFormat="1" customHeight="1" spans="1:15">
      <c r="A106" s="31"/>
      <c r="B106" s="32"/>
      <c r="C106" s="33"/>
      <c r="D106" s="32"/>
      <c r="E106" s="32"/>
      <c r="F106" s="32"/>
      <c r="G106" s="32"/>
      <c r="H106" s="34"/>
      <c r="I106" s="34"/>
      <c r="J106" s="32"/>
      <c r="K106" s="32"/>
      <c r="L106" s="32"/>
    </row>
    <row r="107" s="30" customFormat="1" customHeight="1" spans="1:15">
      <c r="A107" s="31"/>
      <c r="B107" s="32"/>
      <c r="C107" s="33"/>
      <c r="D107" s="32"/>
      <c r="E107" s="32"/>
      <c r="F107" s="32"/>
      <c r="G107" s="32"/>
      <c r="H107" s="34"/>
      <c r="I107" s="34"/>
      <c r="J107" s="32"/>
      <c r="K107" s="32"/>
      <c r="L107" s="32"/>
    </row>
    <row r="108" s="30" customFormat="1" customHeight="1" spans="1:15">
      <c r="A108" s="31"/>
      <c r="B108" s="32"/>
      <c r="C108" s="33"/>
      <c r="D108" s="32"/>
      <c r="E108" s="32"/>
      <c r="F108" s="32"/>
      <c r="G108" s="32"/>
      <c r="H108" s="34"/>
      <c r="I108" s="34"/>
      <c r="J108" s="32"/>
      <c r="K108" s="32"/>
      <c r="L108" s="32"/>
    </row>
    <row r="109" s="30" customFormat="1" customHeight="1" spans="1:15">
      <c r="A109" s="31"/>
      <c r="B109" s="32"/>
      <c r="C109" s="33"/>
      <c r="D109" s="32"/>
      <c r="E109" s="32"/>
      <c r="F109" s="32"/>
      <c r="G109" s="32"/>
      <c r="H109" s="34"/>
      <c r="I109" s="34"/>
      <c r="J109" s="32"/>
      <c r="K109" s="32"/>
      <c r="L109" s="32"/>
    </row>
    <row r="110" s="30" customFormat="1" customHeight="1" spans="1:15">
      <c r="A110" s="31"/>
      <c r="B110" s="32"/>
      <c r="C110" s="33"/>
      <c r="D110" s="32"/>
      <c r="E110" s="32"/>
      <c r="F110" s="32"/>
      <c r="G110" s="32"/>
      <c r="H110" s="34"/>
      <c r="I110" s="34"/>
      <c r="J110" s="32"/>
      <c r="K110" s="32"/>
      <c r="L110" s="32"/>
    </row>
    <row r="111" s="30" customFormat="1" customHeight="1" spans="1:15">
      <c r="A111" s="31"/>
      <c r="B111" s="32"/>
      <c r="C111" s="33"/>
      <c r="D111" s="32"/>
      <c r="E111" s="32"/>
      <c r="F111" s="32"/>
      <c r="G111" s="32"/>
      <c r="H111" s="34"/>
      <c r="I111" s="34"/>
      <c r="J111" s="32"/>
      <c r="K111" s="32"/>
      <c r="L111" s="32"/>
    </row>
    <row r="112" s="30" customFormat="1" customHeight="1" spans="1:15">
      <c r="A112" s="31"/>
      <c r="B112" s="32"/>
      <c r="C112" s="33"/>
      <c r="D112" s="32"/>
      <c r="E112" s="32"/>
      <c r="F112" s="32"/>
      <c r="G112" s="32"/>
      <c r="H112" s="34"/>
      <c r="I112" s="34"/>
      <c r="J112" s="32"/>
      <c r="K112" s="32"/>
      <c r="L112" s="32"/>
    </row>
    <row r="113" s="30" customFormat="1" customHeight="1" spans="1:12">
      <c r="A113" s="31"/>
      <c r="B113" s="32"/>
      <c r="C113" s="33"/>
      <c r="D113" s="32"/>
      <c r="E113" s="32"/>
      <c r="F113" s="32"/>
      <c r="G113" s="32"/>
      <c r="H113" s="34"/>
      <c r="I113" s="34"/>
      <c r="J113" s="32"/>
      <c r="K113" s="32"/>
      <c r="L113" s="32"/>
    </row>
    <row r="114" s="30" customFormat="1" customHeight="1" spans="1:12">
      <c r="A114" s="31"/>
      <c r="B114" s="32"/>
      <c r="C114" s="33"/>
      <c r="D114" s="32"/>
      <c r="E114" s="32"/>
      <c r="F114" s="32"/>
      <c r="G114" s="32"/>
      <c r="H114" s="34"/>
      <c r="I114" s="34"/>
      <c r="J114" s="32"/>
      <c r="K114" s="32"/>
      <c r="L114" s="32"/>
    </row>
    <row r="115" s="30" customFormat="1" customHeight="1" spans="1:12">
      <c r="A115" s="31"/>
      <c r="B115" s="32"/>
      <c r="C115" s="33"/>
      <c r="D115" s="32"/>
      <c r="E115" s="32"/>
      <c r="F115" s="32"/>
      <c r="G115" s="32"/>
      <c r="H115" s="34"/>
      <c r="I115" s="34"/>
      <c r="J115" s="32"/>
      <c r="K115" s="32"/>
      <c r="L115" s="32"/>
    </row>
    <row r="116" s="30" customFormat="1" customHeight="1" spans="1:12">
      <c r="A116" s="31"/>
      <c r="B116" s="32"/>
      <c r="C116" s="33"/>
      <c r="D116" s="32"/>
      <c r="E116" s="32"/>
      <c r="F116" s="32"/>
      <c r="G116" s="32"/>
      <c r="H116" s="34"/>
      <c r="I116" s="34"/>
      <c r="J116" s="32"/>
      <c r="K116" s="32"/>
      <c r="L116" s="32"/>
    </row>
    <row r="117" s="30" customFormat="1" customHeight="1" spans="1:12">
      <c r="A117" s="31"/>
      <c r="B117" s="32"/>
      <c r="C117" s="33"/>
      <c r="D117" s="32"/>
      <c r="E117" s="32"/>
      <c r="F117" s="32"/>
      <c r="G117" s="32"/>
      <c r="H117" s="34"/>
      <c r="I117" s="34"/>
      <c r="J117" s="32"/>
      <c r="K117" s="32"/>
      <c r="L117" s="32"/>
    </row>
    <row r="118" s="30" customFormat="1" customHeight="1" spans="1:12">
      <c r="A118" s="31"/>
      <c r="B118" s="32"/>
      <c r="C118" s="33"/>
      <c r="D118" s="32"/>
      <c r="E118" s="32"/>
      <c r="F118" s="32"/>
      <c r="G118" s="32"/>
      <c r="H118" s="34"/>
      <c r="I118" s="34"/>
      <c r="J118" s="32"/>
      <c r="K118" s="32"/>
      <c r="L118" s="32"/>
    </row>
    <row r="119" s="30" customFormat="1" customHeight="1" spans="1:12">
      <c r="A119" s="31"/>
      <c r="B119" s="32"/>
      <c r="C119" s="33"/>
      <c r="D119" s="32"/>
      <c r="E119" s="32"/>
      <c r="F119" s="32"/>
      <c r="G119" s="32"/>
      <c r="H119" s="34"/>
      <c r="I119" s="34"/>
      <c r="J119" s="32"/>
      <c r="K119" s="32"/>
      <c r="L119" s="32"/>
    </row>
    <row r="120" s="30" customFormat="1" customHeight="1" spans="1:12">
      <c r="A120" s="31"/>
      <c r="B120" s="32"/>
      <c r="C120" s="33"/>
      <c r="D120" s="32"/>
      <c r="E120" s="32"/>
      <c r="F120" s="32"/>
      <c r="G120" s="32"/>
      <c r="H120" s="34"/>
      <c r="I120" s="34"/>
      <c r="J120" s="32"/>
      <c r="K120" s="32"/>
      <c r="L120" s="32"/>
    </row>
    <row r="121" s="30" customFormat="1" customHeight="1" spans="1:12">
      <c r="A121" s="31"/>
      <c r="B121" s="32"/>
      <c r="C121" s="33"/>
      <c r="D121" s="32"/>
      <c r="E121" s="32"/>
      <c r="F121" s="32"/>
      <c r="G121" s="32"/>
      <c r="H121" s="34"/>
      <c r="I121" s="34"/>
      <c r="J121" s="32"/>
      <c r="K121" s="32"/>
      <c r="L121" s="32"/>
    </row>
    <row r="122" s="30" customFormat="1" customHeight="1" spans="1:12">
      <c r="A122" s="31"/>
      <c r="B122" s="32"/>
      <c r="C122" s="33"/>
      <c r="D122" s="32"/>
      <c r="E122" s="32"/>
      <c r="F122" s="32"/>
      <c r="G122" s="32"/>
      <c r="H122" s="34"/>
      <c r="I122" s="34"/>
      <c r="J122" s="32"/>
      <c r="K122" s="32"/>
      <c r="L122" s="32"/>
    </row>
    <row r="123" s="30" customFormat="1" customHeight="1" spans="1:12">
      <c r="A123" s="31"/>
      <c r="B123" s="32"/>
      <c r="C123" s="33"/>
      <c r="D123" s="32"/>
      <c r="E123" s="32"/>
      <c r="F123" s="32"/>
      <c r="G123" s="32"/>
      <c r="H123" s="34"/>
      <c r="I123" s="34"/>
      <c r="J123" s="32"/>
      <c r="K123" s="32"/>
      <c r="L123" s="32"/>
    </row>
    <row r="124" s="30" customFormat="1" customHeight="1" spans="1:12">
      <c r="A124" s="31"/>
      <c r="B124" s="32"/>
      <c r="C124" s="33"/>
      <c r="D124" s="32"/>
      <c r="E124" s="32"/>
      <c r="F124" s="32"/>
      <c r="G124" s="32"/>
      <c r="H124" s="34"/>
      <c r="I124" s="34"/>
      <c r="J124" s="32"/>
      <c r="K124" s="32"/>
      <c r="L124" s="32"/>
    </row>
    <row r="125" s="30" customFormat="1" customHeight="1" spans="1:12">
      <c r="A125" s="31"/>
      <c r="B125" s="32"/>
      <c r="C125" s="33"/>
      <c r="D125" s="32"/>
      <c r="E125" s="32"/>
      <c r="F125" s="32"/>
      <c r="G125" s="32"/>
      <c r="H125" s="34"/>
      <c r="I125" s="34"/>
      <c r="J125" s="32"/>
      <c r="K125" s="32"/>
      <c r="L125" s="32"/>
    </row>
    <row r="126" s="30" customFormat="1" customHeight="1" spans="1:12">
      <c r="A126" s="31"/>
      <c r="B126" s="32"/>
      <c r="C126" s="33"/>
      <c r="D126" s="32"/>
      <c r="E126" s="32"/>
      <c r="F126" s="32"/>
      <c r="G126" s="32"/>
      <c r="H126" s="34"/>
      <c r="I126" s="34"/>
      <c r="J126" s="32"/>
      <c r="K126" s="32"/>
      <c r="L126" s="32"/>
    </row>
    <row r="127" s="30" customFormat="1" customHeight="1" spans="1:12">
      <c r="A127" s="31"/>
      <c r="B127" s="32"/>
      <c r="C127" s="33"/>
      <c r="D127" s="32"/>
      <c r="E127" s="32"/>
      <c r="F127" s="32"/>
      <c r="G127" s="32"/>
      <c r="H127" s="34"/>
      <c r="I127" s="34"/>
      <c r="J127" s="32"/>
      <c r="K127" s="32"/>
      <c r="L127" s="32"/>
    </row>
    <row r="128" s="30" customFormat="1" customHeight="1" spans="1:12">
      <c r="A128" s="31"/>
      <c r="B128" s="32"/>
      <c r="C128" s="33"/>
      <c r="D128" s="32"/>
      <c r="E128" s="32"/>
      <c r="F128" s="32"/>
      <c r="G128" s="32"/>
      <c r="H128" s="34"/>
      <c r="I128" s="34"/>
      <c r="J128" s="32"/>
      <c r="K128" s="32"/>
      <c r="L128" s="32"/>
    </row>
    <row r="129" s="30" customFormat="1" customHeight="1" spans="1:12">
      <c r="A129" s="31"/>
      <c r="B129" s="32"/>
      <c r="C129" s="33"/>
      <c r="D129" s="32"/>
      <c r="E129" s="32"/>
      <c r="F129" s="32"/>
      <c r="G129" s="32"/>
      <c r="H129" s="34"/>
      <c r="I129" s="34"/>
      <c r="J129" s="32"/>
      <c r="K129" s="32"/>
      <c r="L129" s="32"/>
    </row>
    <row r="130" s="30" customFormat="1" customHeight="1" spans="1:12">
      <c r="A130" s="31"/>
      <c r="B130" s="32"/>
      <c r="C130" s="33"/>
      <c r="D130" s="32"/>
      <c r="E130" s="32"/>
      <c r="F130" s="32"/>
      <c r="G130" s="32"/>
      <c r="H130" s="34"/>
      <c r="I130" s="34"/>
      <c r="J130" s="32"/>
      <c r="K130" s="32"/>
      <c r="L130" s="32"/>
    </row>
    <row r="131" s="30" customFormat="1" customHeight="1" spans="1:12">
      <c r="A131" s="31"/>
      <c r="B131" s="32"/>
      <c r="C131" s="33"/>
      <c r="D131" s="32"/>
      <c r="E131" s="32"/>
      <c r="F131" s="32"/>
      <c r="G131" s="32"/>
      <c r="H131" s="34"/>
      <c r="I131" s="34"/>
      <c r="J131" s="32"/>
      <c r="K131" s="32"/>
      <c r="L131" s="32"/>
    </row>
    <row r="132" s="30" customFormat="1" customHeight="1" spans="1:12">
      <c r="A132" s="31"/>
      <c r="B132" s="32"/>
      <c r="C132" s="33"/>
      <c r="D132" s="32"/>
      <c r="E132" s="32"/>
      <c r="F132" s="32"/>
      <c r="G132" s="32"/>
      <c r="H132" s="34"/>
      <c r="I132" s="34"/>
      <c r="J132" s="32"/>
      <c r="K132" s="32"/>
      <c r="L132" s="32"/>
    </row>
    <row r="133" s="30" customFormat="1" customHeight="1" spans="1:12">
      <c r="A133" s="31"/>
      <c r="B133" s="32"/>
      <c r="C133" s="33"/>
      <c r="D133" s="32"/>
      <c r="E133" s="32"/>
      <c r="F133" s="32"/>
      <c r="G133" s="32"/>
      <c r="H133" s="34"/>
      <c r="I133" s="34"/>
      <c r="J133" s="32"/>
      <c r="K133" s="32"/>
      <c r="L133" s="32"/>
    </row>
    <row r="134" s="30" customFormat="1" customHeight="1" spans="1:12">
      <c r="A134" s="31"/>
      <c r="B134" s="32"/>
      <c r="C134" s="33"/>
      <c r="D134" s="32"/>
      <c r="E134" s="32"/>
      <c r="F134" s="32"/>
      <c r="G134" s="32"/>
      <c r="H134" s="34"/>
      <c r="I134" s="34"/>
      <c r="J134" s="32"/>
      <c r="K134" s="32"/>
      <c r="L134" s="32"/>
    </row>
    <row r="135" s="30" customFormat="1" customHeight="1" spans="1:12">
      <c r="A135" s="31"/>
      <c r="B135" s="32"/>
      <c r="C135" s="33"/>
      <c r="D135" s="32"/>
      <c r="E135" s="32"/>
      <c r="F135" s="32"/>
      <c r="G135" s="32"/>
      <c r="H135" s="34"/>
      <c r="I135" s="34"/>
      <c r="J135" s="32"/>
      <c r="K135" s="32"/>
      <c r="L135" s="32"/>
    </row>
    <row r="136" s="30" customFormat="1" customHeight="1" spans="1:12">
      <c r="A136" s="31"/>
      <c r="B136" s="32"/>
      <c r="C136" s="33"/>
      <c r="D136" s="32"/>
      <c r="E136" s="32"/>
      <c r="F136" s="32"/>
      <c r="G136" s="32"/>
      <c r="H136" s="34"/>
      <c r="I136" s="34"/>
      <c r="J136" s="32"/>
      <c r="K136" s="32"/>
      <c r="L136" s="32"/>
    </row>
    <row r="137" s="30" customFormat="1" customHeight="1" spans="1:12">
      <c r="A137" s="31"/>
      <c r="B137" s="32"/>
      <c r="C137" s="33"/>
      <c r="D137" s="32"/>
      <c r="E137" s="32"/>
      <c r="F137" s="32"/>
      <c r="G137" s="32"/>
      <c r="H137" s="34"/>
      <c r="I137" s="34"/>
      <c r="J137" s="32"/>
      <c r="K137" s="32"/>
      <c r="L137" s="32"/>
    </row>
    <row r="138" s="30" customFormat="1" customHeight="1" spans="1:12">
      <c r="A138" s="31"/>
      <c r="B138" s="32"/>
      <c r="C138" s="33"/>
      <c r="D138" s="32"/>
      <c r="E138" s="32"/>
      <c r="F138" s="32"/>
      <c r="G138" s="32"/>
      <c r="H138" s="34"/>
      <c r="I138" s="34"/>
      <c r="J138" s="32"/>
      <c r="K138" s="32"/>
      <c r="L138" s="32"/>
    </row>
    <row r="139" s="30" customFormat="1" customHeight="1" spans="1:12">
      <c r="A139" s="31"/>
      <c r="B139" s="32"/>
      <c r="C139" s="33"/>
      <c r="D139" s="32"/>
      <c r="E139" s="32"/>
      <c r="F139" s="32"/>
      <c r="G139" s="32"/>
      <c r="H139" s="34"/>
      <c r="I139" s="34"/>
      <c r="J139" s="32"/>
      <c r="K139" s="32"/>
      <c r="L139" s="32"/>
    </row>
    <row r="140" s="30" customFormat="1" customHeight="1" spans="1:12">
      <c r="A140" s="31"/>
      <c r="B140" s="32"/>
      <c r="C140" s="33"/>
      <c r="D140" s="32"/>
      <c r="E140" s="32"/>
      <c r="F140" s="32"/>
      <c r="G140" s="32"/>
      <c r="H140" s="34"/>
      <c r="I140" s="34"/>
      <c r="J140" s="32"/>
      <c r="K140" s="32"/>
      <c r="L140" s="32"/>
    </row>
    <row r="141" s="30" customFormat="1" customHeight="1" spans="1:12">
      <c r="A141" s="31"/>
      <c r="B141" s="32"/>
      <c r="C141" s="33"/>
      <c r="D141" s="32"/>
      <c r="E141" s="32"/>
      <c r="F141" s="32"/>
      <c r="G141" s="32"/>
      <c r="H141" s="34"/>
      <c r="I141" s="34"/>
      <c r="J141" s="32"/>
      <c r="K141" s="32"/>
      <c r="L141" s="32"/>
    </row>
    <row r="142" s="30" customFormat="1" customHeight="1" spans="1:12">
      <c r="A142" s="31"/>
      <c r="B142" s="32"/>
      <c r="C142" s="33"/>
      <c r="D142" s="32"/>
      <c r="E142" s="32"/>
      <c r="F142" s="32"/>
      <c r="G142" s="32"/>
      <c r="H142" s="34"/>
      <c r="I142" s="34"/>
      <c r="J142" s="32"/>
      <c r="K142" s="32"/>
      <c r="L142" s="32"/>
    </row>
    <row r="143" s="30" customFormat="1" customHeight="1" spans="1:12">
      <c r="A143" s="31"/>
      <c r="B143" s="32"/>
      <c r="C143" s="33"/>
      <c r="D143" s="32"/>
      <c r="E143" s="32"/>
      <c r="F143" s="32"/>
      <c r="G143" s="32"/>
      <c r="H143" s="34"/>
      <c r="I143" s="34"/>
      <c r="J143" s="32"/>
      <c r="K143" s="32"/>
      <c r="L143" s="32"/>
    </row>
    <row r="144" s="30" customFormat="1" customHeight="1" spans="1:12">
      <c r="A144" s="31"/>
      <c r="B144" s="32"/>
      <c r="C144" s="33"/>
      <c r="D144" s="32"/>
      <c r="E144" s="32"/>
      <c r="F144" s="32"/>
      <c r="G144" s="32"/>
      <c r="H144" s="34"/>
      <c r="I144" s="34"/>
      <c r="J144" s="32"/>
      <c r="K144" s="32"/>
      <c r="L144" s="32"/>
    </row>
    <row r="145" s="30" customFormat="1" customHeight="1" spans="1:12">
      <c r="A145" s="31"/>
      <c r="B145" s="32"/>
      <c r="C145" s="33"/>
      <c r="D145" s="32"/>
      <c r="E145" s="32"/>
      <c r="F145" s="32"/>
      <c r="G145" s="32"/>
      <c r="H145" s="34"/>
      <c r="I145" s="34"/>
      <c r="J145" s="32"/>
      <c r="K145" s="32"/>
      <c r="L145" s="32"/>
    </row>
    <row r="146" s="30" customFormat="1" customHeight="1" spans="1:12">
      <c r="A146" s="31"/>
      <c r="B146" s="32"/>
      <c r="C146" s="33"/>
      <c r="D146" s="32"/>
      <c r="E146" s="32"/>
      <c r="F146" s="32"/>
      <c r="G146" s="32"/>
      <c r="H146" s="34"/>
      <c r="I146" s="34"/>
      <c r="J146" s="32"/>
      <c r="K146" s="32"/>
      <c r="L146" s="32"/>
    </row>
    <row r="147" s="30" customFormat="1" customHeight="1" spans="1:12">
      <c r="A147" s="31"/>
      <c r="B147" s="32"/>
      <c r="C147" s="33"/>
      <c r="D147" s="32"/>
      <c r="E147" s="32"/>
      <c r="F147" s="32"/>
      <c r="G147" s="32"/>
      <c r="H147" s="34"/>
      <c r="I147" s="34"/>
      <c r="J147" s="32"/>
      <c r="K147" s="32"/>
      <c r="L147" s="32"/>
    </row>
    <row r="148" s="30" customFormat="1" customHeight="1" spans="1:12">
      <c r="A148" s="31"/>
      <c r="B148" s="32"/>
      <c r="C148" s="33"/>
      <c r="D148" s="32"/>
      <c r="E148" s="32"/>
      <c r="F148" s="32"/>
      <c r="G148" s="32"/>
      <c r="H148" s="34"/>
      <c r="I148" s="34"/>
      <c r="J148" s="32"/>
      <c r="K148" s="32"/>
      <c r="L148" s="32"/>
    </row>
    <row r="149" s="30" customFormat="1" customHeight="1" spans="1:12">
      <c r="A149" s="31"/>
      <c r="B149" s="32"/>
      <c r="C149" s="33"/>
      <c r="D149" s="32"/>
      <c r="E149" s="32"/>
      <c r="F149" s="32"/>
      <c r="G149" s="32"/>
      <c r="H149" s="34"/>
      <c r="I149" s="34"/>
      <c r="J149" s="32"/>
      <c r="K149" s="32"/>
      <c r="L149" s="32"/>
    </row>
    <row r="150" s="30" customFormat="1" customHeight="1" spans="1:12">
      <c r="A150" s="31"/>
      <c r="B150" s="32"/>
      <c r="C150" s="33"/>
      <c r="D150" s="32"/>
      <c r="E150" s="32"/>
      <c r="F150" s="32"/>
      <c r="G150" s="32"/>
      <c r="H150" s="34"/>
      <c r="I150" s="34"/>
      <c r="J150" s="32"/>
      <c r="K150" s="32"/>
      <c r="L150" s="32"/>
    </row>
    <row r="151" s="30" customFormat="1" customHeight="1" spans="1:12">
      <c r="A151" s="31"/>
      <c r="B151" s="32"/>
      <c r="C151" s="33"/>
      <c r="D151" s="32"/>
      <c r="E151" s="32"/>
      <c r="F151" s="32"/>
      <c r="G151" s="32"/>
      <c r="H151" s="34"/>
      <c r="I151" s="34"/>
      <c r="J151" s="32"/>
      <c r="K151" s="32"/>
      <c r="L151" s="32"/>
    </row>
    <row r="152" s="30" customFormat="1" customHeight="1" spans="1:12">
      <c r="A152" s="31"/>
      <c r="B152" s="32"/>
      <c r="C152" s="33"/>
      <c r="D152" s="32"/>
      <c r="E152" s="32"/>
      <c r="F152" s="32"/>
      <c r="G152" s="32"/>
      <c r="H152" s="34"/>
      <c r="I152" s="34"/>
      <c r="J152" s="32"/>
      <c r="K152" s="32"/>
      <c r="L152" s="32"/>
    </row>
    <row r="153" s="30" customFormat="1" customHeight="1" spans="1:12">
      <c r="A153" s="31"/>
      <c r="B153" s="32"/>
      <c r="C153" s="33"/>
      <c r="D153" s="32"/>
      <c r="E153" s="32"/>
      <c r="F153" s="32"/>
      <c r="G153" s="32"/>
      <c r="H153" s="34"/>
      <c r="I153" s="34"/>
      <c r="J153" s="32"/>
      <c r="K153" s="32"/>
      <c r="L153" s="32"/>
    </row>
    <row r="154" s="30" customFormat="1" customHeight="1" spans="1:12">
      <c r="A154" s="31"/>
      <c r="B154" s="32"/>
      <c r="C154" s="33"/>
      <c r="D154" s="32"/>
      <c r="E154" s="32"/>
      <c r="F154" s="32"/>
      <c r="G154" s="32"/>
      <c r="H154" s="34"/>
      <c r="I154" s="34"/>
      <c r="J154" s="32"/>
      <c r="K154" s="32"/>
      <c r="L154" s="32"/>
    </row>
    <row r="155" s="30" customFormat="1" customHeight="1" spans="1:12">
      <c r="A155" s="31"/>
      <c r="B155" s="32"/>
      <c r="C155" s="33"/>
      <c r="D155" s="32"/>
      <c r="E155" s="32"/>
      <c r="F155" s="32"/>
      <c r="G155" s="32"/>
      <c r="H155" s="34"/>
      <c r="I155" s="34"/>
      <c r="J155" s="32"/>
      <c r="K155" s="32"/>
      <c r="L155" s="32"/>
    </row>
    <row r="156" s="30" customFormat="1" customHeight="1" spans="1:12">
      <c r="A156" s="31"/>
      <c r="B156" s="32"/>
      <c r="C156" s="33"/>
      <c r="D156" s="32"/>
      <c r="E156" s="32"/>
      <c r="F156" s="32"/>
      <c r="G156" s="32"/>
      <c r="H156" s="34"/>
      <c r="I156" s="34"/>
      <c r="J156" s="32"/>
      <c r="K156" s="32"/>
      <c r="L156" s="32"/>
    </row>
    <row r="157" s="30" customFormat="1" customHeight="1" spans="1:12">
      <c r="A157" s="31"/>
      <c r="B157" s="32"/>
      <c r="C157" s="33"/>
      <c r="D157" s="32"/>
      <c r="E157" s="32"/>
      <c r="F157" s="32"/>
      <c r="G157" s="32"/>
      <c r="H157" s="34"/>
      <c r="I157" s="34"/>
      <c r="J157" s="32"/>
      <c r="K157" s="32"/>
      <c r="L157" s="32"/>
    </row>
    <row r="158" s="30" customFormat="1" customHeight="1" spans="1:12">
      <c r="A158" s="31"/>
      <c r="B158" s="32"/>
      <c r="C158" s="33"/>
      <c r="D158" s="32"/>
      <c r="E158" s="32"/>
      <c r="F158" s="32"/>
      <c r="G158" s="32"/>
      <c r="H158" s="34"/>
      <c r="I158" s="34"/>
      <c r="J158" s="32"/>
      <c r="K158" s="32"/>
      <c r="L158" s="32"/>
    </row>
    <row r="159" s="30" customFormat="1" customHeight="1" spans="1:12">
      <c r="A159" s="31"/>
      <c r="B159" s="32"/>
      <c r="C159" s="33"/>
      <c r="D159" s="32"/>
      <c r="E159" s="32"/>
      <c r="F159" s="32"/>
      <c r="G159" s="32"/>
      <c r="H159" s="34"/>
      <c r="I159" s="34"/>
      <c r="J159" s="32"/>
      <c r="K159" s="32"/>
      <c r="L159" s="32"/>
    </row>
    <row r="160" s="30" customFormat="1" customHeight="1" spans="1:12">
      <c r="A160" s="31"/>
      <c r="B160" s="32"/>
      <c r="C160" s="33"/>
      <c r="D160" s="32"/>
      <c r="E160" s="32"/>
      <c r="F160" s="32"/>
      <c r="G160" s="32"/>
      <c r="H160" s="34"/>
      <c r="I160" s="34"/>
      <c r="J160" s="32"/>
      <c r="K160" s="32"/>
      <c r="L160" s="32"/>
    </row>
    <row r="161" s="30" customFormat="1" customHeight="1" spans="1:12">
      <c r="A161" s="31"/>
      <c r="B161" s="32"/>
      <c r="C161" s="33"/>
      <c r="D161" s="32"/>
      <c r="E161" s="32"/>
      <c r="F161" s="32"/>
      <c r="G161" s="32"/>
      <c r="H161" s="34"/>
      <c r="I161" s="34"/>
      <c r="J161" s="32"/>
      <c r="K161" s="32"/>
      <c r="L161" s="32"/>
    </row>
    <row r="162" s="30" customFormat="1" customHeight="1" spans="1:12">
      <c r="A162" s="31"/>
      <c r="B162" s="32"/>
      <c r="C162" s="33"/>
      <c r="D162" s="32"/>
      <c r="E162" s="32"/>
      <c r="F162" s="32"/>
      <c r="G162" s="32"/>
      <c r="H162" s="34"/>
      <c r="I162" s="34"/>
      <c r="J162" s="32"/>
      <c r="K162" s="32"/>
      <c r="L162" s="32"/>
    </row>
    <row r="163" s="30" customFormat="1" customHeight="1" spans="1:12">
      <c r="A163" s="31"/>
      <c r="B163" s="32"/>
      <c r="C163" s="33"/>
      <c r="D163" s="32"/>
      <c r="E163" s="32"/>
      <c r="F163" s="32"/>
      <c r="G163" s="32"/>
      <c r="H163" s="34"/>
      <c r="I163" s="34"/>
      <c r="J163" s="32"/>
      <c r="K163" s="32"/>
      <c r="L163" s="32"/>
    </row>
    <row r="164" s="30" customFormat="1" customHeight="1" spans="1:12">
      <c r="A164" s="31"/>
      <c r="B164" s="32"/>
      <c r="C164" s="33"/>
      <c r="D164" s="32"/>
      <c r="E164" s="32"/>
      <c r="F164" s="32"/>
      <c r="G164" s="32"/>
      <c r="H164" s="34"/>
      <c r="I164" s="34"/>
      <c r="J164" s="32"/>
      <c r="K164" s="32"/>
      <c r="L164" s="32"/>
    </row>
    <row r="165" s="30" customFormat="1" customHeight="1" spans="1:12">
      <c r="A165" s="31"/>
      <c r="B165" s="32"/>
      <c r="C165" s="33"/>
      <c r="D165" s="32"/>
      <c r="E165" s="32"/>
      <c r="F165" s="32"/>
      <c r="G165" s="32"/>
      <c r="H165" s="34"/>
      <c r="I165" s="34"/>
      <c r="J165" s="32"/>
      <c r="K165" s="32"/>
      <c r="L165" s="32"/>
    </row>
    <row r="166" s="30" customFormat="1" customHeight="1" spans="1:12">
      <c r="A166" s="31"/>
      <c r="B166" s="32"/>
      <c r="C166" s="33"/>
      <c r="D166" s="32"/>
      <c r="E166" s="32"/>
      <c r="F166" s="32"/>
      <c r="G166" s="32"/>
      <c r="H166" s="34"/>
      <c r="I166" s="34"/>
      <c r="J166" s="32"/>
      <c r="K166" s="32"/>
      <c r="L166" s="32"/>
    </row>
    <row r="167" s="30" customFormat="1" customHeight="1" spans="1:12">
      <c r="A167" s="31"/>
      <c r="B167" s="32"/>
      <c r="C167" s="33"/>
      <c r="D167" s="32"/>
      <c r="E167" s="32"/>
      <c r="F167" s="32"/>
      <c r="G167" s="32"/>
      <c r="H167" s="34"/>
      <c r="I167" s="34"/>
      <c r="J167" s="32"/>
      <c r="K167" s="32"/>
      <c r="L167" s="32"/>
    </row>
    <row r="168" s="30" customFormat="1" customHeight="1" spans="1:12">
      <c r="A168" s="31"/>
      <c r="B168" s="32"/>
      <c r="C168" s="33"/>
      <c r="D168" s="32"/>
      <c r="E168" s="32"/>
      <c r="F168" s="32"/>
      <c r="G168" s="32"/>
      <c r="H168" s="34"/>
      <c r="I168" s="34"/>
      <c r="J168" s="32"/>
      <c r="K168" s="32"/>
      <c r="L168" s="32"/>
    </row>
    <row r="169" s="30" customFormat="1" customHeight="1" spans="1:12">
      <c r="A169" s="31"/>
      <c r="B169" s="32"/>
      <c r="C169" s="33"/>
      <c r="D169" s="32"/>
      <c r="E169" s="32"/>
      <c r="F169" s="32"/>
      <c r="G169" s="32"/>
      <c r="H169" s="34"/>
      <c r="I169" s="34"/>
      <c r="J169" s="32"/>
      <c r="K169" s="32"/>
      <c r="L169" s="32"/>
    </row>
    <row r="170" s="30" customFormat="1" customHeight="1" spans="1:12">
      <c r="A170" s="31"/>
      <c r="B170" s="32"/>
      <c r="C170" s="33"/>
      <c r="D170" s="32"/>
      <c r="E170" s="32"/>
      <c r="F170" s="32"/>
      <c r="G170" s="32"/>
      <c r="H170" s="34"/>
      <c r="I170" s="34"/>
      <c r="J170" s="32"/>
      <c r="K170" s="32"/>
      <c r="L170" s="32"/>
    </row>
    <row r="171" s="30" customFormat="1" customHeight="1" spans="1:12">
      <c r="A171" s="31"/>
      <c r="B171" s="32"/>
      <c r="C171" s="33"/>
      <c r="D171" s="32"/>
      <c r="E171" s="32"/>
      <c r="F171" s="32"/>
      <c r="G171" s="32"/>
      <c r="H171" s="34"/>
      <c r="I171" s="34"/>
      <c r="J171" s="32"/>
      <c r="K171" s="32"/>
      <c r="L171" s="32"/>
    </row>
    <row r="172" s="30" customFormat="1" customHeight="1" spans="1:12">
      <c r="A172" s="31"/>
      <c r="B172" s="32"/>
      <c r="C172" s="33"/>
      <c r="D172" s="32"/>
      <c r="E172" s="32"/>
      <c r="F172" s="32"/>
      <c r="G172" s="32"/>
      <c r="H172" s="34"/>
      <c r="I172" s="34"/>
      <c r="J172" s="32"/>
      <c r="K172" s="32"/>
      <c r="L172" s="32"/>
    </row>
    <row r="173" s="30" customFormat="1" customHeight="1" spans="1:12">
      <c r="A173" s="31"/>
      <c r="B173" s="32"/>
      <c r="C173" s="33"/>
      <c r="D173" s="32"/>
      <c r="E173" s="32"/>
      <c r="F173" s="32"/>
      <c r="G173" s="32"/>
      <c r="H173" s="34"/>
      <c r="I173" s="34"/>
      <c r="J173" s="32"/>
      <c r="K173" s="32"/>
      <c r="L173" s="32"/>
    </row>
    <row r="174" s="30" customFormat="1" customHeight="1" spans="1:12">
      <c r="A174" s="31"/>
      <c r="B174" s="32"/>
      <c r="C174" s="33"/>
      <c r="D174" s="32"/>
      <c r="E174" s="32"/>
      <c r="F174" s="32"/>
      <c r="G174" s="32"/>
      <c r="H174" s="34"/>
      <c r="I174" s="34"/>
      <c r="J174" s="32"/>
      <c r="K174" s="32"/>
      <c r="L174" s="32"/>
    </row>
    <row r="175" s="30" customFormat="1" customHeight="1" spans="1:12">
      <c r="A175" s="31"/>
      <c r="B175" s="32"/>
      <c r="C175" s="33"/>
      <c r="D175" s="32"/>
      <c r="E175" s="32"/>
      <c r="F175" s="32"/>
      <c r="G175" s="32"/>
      <c r="H175" s="34"/>
      <c r="I175" s="34"/>
      <c r="J175" s="32"/>
      <c r="K175" s="32"/>
      <c r="L175" s="32"/>
    </row>
    <row r="176" s="30" customFormat="1" customHeight="1" spans="1:12">
      <c r="A176" s="31"/>
      <c r="B176" s="32"/>
      <c r="C176" s="33"/>
      <c r="D176" s="32"/>
      <c r="E176" s="32"/>
      <c r="F176" s="32"/>
      <c r="G176" s="32"/>
      <c r="H176" s="34"/>
      <c r="I176" s="34"/>
      <c r="J176" s="32"/>
      <c r="K176" s="32"/>
      <c r="L176" s="32"/>
    </row>
    <row r="177" s="30" customFormat="1" customHeight="1" spans="1:12">
      <c r="A177" s="31"/>
      <c r="B177" s="32"/>
      <c r="C177" s="33"/>
      <c r="D177" s="32"/>
      <c r="E177" s="32"/>
      <c r="F177" s="32"/>
      <c r="G177" s="32"/>
      <c r="H177" s="34"/>
      <c r="I177" s="34"/>
      <c r="J177" s="32"/>
      <c r="K177" s="32"/>
      <c r="L177" s="32"/>
    </row>
    <row r="178" s="30" customFormat="1" customHeight="1" spans="1:12">
      <c r="A178" s="31"/>
      <c r="B178" s="32"/>
      <c r="C178" s="33"/>
      <c r="D178" s="32"/>
      <c r="E178" s="32"/>
      <c r="F178" s="32"/>
      <c r="G178" s="32"/>
      <c r="H178" s="34"/>
      <c r="I178" s="34"/>
      <c r="J178" s="32"/>
      <c r="K178" s="32"/>
      <c r="L178" s="32"/>
    </row>
    <row r="179" s="30" customFormat="1" customHeight="1" spans="1:12">
      <c r="A179" s="31"/>
      <c r="B179" s="32"/>
      <c r="C179" s="33"/>
      <c r="D179" s="32"/>
      <c r="E179" s="32"/>
      <c r="F179" s="32"/>
      <c r="G179" s="32"/>
      <c r="H179" s="34"/>
      <c r="I179" s="34"/>
      <c r="J179" s="32"/>
      <c r="K179" s="32"/>
      <c r="L179" s="32"/>
    </row>
    <row r="180" s="30" customFormat="1" customHeight="1" spans="1:12">
      <c r="A180" s="31"/>
      <c r="B180" s="32"/>
      <c r="C180" s="33"/>
      <c r="D180" s="32"/>
      <c r="E180" s="32"/>
      <c r="F180" s="32"/>
      <c r="G180" s="32"/>
      <c r="H180" s="34"/>
      <c r="I180" s="34"/>
      <c r="J180" s="32"/>
      <c r="K180" s="32"/>
      <c r="L180" s="32"/>
    </row>
    <row r="181" s="30" customFormat="1" customHeight="1" spans="1:12">
      <c r="A181" s="31"/>
      <c r="B181" s="32"/>
      <c r="C181" s="33"/>
      <c r="D181" s="32"/>
      <c r="E181" s="32"/>
      <c r="F181" s="32"/>
      <c r="G181" s="32"/>
      <c r="H181" s="34"/>
      <c r="I181" s="34"/>
      <c r="J181" s="32"/>
      <c r="K181" s="32"/>
      <c r="L181" s="32"/>
    </row>
    <row r="182" s="30" customFormat="1" customHeight="1" spans="1:12">
      <c r="A182" s="31"/>
      <c r="B182" s="32"/>
      <c r="C182" s="33"/>
      <c r="D182" s="32"/>
      <c r="E182" s="32"/>
      <c r="F182" s="32"/>
      <c r="G182" s="32"/>
      <c r="H182" s="34"/>
      <c r="I182" s="34"/>
      <c r="J182" s="32"/>
      <c r="K182" s="32"/>
      <c r="L182" s="32"/>
    </row>
    <row r="183" s="30" customFormat="1" customHeight="1" spans="1:12">
      <c r="A183" s="31"/>
      <c r="B183" s="32"/>
      <c r="C183" s="33"/>
      <c r="D183" s="32"/>
      <c r="E183" s="32"/>
      <c r="F183" s="32"/>
      <c r="G183" s="32"/>
      <c r="H183" s="34"/>
      <c r="I183" s="34"/>
      <c r="J183" s="32"/>
      <c r="K183" s="32"/>
      <c r="L183" s="32"/>
    </row>
    <row r="184" s="30" customFormat="1" customHeight="1" spans="1:12">
      <c r="A184" s="31"/>
      <c r="B184" s="32"/>
      <c r="C184" s="33"/>
      <c r="D184" s="32"/>
      <c r="E184" s="32"/>
      <c r="F184" s="32"/>
      <c r="G184" s="32"/>
      <c r="H184" s="34"/>
      <c r="I184" s="34"/>
      <c r="J184" s="32"/>
      <c r="K184" s="32"/>
      <c r="L184" s="32"/>
    </row>
    <row r="185" s="30" customFormat="1" customHeight="1" spans="1:12">
      <c r="A185" s="31"/>
      <c r="B185" s="32"/>
      <c r="C185" s="33"/>
      <c r="D185" s="32"/>
      <c r="E185" s="32"/>
      <c r="F185" s="32"/>
      <c r="G185" s="32"/>
      <c r="H185" s="34"/>
      <c r="I185" s="34"/>
      <c r="J185" s="32"/>
      <c r="K185" s="32"/>
      <c r="L185" s="32"/>
    </row>
    <row r="186" s="30" customFormat="1" customHeight="1" spans="1:12">
      <c r="A186" s="31"/>
      <c r="B186" s="32"/>
      <c r="C186" s="33"/>
      <c r="D186" s="32"/>
      <c r="E186" s="32"/>
      <c r="F186" s="32"/>
      <c r="G186" s="32"/>
      <c r="H186" s="34"/>
      <c r="I186" s="34"/>
      <c r="J186" s="32"/>
      <c r="K186" s="32"/>
      <c r="L186" s="32"/>
    </row>
    <row r="187" s="30" customFormat="1" customHeight="1" spans="1:12">
      <c r="A187" s="31"/>
      <c r="B187" s="32"/>
      <c r="C187" s="33"/>
      <c r="D187" s="32"/>
      <c r="E187" s="32"/>
      <c r="F187" s="32"/>
      <c r="G187" s="32"/>
      <c r="H187" s="34"/>
      <c r="I187" s="34"/>
      <c r="J187" s="32"/>
      <c r="K187" s="32"/>
      <c r="L187" s="32"/>
    </row>
    <row r="188" s="30" customFormat="1" customHeight="1" spans="1:12">
      <c r="A188" s="31"/>
      <c r="B188" s="32"/>
      <c r="C188" s="33"/>
      <c r="D188" s="32"/>
      <c r="E188" s="32"/>
      <c r="F188" s="32"/>
      <c r="G188" s="32"/>
      <c r="H188" s="34"/>
      <c r="I188" s="34"/>
      <c r="J188" s="32"/>
      <c r="K188" s="32"/>
      <c r="L188" s="32"/>
    </row>
    <row r="189" s="30" customFormat="1" customHeight="1" spans="1:12">
      <c r="A189" s="31"/>
      <c r="B189" s="32"/>
      <c r="C189" s="33"/>
      <c r="D189" s="32"/>
      <c r="E189" s="32"/>
      <c r="F189" s="32"/>
      <c r="G189" s="32"/>
      <c r="H189" s="34"/>
      <c r="I189" s="34"/>
      <c r="J189" s="32"/>
      <c r="K189" s="32"/>
      <c r="L189" s="32"/>
    </row>
  </sheetData>
  <sheetCalcPr fullCalcOnLoad="1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9"/>
  <sheetViews>
    <sheetView topLeftCell="M1" workbookViewId="0">
      <pane ySplit="1" topLeftCell="A32" activePane="bottomLeft" state="frozen"/>
      <selection/>
      <selection pane="bottomLeft" activeCell="C9" sqref="C9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1" width="12.625" style="23"/>
    <col min="12" max="12" width="9" style="23"/>
    <col min="13" max="15" width="12.625" style="21"/>
    <col min="16" max="16" width="9" style="21"/>
    <col min="17" max="17" width="14" style="21" customWidth="1"/>
    <col min="18" max="16384" width="9" style="21"/>
  </cols>
  <sheetData>
    <row r="1" s="21" customFormat="1" ht="27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11"/>
      <c r="B2" s="11"/>
      <c r="C2" s="4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="21" customFormat="1" ht="20" customHeight="1" spans="1:17">
      <c r="A3" s="27">
        <v>46083</v>
      </c>
      <c r="B3" s="6">
        <v>11</v>
      </c>
      <c r="C3" s="28"/>
      <c r="D3" s="5" t="s">
        <v>107</v>
      </c>
      <c r="E3" s="5" t="s">
        <v>108</v>
      </c>
      <c r="F3" s="6">
        <v>260</v>
      </c>
      <c r="G3" s="5" t="s">
        <v>24</v>
      </c>
      <c r="H3" s="6">
        <f ca="1" t="array" ref="H3">INDEX(成本核算表!J:J,MATCH(1,(成本核算表!D:D=E3)*(成本核算表!C:C=G3),0))</f>
        <v>50</v>
      </c>
      <c r="I3" s="6"/>
      <c r="J3" s="6">
        <f ca="1" t="shared" ref="J3:J65" si="0">H3*I3</f>
        <v>0</v>
      </c>
      <c r="K3" s="6"/>
      <c r="L3" s="6">
        <v>39600</v>
      </c>
      <c r="M3" s="6">
        <f ca="1" t="shared" ref="M3:M65" si="1">K3*H3</f>
        <v>0</v>
      </c>
      <c r="N3" s="6">
        <f ca="1" t="shared" ref="N3:N65" si="2">J3-M3+L3</f>
        <v>39600</v>
      </c>
      <c r="O3" s="6">
        <f ca="1" t="shared" ref="O3:O65" si="3">N3/3600</f>
        <v>11</v>
      </c>
      <c r="P3" s="6"/>
      <c r="Q3" s="5"/>
    </row>
    <row r="4" s="21" customFormat="1" ht="20" customHeight="1" spans="1:17">
      <c r="A4" s="27">
        <v>46083</v>
      </c>
      <c r="B4" s="6"/>
      <c r="C4" s="28"/>
      <c r="D4" s="5" t="s">
        <v>107</v>
      </c>
      <c r="E4" s="5" t="s">
        <v>108</v>
      </c>
      <c r="F4" s="6">
        <v>260</v>
      </c>
      <c r="G4" s="5" t="s">
        <v>25</v>
      </c>
      <c r="H4" s="6">
        <f ca="1" t="array" ref="H4">INDEX(成本核算表!J:J,MATCH(1,(成本核算表!D:D=E4)*(成本核算表!C:C=G4),0))</f>
        <v>60</v>
      </c>
      <c r="I4" s="6"/>
      <c r="J4" s="6">
        <f ca="1" t="shared" si="0"/>
        <v>0</v>
      </c>
      <c r="K4" s="6"/>
      <c r="L4" s="6"/>
      <c r="M4" s="6">
        <f ca="1" t="shared" si="1"/>
        <v>0</v>
      </c>
      <c r="N4" s="6">
        <f ca="1" t="shared" si="2"/>
        <v>0</v>
      </c>
      <c r="O4" s="6">
        <f ca="1" t="shared" si="3"/>
        <v>0</v>
      </c>
      <c r="P4" s="6"/>
      <c r="Q4" s="6"/>
    </row>
    <row r="5" s="21" customFormat="1" ht="20" customHeight="1" spans="1:17">
      <c r="A5" s="27">
        <v>46084</v>
      </c>
      <c r="B5" s="6">
        <v>11</v>
      </c>
      <c r="C5" s="28"/>
      <c r="D5" s="5" t="s">
        <v>107</v>
      </c>
      <c r="E5" s="5" t="s">
        <v>108</v>
      </c>
      <c r="F5" s="6">
        <v>260</v>
      </c>
      <c r="G5" s="5" t="s">
        <v>24</v>
      </c>
      <c r="H5" s="6">
        <f ca="1" t="array" ref="H5">INDEX(成本核算表!J:J,MATCH(1,(成本核算表!D:D=E5)*(成本核算表!C:C=G5),0))</f>
        <v>50</v>
      </c>
      <c r="I5" s="6"/>
      <c r="J5" s="6">
        <f ca="1" t="shared" si="0"/>
        <v>0</v>
      </c>
      <c r="K5" s="6"/>
      <c r="L5" s="6">
        <v>39600</v>
      </c>
      <c r="M5" s="6">
        <f ca="1" t="shared" si="1"/>
        <v>0</v>
      </c>
      <c r="N5" s="6">
        <f ca="1" t="shared" si="2"/>
        <v>39600</v>
      </c>
      <c r="O5" s="6">
        <f ca="1" t="shared" si="3"/>
        <v>11</v>
      </c>
      <c r="P5" s="6"/>
      <c r="Q5" s="5"/>
    </row>
    <row r="6" s="21" customFormat="1" ht="20" customHeight="1" spans="1:17">
      <c r="A6" s="27">
        <v>46084</v>
      </c>
      <c r="B6" s="6"/>
      <c r="C6" s="28"/>
      <c r="D6" s="5" t="s">
        <v>107</v>
      </c>
      <c r="E6" s="5" t="s">
        <v>108</v>
      </c>
      <c r="F6" s="6">
        <v>260</v>
      </c>
      <c r="G6" s="5" t="s">
        <v>25</v>
      </c>
      <c r="H6" s="6">
        <f ca="1" t="array" ref="H6">INDEX(成本核算表!J:J,MATCH(1,(成本核算表!D:D=E6)*(成本核算表!C:C=G6),0))</f>
        <v>60</v>
      </c>
      <c r="I6" s="6"/>
      <c r="J6" s="6">
        <f ca="1" t="shared" si="0"/>
        <v>0</v>
      </c>
      <c r="K6" s="6"/>
      <c r="L6" s="6"/>
      <c r="M6" s="6">
        <f ca="1" t="shared" si="1"/>
        <v>0</v>
      </c>
      <c r="N6" s="6">
        <f ca="1" t="shared" si="2"/>
        <v>0</v>
      </c>
      <c r="O6" s="6">
        <f ca="1" t="shared" si="3"/>
        <v>0</v>
      </c>
      <c r="P6" s="6"/>
      <c r="Q6" s="6"/>
    </row>
    <row r="7" s="21" customFormat="1" ht="20" customHeight="1" spans="1:17">
      <c r="A7" s="27">
        <v>46085</v>
      </c>
      <c r="B7" s="6"/>
      <c r="C7" s="28"/>
      <c r="D7" s="6"/>
      <c r="E7" s="6"/>
      <c r="F7" s="6"/>
      <c r="G7" s="6"/>
      <c r="H7" s="6"/>
      <c r="I7" s="6"/>
      <c r="J7" s="6">
        <f t="shared" si="0"/>
        <v>0</v>
      </c>
      <c r="K7" s="6"/>
      <c r="L7" s="6">
        <v>39600</v>
      </c>
      <c r="M7" s="6">
        <f t="shared" si="1"/>
        <v>0</v>
      </c>
      <c r="N7" s="6">
        <f t="shared" si="2"/>
        <v>39600</v>
      </c>
      <c r="O7" s="6">
        <f t="shared" si="3"/>
        <v>11</v>
      </c>
      <c r="P7" s="6"/>
      <c r="Q7" s="6"/>
    </row>
    <row r="8" s="21" customFormat="1" ht="20" customHeight="1" spans="1:17">
      <c r="A8" s="27">
        <v>46086</v>
      </c>
      <c r="B8" s="6"/>
      <c r="C8" s="28"/>
      <c r="D8" s="6"/>
      <c r="E8" s="6"/>
      <c r="F8" s="6"/>
      <c r="G8" s="6"/>
      <c r="H8" s="6"/>
      <c r="I8" s="6"/>
      <c r="J8" s="6">
        <f t="shared" si="0"/>
        <v>0</v>
      </c>
      <c r="K8" s="6"/>
      <c r="L8" s="6">
        <v>39600</v>
      </c>
      <c r="M8" s="6">
        <f t="shared" si="1"/>
        <v>0</v>
      </c>
      <c r="N8" s="6">
        <f t="shared" si="2"/>
        <v>39600</v>
      </c>
      <c r="O8" s="6">
        <f t="shared" si="3"/>
        <v>11</v>
      </c>
      <c r="P8" s="6"/>
      <c r="Q8" s="6"/>
    </row>
    <row r="9" s="21" customFormat="1" ht="20" customHeight="1" spans="1:17">
      <c r="A9" s="27">
        <v>46087</v>
      </c>
      <c r="B9" s="6">
        <v>11</v>
      </c>
      <c r="C9" s="28">
        <f ca="1">SUM(O9:O11)/B9</f>
        <v>0.360227272727273</v>
      </c>
      <c r="D9" s="6"/>
      <c r="E9" s="50" t="s">
        <v>146</v>
      </c>
      <c r="F9" s="6">
        <v>171.5</v>
      </c>
      <c r="G9" s="5" t="s">
        <v>24</v>
      </c>
      <c r="H9" s="6">
        <f ca="1" t="array" ref="H9">INDEX(成本核算表!J:J,MATCH(1,(成本核算表!D:D=E9)*(成本核算表!C:C=G9),0))</f>
        <v>75</v>
      </c>
      <c r="I9" s="6">
        <v>41</v>
      </c>
      <c r="J9" s="6">
        <f ca="1" t="shared" si="0"/>
        <v>3075</v>
      </c>
      <c r="K9" s="6">
        <v>2</v>
      </c>
      <c r="L9" s="6"/>
      <c r="M9" s="6">
        <f ca="1" t="shared" si="1"/>
        <v>150</v>
      </c>
      <c r="N9" s="6">
        <f ca="1" t="shared" si="2"/>
        <v>2925</v>
      </c>
      <c r="O9" s="6">
        <f ca="1" t="shared" si="3"/>
        <v>0.8125</v>
      </c>
      <c r="P9" s="6"/>
      <c r="Q9" s="6"/>
    </row>
    <row r="10" s="21" customFormat="1" ht="20" customHeight="1" spans="1:17">
      <c r="A10" s="27">
        <v>46087</v>
      </c>
      <c r="B10" s="6"/>
      <c r="C10" s="28"/>
      <c r="D10" s="6"/>
      <c r="E10" s="50" t="s">
        <v>145</v>
      </c>
      <c r="F10" s="6">
        <v>171.5</v>
      </c>
      <c r="G10" s="5" t="s">
        <v>24</v>
      </c>
      <c r="H10" s="6">
        <f ca="1" t="array" ref="H10">INDEX(成本核算表!J:J,MATCH(1,(成本核算表!D:D=E10)*(成本核算表!C:C=G10),0))</f>
        <v>90</v>
      </c>
      <c r="I10" s="6">
        <v>42</v>
      </c>
      <c r="J10" s="6">
        <f ca="1" t="shared" si="0"/>
        <v>3780</v>
      </c>
      <c r="K10" s="6"/>
      <c r="L10" s="6"/>
      <c r="M10" s="6">
        <f ca="1" t="shared" si="1"/>
        <v>0</v>
      </c>
      <c r="N10" s="6">
        <f ca="1" t="shared" si="2"/>
        <v>3780</v>
      </c>
      <c r="O10" s="6">
        <f ca="1" t="shared" si="3"/>
        <v>1.05</v>
      </c>
      <c r="P10" s="6"/>
      <c r="Q10" s="6"/>
    </row>
    <row r="11" s="21" customFormat="1" ht="20" customHeight="1" spans="1:17">
      <c r="A11" s="27">
        <v>46087</v>
      </c>
      <c r="B11" s="6"/>
      <c r="C11" s="28"/>
      <c r="D11" s="6"/>
      <c r="E11" s="50" t="s">
        <v>145</v>
      </c>
      <c r="F11" s="6">
        <v>171.5</v>
      </c>
      <c r="G11" s="5" t="s">
        <v>25</v>
      </c>
      <c r="H11" s="6">
        <f ca="1" t="array" ref="H11">INDEX(成本核算表!J:J,MATCH(1,(成本核算表!D:D=E11)*(成本核算表!C:C=G11),0))</f>
        <v>180</v>
      </c>
      <c r="I11" s="6">
        <v>42</v>
      </c>
      <c r="J11" s="6">
        <f ca="1" t="shared" si="0"/>
        <v>7560</v>
      </c>
      <c r="K11" s="6"/>
      <c r="L11" s="6"/>
      <c r="M11" s="6">
        <f ca="1" t="shared" si="1"/>
        <v>0</v>
      </c>
      <c r="N11" s="6">
        <f ca="1" t="shared" si="2"/>
        <v>7560</v>
      </c>
      <c r="O11" s="6">
        <f ca="1" t="shared" si="3"/>
        <v>2.1</v>
      </c>
      <c r="P11" s="6"/>
      <c r="Q11" s="6"/>
    </row>
    <row r="12" s="21" customFormat="1" ht="20" customHeight="1" spans="1:17">
      <c r="A12" s="27">
        <v>46088</v>
      </c>
      <c r="B12" s="6">
        <v>11</v>
      </c>
      <c r="C12" s="28"/>
      <c r="D12" s="6"/>
      <c r="E12" s="6"/>
      <c r="F12" s="6"/>
      <c r="G12" s="6"/>
      <c r="H12" s="6">
        <f ca="1" t="array" ref="H12">INDEX(成本核算表!J:J,MATCH(1,(成本核算表!D:D=E12)*(成本核算表!C:C=G12),0))</f>
        <v>0</v>
      </c>
      <c r="I12" s="6"/>
      <c r="J12" s="6">
        <f ca="1" t="shared" si="0"/>
        <v>0</v>
      </c>
      <c r="K12" s="6"/>
      <c r="L12" s="6">
        <v>39600</v>
      </c>
      <c r="M12" s="6">
        <f ca="1" t="shared" si="1"/>
        <v>0</v>
      </c>
      <c r="N12" s="6">
        <f ca="1" t="shared" si="2"/>
        <v>39600</v>
      </c>
      <c r="O12" s="6">
        <f ca="1" t="shared" si="3"/>
        <v>11</v>
      </c>
      <c r="P12" s="6"/>
      <c r="Q12" s="6"/>
    </row>
    <row r="13" s="21" customFormat="1" ht="20" customHeight="1" spans="1:17">
      <c r="A13" s="27">
        <v>46089</v>
      </c>
      <c r="B13" s="6">
        <v>9.5</v>
      </c>
      <c r="C13" s="28">
        <f ca="1">SUM(O13:O14)/B13</f>
        <v>0.489473684210526</v>
      </c>
      <c r="D13" s="5" t="s">
        <v>230</v>
      </c>
      <c r="E13" s="5" t="s">
        <v>207</v>
      </c>
      <c r="F13" s="6">
        <v>380.85</v>
      </c>
      <c r="G13" s="5" t="s">
        <v>24</v>
      </c>
      <c r="H13" s="6">
        <f ca="1" t="array" ref="H13">INDEX(成本核算表!J:J,MATCH(1,(成本核算表!D:D=E13)*(成本核算表!C:C=G13),0))</f>
        <v>270</v>
      </c>
      <c r="I13" s="6">
        <v>29</v>
      </c>
      <c r="J13" s="6">
        <f ca="1" t="shared" si="0"/>
        <v>7830</v>
      </c>
      <c r="K13" s="6"/>
      <c r="L13" s="6"/>
      <c r="M13" s="6">
        <f ca="1" t="shared" si="1"/>
        <v>0</v>
      </c>
      <c r="N13" s="6">
        <f ca="1" t="shared" si="2"/>
        <v>7830</v>
      </c>
      <c r="O13" s="6">
        <f ca="1" t="shared" si="3"/>
        <v>2.175</v>
      </c>
      <c r="P13" s="6"/>
      <c r="Q13" s="6"/>
    </row>
    <row r="14" s="21" customFormat="1" ht="20" customHeight="1" spans="1:17">
      <c r="A14" s="27">
        <v>46089</v>
      </c>
      <c r="B14" s="6"/>
      <c r="C14" s="28"/>
      <c r="D14" s="5" t="s">
        <v>221</v>
      </c>
      <c r="E14" s="5" t="s">
        <v>207</v>
      </c>
      <c r="F14" s="6">
        <v>380.85</v>
      </c>
      <c r="G14" s="5" t="s">
        <v>24</v>
      </c>
      <c r="H14" s="6">
        <f ca="1" t="array" ref="H14">INDEX(成本核算表!J:J,MATCH(1,(成本核算表!D:D=E14)*(成本核算表!C:C=G14),0))</f>
        <v>270</v>
      </c>
      <c r="I14" s="6">
        <v>33</v>
      </c>
      <c r="J14" s="6">
        <f ca="1" t="shared" si="0"/>
        <v>8910</v>
      </c>
      <c r="K14" s="6"/>
      <c r="L14" s="6"/>
      <c r="M14" s="6">
        <f ca="1" t="shared" si="1"/>
        <v>0</v>
      </c>
      <c r="N14" s="6">
        <f ca="1" t="shared" si="2"/>
        <v>8910</v>
      </c>
      <c r="O14" s="6">
        <f ca="1" t="shared" si="3"/>
        <v>2.475</v>
      </c>
      <c r="P14" s="6"/>
      <c r="Q14" s="6"/>
    </row>
    <row r="15" s="21" customFormat="1" ht="20" customHeight="1" spans="1:17">
      <c r="A15" s="27">
        <v>46090</v>
      </c>
      <c r="B15" s="6">
        <v>11</v>
      </c>
      <c r="C15" s="28">
        <f ca="1">SUM(O15:O16)/B15</f>
        <v>0.472727272727273</v>
      </c>
      <c r="D15" s="5" t="s">
        <v>230</v>
      </c>
      <c r="E15" s="5" t="s">
        <v>207</v>
      </c>
      <c r="F15" s="6">
        <v>380.85</v>
      </c>
      <c r="G15" s="5" t="s">
        <v>25</v>
      </c>
      <c r="H15" s="6">
        <f ca="1" t="array" ref="H15">INDEX(成本核算表!J:J,MATCH(1,(成本核算表!D:D=E15)*(成本核算表!C:C=G15),0))</f>
        <v>160</v>
      </c>
      <c r="I15" s="6">
        <v>51</v>
      </c>
      <c r="J15" s="6">
        <f ca="1" t="shared" si="0"/>
        <v>8160</v>
      </c>
      <c r="K15" s="6"/>
      <c r="L15" s="6"/>
      <c r="M15" s="6">
        <f ca="1" t="shared" si="1"/>
        <v>0</v>
      </c>
      <c r="N15" s="6">
        <f ca="1" t="shared" si="2"/>
        <v>8160</v>
      </c>
      <c r="O15" s="6">
        <f ca="1" t="shared" si="3"/>
        <v>2.26666666666667</v>
      </c>
      <c r="P15" s="6"/>
      <c r="Q15" s="6"/>
    </row>
    <row r="16" s="21" customFormat="1" ht="20" customHeight="1" spans="1:17">
      <c r="A16" s="27">
        <v>46090</v>
      </c>
      <c r="B16" s="6"/>
      <c r="C16" s="28"/>
      <c r="D16" s="5" t="s">
        <v>221</v>
      </c>
      <c r="E16" s="5" t="s">
        <v>207</v>
      </c>
      <c r="F16" s="6">
        <v>380.85</v>
      </c>
      <c r="G16" s="5" t="s">
        <v>25</v>
      </c>
      <c r="H16" s="6">
        <f ca="1" t="array" ref="H16">INDEX(成本核算表!J:J,MATCH(1,(成本核算表!D:D=E16)*(成本核算表!C:C=G16),0))</f>
        <v>160</v>
      </c>
      <c r="I16" s="6">
        <v>66</v>
      </c>
      <c r="J16" s="6">
        <f ca="1" t="shared" si="0"/>
        <v>10560</v>
      </c>
      <c r="K16" s="6"/>
      <c r="L16" s="6"/>
      <c r="M16" s="6">
        <f ca="1" t="shared" si="1"/>
        <v>0</v>
      </c>
      <c r="N16" s="6">
        <f ca="1" t="shared" si="2"/>
        <v>10560</v>
      </c>
      <c r="O16" s="6">
        <f ca="1" t="shared" si="3"/>
        <v>2.93333333333333</v>
      </c>
      <c r="P16" s="6"/>
      <c r="Q16" s="6"/>
    </row>
    <row r="17" s="21" customFormat="1" ht="20" customHeight="1" spans="1:17">
      <c r="A17" s="27">
        <v>46091</v>
      </c>
      <c r="B17" s="6">
        <v>11</v>
      </c>
      <c r="C17" s="6"/>
      <c r="D17" s="6"/>
      <c r="E17" s="6"/>
      <c r="F17" s="6"/>
      <c r="G17" s="6"/>
      <c r="H17" s="6">
        <f ca="1" t="array" ref="H17">INDEX(成本核算表!J:J,MATCH(1,(成本核算表!D:D=E17)*(成本核算表!C:C=G17),0))</f>
        <v>0</v>
      </c>
      <c r="I17" s="6"/>
      <c r="J17" s="6">
        <f ca="1" t="shared" si="0"/>
        <v>0</v>
      </c>
      <c r="K17" s="6"/>
      <c r="L17" s="6">
        <v>39600</v>
      </c>
      <c r="M17" s="6">
        <f ca="1" t="shared" si="1"/>
        <v>0</v>
      </c>
      <c r="N17" s="6">
        <f ca="1" t="shared" si="2"/>
        <v>39600</v>
      </c>
      <c r="O17" s="6">
        <f ca="1" t="shared" si="3"/>
        <v>11</v>
      </c>
      <c r="P17" s="6"/>
      <c r="Q17" s="6"/>
    </row>
    <row r="18" s="21" customFormat="1" ht="20" customHeight="1" spans="1:17">
      <c r="A18" s="27">
        <v>46092</v>
      </c>
      <c r="B18" s="6">
        <v>11</v>
      </c>
      <c r="C18" s="28">
        <f ca="1">SUM(O18:O20)/B18</f>
        <v>0.245151515151515</v>
      </c>
      <c r="D18" s="5" t="s">
        <v>232</v>
      </c>
      <c r="E18" s="5" t="s">
        <v>233</v>
      </c>
      <c r="F18" s="6">
        <v>700</v>
      </c>
      <c r="G18" s="5" t="s">
        <v>22</v>
      </c>
      <c r="H18" s="6">
        <f ca="1" t="array" ref="H18">INDEX(成本核算表!J:J,MATCH(1,(成本核算表!D:D=E18)*(成本核算表!C:C=G18),0))</f>
        <v>100</v>
      </c>
      <c r="I18" s="6">
        <v>49</v>
      </c>
      <c r="J18" s="6">
        <f ca="1" t="shared" si="0"/>
        <v>4900</v>
      </c>
      <c r="K18" s="6">
        <v>2</v>
      </c>
      <c r="L18" s="6"/>
      <c r="M18" s="6">
        <f ca="1" t="shared" si="1"/>
        <v>200</v>
      </c>
      <c r="N18" s="6">
        <f ca="1" t="shared" si="2"/>
        <v>4700</v>
      </c>
      <c r="O18" s="6">
        <f ca="1" t="shared" si="3"/>
        <v>1.30555555555556</v>
      </c>
      <c r="P18" s="6"/>
      <c r="Q18" s="6"/>
    </row>
    <row r="19" s="21" customFormat="1" ht="20" customHeight="1" spans="1:17">
      <c r="A19" s="27">
        <v>46092</v>
      </c>
      <c r="B19" s="6"/>
      <c r="C19" s="28"/>
      <c r="D19" s="5" t="s">
        <v>234</v>
      </c>
      <c r="E19" s="5" t="s">
        <v>233</v>
      </c>
      <c r="F19" s="6">
        <v>770</v>
      </c>
      <c r="G19" s="5" t="s">
        <v>22</v>
      </c>
      <c r="H19" s="6">
        <f ca="1" t="array" ref="H19">INDEX(成本核算表!J:J,MATCH(1,(成本核算表!D:D=E19)*(成本核算表!C:C=G19),0))</f>
        <v>100</v>
      </c>
      <c r="I19" s="6">
        <v>37</v>
      </c>
      <c r="J19" s="6">
        <f ca="1" t="shared" si="0"/>
        <v>3700</v>
      </c>
      <c r="K19" s="6"/>
      <c r="L19" s="6"/>
      <c r="M19" s="6">
        <f ca="1" t="shared" si="1"/>
        <v>0</v>
      </c>
      <c r="N19" s="6">
        <f ca="1" t="shared" si="2"/>
        <v>3700</v>
      </c>
      <c r="O19" s="6">
        <f ca="1" t="shared" si="3"/>
        <v>1.02777777777778</v>
      </c>
      <c r="P19" s="6"/>
      <c r="Q19" s="6"/>
    </row>
    <row r="20" s="21" customFormat="1" ht="20" customHeight="1" spans="1:17">
      <c r="A20" s="27">
        <v>46092</v>
      </c>
      <c r="B20" s="6"/>
      <c r="C20" s="28"/>
      <c r="D20" s="5" t="s">
        <v>185</v>
      </c>
      <c r="E20" s="5" t="s">
        <v>186</v>
      </c>
      <c r="F20" s="6">
        <v>51.1</v>
      </c>
      <c r="G20" s="5" t="s">
        <v>181</v>
      </c>
      <c r="H20" s="6">
        <f ca="1" t="array" ref="H20">INDEX(成本核算表!J:J,MATCH(1,(成本核算表!D:D=E20)*(成本核算表!C:C=G20),0))</f>
        <v>12</v>
      </c>
      <c r="I20" s="6">
        <v>109</v>
      </c>
      <c r="J20" s="6">
        <f ca="1" t="shared" si="0"/>
        <v>1308</v>
      </c>
      <c r="K20" s="6"/>
      <c r="L20" s="6"/>
      <c r="M20" s="6">
        <f ca="1" t="shared" si="1"/>
        <v>0</v>
      </c>
      <c r="N20" s="6">
        <f ca="1" t="shared" si="2"/>
        <v>1308</v>
      </c>
      <c r="O20" s="6">
        <f ca="1" t="shared" si="3"/>
        <v>0.363333333333333</v>
      </c>
      <c r="P20" s="6"/>
      <c r="Q20" s="6"/>
    </row>
    <row r="21" s="21" customFormat="1" ht="20" customHeight="1" spans="1:17">
      <c r="A21" s="27">
        <v>46093</v>
      </c>
      <c r="B21" s="6">
        <v>11</v>
      </c>
      <c r="C21" s="28">
        <f ca="1">SUM(O21:O23)/B21</f>
        <v>0.400252525252525</v>
      </c>
      <c r="D21" s="5" t="s">
        <v>234</v>
      </c>
      <c r="E21" s="5" t="s">
        <v>233</v>
      </c>
      <c r="F21" s="6">
        <v>770</v>
      </c>
      <c r="G21" s="5" t="s">
        <v>22</v>
      </c>
      <c r="H21" s="6">
        <f ca="1" t="array" ref="H21">INDEX(成本核算表!J:J,MATCH(1,(成本核算表!D:D=E21)*(成本核算表!C:C=G21),0))</f>
        <v>100</v>
      </c>
      <c r="I21" s="6">
        <v>44</v>
      </c>
      <c r="J21" s="6">
        <f ca="1" t="shared" si="0"/>
        <v>4400</v>
      </c>
      <c r="K21" s="6"/>
      <c r="L21" s="6"/>
      <c r="M21" s="6">
        <f ca="1" t="shared" si="1"/>
        <v>0</v>
      </c>
      <c r="N21" s="6">
        <f ca="1" t="shared" si="2"/>
        <v>4400</v>
      </c>
      <c r="O21" s="6">
        <f ca="1" t="shared" si="3"/>
        <v>1.22222222222222</v>
      </c>
      <c r="P21" s="6"/>
      <c r="Q21" s="6"/>
    </row>
    <row r="22" s="21" customFormat="1" ht="20" customHeight="1" spans="1:17">
      <c r="A22" s="27">
        <v>46093</v>
      </c>
      <c r="B22" s="6"/>
      <c r="C22" s="28"/>
      <c r="D22" s="5" t="s">
        <v>230</v>
      </c>
      <c r="E22" s="5" t="s">
        <v>207</v>
      </c>
      <c r="F22" s="6">
        <v>380.85</v>
      </c>
      <c r="G22" s="5" t="s">
        <v>24</v>
      </c>
      <c r="H22" s="6">
        <f ca="1" t="array" ref="H22">INDEX(成本核算表!J:J,MATCH(1,(成本核算表!D:D=E22)*(成本核算表!C:C=G22),0))</f>
        <v>270</v>
      </c>
      <c r="I22" s="6">
        <v>29</v>
      </c>
      <c r="J22" s="6">
        <f ca="1" t="shared" si="0"/>
        <v>7830</v>
      </c>
      <c r="K22" s="6">
        <v>2</v>
      </c>
      <c r="L22" s="6"/>
      <c r="M22" s="6">
        <f ca="1" t="shared" si="1"/>
        <v>540</v>
      </c>
      <c r="N22" s="6">
        <f ca="1" t="shared" si="2"/>
        <v>7290</v>
      </c>
      <c r="O22" s="6">
        <f ca="1" t="shared" si="3"/>
        <v>2.025</v>
      </c>
      <c r="P22" s="6"/>
      <c r="Q22" s="6"/>
    </row>
    <row r="23" s="21" customFormat="1" ht="20" customHeight="1" spans="1:17">
      <c r="A23" s="27">
        <v>46093</v>
      </c>
      <c r="B23" s="6"/>
      <c r="C23" s="28"/>
      <c r="D23" s="5" t="s">
        <v>230</v>
      </c>
      <c r="E23" s="5" t="s">
        <v>207</v>
      </c>
      <c r="F23" s="6">
        <v>380.85</v>
      </c>
      <c r="G23" s="5" t="s">
        <v>25</v>
      </c>
      <c r="H23" s="6">
        <f ca="1" t="array" ref="H23">INDEX(成本核算表!J:J,MATCH(1,(成本核算表!D:D=E23)*(成本核算表!C:C=G23),0))</f>
        <v>160</v>
      </c>
      <c r="I23" s="6">
        <v>28</v>
      </c>
      <c r="J23" s="6">
        <f ca="1" t="shared" si="0"/>
        <v>4480</v>
      </c>
      <c r="K23" s="6">
        <v>2</v>
      </c>
      <c r="L23" s="6"/>
      <c r="M23" s="6">
        <f ca="1" t="shared" si="1"/>
        <v>320</v>
      </c>
      <c r="N23" s="6">
        <f ca="1" t="shared" si="2"/>
        <v>4160</v>
      </c>
      <c r="O23" s="6">
        <f ca="1" t="shared" si="3"/>
        <v>1.15555555555556</v>
      </c>
      <c r="P23" s="6"/>
      <c r="Q23" s="6"/>
    </row>
    <row r="24" s="21" customFormat="1" ht="20" customHeight="1" spans="1:17">
      <c r="A24" s="27">
        <v>46094</v>
      </c>
      <c r="B24" s="6">
        <v>11</v>
      </c>
      <c r="C24" s="28">
        <f ca="1">SUM(O24)/B24</f>
        <v>0.896969696969697</v>
      </c>
      <c r="D24" s="5" t="s">
        <v>185</v>
      </c>
      <c r="E24" s="5" t="s">
        <v>186</v>
      </c>
      <c r="F24" s="6">
        <v>51.1</v>
      </c>
      <c r="G24" s="5" t="s">
        <v>22</v>
      </c>
      <c r="H24" s="6">
        <f ca="1" t="array" ref="H24">INDEX(成本核算表!J:J,MATCH(1,(成本核算表!D:D=E24)*(成本核算表!C:C=G24),0))</f>
        <v>60</v>
      </c>
      <c r="I24" s="6">
        <v>600</v>
      </c>
      <c r="J24" s="6">
        <f ca="1" t="shared" si="0"/>
        <v>36000</v>
      </c>
      <c r="K24" s="6">
        <v>8</v>
      </c>
      <c r="L24" s="6"/>
      <c r="M24" s="6">
        <f ca="1" t="shared" si="1"/>
        <v>480</v>
      </c>
      <c r="N24" s="6">
        <f ca="1" t="shared" si="2"/>
        <v>35520</v>
      </c>
      <c r="O24" s="6">
        <f ca="1" t="shared" si="3"/>
        <v>9.86666666666667</v>
      </c>
      <c r="P24" s="6"/>
      <c r="Q24" s="6"/>
    </row>
    <row r="25" s="21" customFormat="1" ht="20" customHeight="1" spans="1:17">
      <c r="A25" s="27">
        <v>46095</v>
      </c>
      <c r="B25" s="6">
        <v>11</v>
      </c>
      <c r="C25" s="28">
        <f ca="1">SUM(O25)/B25</f>
        <v>1.01060606060606</v>
      </c>
      <c r="D25" s="5" t="s">
        <v>185</v>
      </c>
      <c r="E25" s="5" t="s">
        <v>186</v>
      </c>
      <c r="F25" s="6">
        <v>51.1</v>
      </c>
      <c r="G25" s="5" t="s">
        <v>22</v>
      </c>
      <c r="H25" s="6">
        <f ca="1" t="array" ref="H25">INDEX(成本核算表!J:J,MATCH(1,(成本核算表!D:D=E25)*(成本核算表!C:C=G25),0))</f>
        <v>60</v>
      </c>
      <c r="I25" s="6">
        <v>547</v>
      </c>
      <c r="J25" s="6">
        <f ca="1" t="shared" si="0"/>
        <v>32820</v>
      </c>
      <c r="K25" s="6"/>
      <c r="L25" s="6">
        <v>7200</v>
      </c>
      <c r="M25" s="6">
        <f ca="1" t="shared" si="1"/>
        <v>0</v>
      </c>
      <c r="N25" s="6">
        <f ca="1" t="shared" si="2"/>
        <v>40020</v>
      </c>
      <c r="O25" s="6">
        <f ca="1" t="shared" si="3"/>
        <v>11.1166666666667</v>
      </c>
      <c r="P25" s="6"/>
      <c r="Q25" s="6"/>
    </row>
    <row r="26" s="21" customFormat="1" ht="20" customHeight="1" spans="1:17">
      <c r="A26" s="27">
        <v>46096</v>
      </c>
      <c r="B26" s="6">
        <v>9.5</v>
      </c>
      <c r="C26" s="28">
        <f ca="1">SUM(O26:O28)/B26</f>
        <v>1.27368421052632</v>
      </c>
      <c r="D26" s="5" t="s">
        <v>107</v>
      </c>
      <c r="E26" s="5" t="s">
        <v>108</v>
      </c>
      <c r="F26" s="6">
        <v>260</v>
      </c>
      <c r="G26" s="5" t="s">
        <v>24</v>
      </c>
      <c r="H26" s="6">
        <f ca="1" t="array" ref="H26">INDEX(成本核算表!J:J,MATCH(1,(成本核算表!D:D=E26)*(成本核算表!C:C=G26),0))</f>
        <v>50</v>
      </c>
      <c r="I26" s="6">
        <v>356</v>
      </c>
      <c r="J26" s="6">
        <f ca="1" t="shared" si="0"/>
        <v>17800</v>
      </c>
      <c r="K26" s="6">
        <v>8</v>
      </c>
      <c r="L26" s="6"/>
      <c r="M26" s="6">
        <f ca="1" t="shared" si="1"/>
        <v>400</v>
      </c>
      <c r="N26" s="6">
        <f ca="1" t="shared" si="2"/>
        <v>17400</v>
      </c>
      <c r="O26" s="6">
        <f ca="1" t="shared" si="3"/>
        <v>4.83333333333333</v>
      </c>
      <c r="P26" s="6"/>
      <c r="Q26" s="6"/>
    </row>
    <row r="27" s="21" customFormat="1" ht="20" customHeight="1" spans="1:17">
      <c r="A27" s="27">
        <v>46096</v>
      </c>
      <c r="B27" s="6"/>
      <c r="C27" s="28"/>
      <c r="D27" s="5" t="s">
        <v>107</v>
      </c>
      <c r="E27" s="5" t="s">
        <v>108</v>
      </c>
      <c r="F27" s="6">
        <v>260</v>
      </c>
      <c r="G27" s="5" t="s">
        <v>25</v>
      </c>
      <c r="H27" s="6">
        <f ca="1" t="array" ref="H27">INDEX(成本核算表!J:J,MATCH(1,(成本核算表!D:D=E27)*(成本核算表!C:C=G27),0))</f>
        <v>60</v>
      </c>
      <c r="I27" s="6">
        <v>380</v>
      </c>
      <c r="J27" s="6">
        <f ca="1" t="shared" si="0"/>
        <v>22800</v>
      </c>
      <c r="K27" s="6"/>
      <c r="L27" s="6"/>
      <c r="M27" s="6">
        <f ca="1" t="shared" si="1"/>
        <v>0</v>
      </c>
      <c r="N27" s="6">
        <f ca="1" t="shared" si="2"/>
        <v>22800</v>
      </c>
      <c r="O27" s="6">
        <f ca="1" t="shared" si="3"/>
        <v>6.33333333333333</v>
      </c>
      <c r="P27" s="6"/>
      <c r="Q27" s="6"/>
    </row>
    <row r="28" s="21" customFormat="1" ht="20" customHeight="1" spans="1:17">
      <c r="A28" s="27">
        <v>46096</v>
      </c>
      <c r="B28" s="6"/>
      <c r="C28" s="28"/>
      <c r="D28" s="5" t="s">
        <v>185</v>
      </c>
      <c r="E28" s="5" t="s">
        <v>186</v>
      </c>
      <c r="F28" s="6">
        <v>51.1</v>
      </c>
      <c r="G28" s="5" t="s">
        <v>22</v>
      </c>
      <c r="H28" s="6">
        <f ca="1" t="array" ref="H28">INDEX(成本核算表!J:J,MATCH(1,(成本核算表!D:D=E28)*(成本核算表!C:C=G28),0))</f>
        <v>60</v>
      </c>
      <c r="I28" s="6">
        <v>56</v>
      </c>
      <c r="J28" s="6">
        <f ca="1" t="shared" si="0"/>
        <v>3360</v>
      </c>
      <c r="K28" s="6"/>
      <c r="L28" s="6"/>
      <c r="M28" s="6">
        <f ca="1" t="shared" si="1"/>
        <v>0</v>
      </c>
      <c r="N28" s="6">
        <f ca="1" t="shared" si="2"/>
        <v>3360</v>
      </c>
      <c r="O28" s="6">
        <f ca="1" t="shared" si="3"/>
        <v>0.933333333333333</v>
      </c>
      <c r="P28" s="6"/>
      <c r="Q28" s="6"/>
    </row>
    <row r="29" s="21" customFormat="1" ht="20" customHeight="1" spans="1:17">
      <c r="A29" s="27">
        <v>46097</v>
      </c>
      <c r="B29" s="6">
        <v>11</v>
      </c>
      <c r="C29" s="28">
        <f ca="1" t="shared" ref="C29:C33" si="4">SUM(O29:O30)/B29</f>
        <v>1.0959595959596</v>
      </c>
      <c r="D29" s="5" t="s">
        <v>107</v>
      </c>
      <c r="E29" s="5" t="s">
        <v>108</v>
      </c>
      <c r="F29" s="6">
        <v>260</v>
      </c>
      <c r="G29" s="5" t="s">
        <v>24</v>
      </c>
      <c r="H29" s="6">
        <f ca="1" t="array" ref="H29">INDEX(成本核算表!J:J,MATCH(1,(成本核算表!D:D=E29)*(成本核算表!C:C=G29),0))</f>
        <v>50</v>
      </c>
      <c r="I29" s="6">
        <v>400</v>
      </c>
      <c r="J29" s="6">
        <f ca="1" t="shared" si="0"/>
        <v>20000</v>
      </c>
      <c r="K29" s="6"/>
      <c r="L29" s="6"/>
      <c r="M29" s="6">
        <f ca="1" t="shared" si="1"/>
        <v>0</v>
      </c>
      <c r="N29" s="6">
        <f ca="1" t="shared" si="2"/>
        <v>20000</v>
      </c>
      <c r="O29" s="6">
        <f ca="1" t="shared" si="3"/>
        <v>5.55555555555556</v>
      </c>
      <c r="P29" s="6"/>
      <c r="Q29" s="6"/>
    </row>
    <row r="30" s="21" customFormat="1" ht="20" customHeight="1" spans="1:17">
      <c r="A30" s="27">
        <v>46097</v>
      </c>
      <c r="B30" s="6"/>
      <c r="C30" s="28"/>
      <c r="D30" s="5" t="s">
        <v>107</v>
      </c>
      <c r="E30" s="5" t="s">
        <v>108</v>
      </c>
      <c r="F30" s="6">
        <v>260</v>
      </c>
      <c r="G30" s="5" t="s">
        <v>25</v>
      </c>
      <c r="H30" s="6">
        <f ca="1" t="array" ref="H30">INDEX(成本核算表!J:J,MATCH(1,(成本核算表!D:D=E30)*(成本核算表!C:C=G30),0))</f>
        <v>60</v>
      </c>
      <c r="I30" s="6">
        <v>390</v>
      </c>
      <c r="J30" s="6">
        <f ca="1" t="shared" si="0"/>
        <v>23400</v>
      </c>
      <c r="K30" s="6"/>
      <c r="L30" s="6"/>
      <c r="M30" s="6">
        <f ca="1" t="shared" si="1"/>
        <v>0</v>
      </c>
      <c r="N30" s="6">
        <f ca="1" t="shared" si="2"/>
        <v>23400</v>
      </c>
      <c r="O30" s="6">
        <f ca="1" t="shared" si="3"/>
        <v>6.5</v>
      </c>
      <c r="P30" s="6"/>
      <c r="Q30" s="6"/>
    </row>
    <row r="31" s="21" customFormat="1" ht="20" customHeight="1" spans="1:17">
      <c r="A31" s="27">
        <v>46098</v>
      </c>
      <c r="B31" s="6">
        <v>11</v>
      </c>
      <c r="C31" s="28">
        <f ca="1" t="shared" si="4"/>
        <v>1.11111111111111</v>
      </c>
      <c r="D31" s="5" t="s">
        <v>107</v>
      </c>
      <c r="E31" s="5" t="s">
        <v>108</v>
      </c>
      <c r="F31" s="6">
        <v>260</v>
      </c>
      <c r="G31" s="5" t="s">
        <v>24</v>
      </c>
      <c r="H31" s="6">
        <f ca="1" t="array" ref="H31">INDEX(成本核算表!J:J,MATCH(1,(成本核算表!D:D=E31)*(成本核算表!C:C=G31),0))</f>
        <v>50</v>
      </c>
      <c r="I31" s="6">
        <v>400</v>
      </c>
      <c r="J31" s="6">
        <f ca="1" t="shared" si="0"/>
        <v>20000</v>
      </c>
      <c r="K31" s="6"/>
      <c r="L31" s="6"/>
      <c r="M31" s="6">
        <f ca="1" t="shared" si="1"/>
        <v>0</v>
      </c>
      <c r="N31" s="6">
        <f ca="1" t="shared" si="2"/>
        <v>20000</v>
      </c>
      <c r="O31" s="6">
        <f ca="1" t="shared" si="3"/>
        <v>5.55555555555556</v>
      </c>
      <c r="P31" s="6"/>
      <c r="Q31" s="6"/>
    </row>
    <row r="32" s="21" customFormat="1" ht="20" customHeight="1" spans="1:17">
      <c r="A32" s="27">
        <v>46098</v>
      </c>
      <c r="B32" s="6"/>
      <c r="C32" s="28"/>
      <c r="D32" s="5" t="s">
        <v>107</v>
      </c>
      <c r="E32" s="5" t="s">
        <v>108</v>
      </c>
      <c r="F32" s="6">
        <v>260</v>
      </c>
      <c r="G32" s="5" t="s">
        <v>25</v>
      </c>
      <c r="H32" s="6">
        <f ca="1" t="array" ref="H32">INDEX(成本核算表!J:J,MATCH(1,(成本核算表!D:D=E32)*(成本核算表!C:C=G32),0))</f>
        <v>60</v>
      </c>
      <c r="I32" s="6">
        <v>400</v>
      </c>
      <c r="J32" s="6">
        <f ca="1" t="shared" si="0"/>
        <v>24000</v>
      </c>
      <c r="K32" s="6"/>
      <c r="L32" s="6"/>
      <c r="M32" s="6">
        <f ca="1" t="shared" si="1"/>
        <v>0</v>
      </c>
      <c r="N32" s="6">
        <f ca="1" t="shared" si="2"/>
        <v>24000</v>
      </c>
      <c r="O32" s="6">
        <f ca="1" t="shared" si="3"/>
        <v>6.66666666666667</v>
      </c>
      <c r="P32" s="6"/>
      <c r="Q32" s="6"/>
    </row>
    <row r="33" s="21" customFormat="1" ht="20" customHeight="1" spans="1:17">
      <c r="A33" s="27">
        <v>46099</v>
      </c>
      <c r="B33" s="6">
        <v>11</v>
      </c>
      <c r="C33" s="28">
        <f ca="1" t="shared" si="4"/>
        <v>0.893939393939394</v>
      </c>
      <c r="D33" s="5" t="s">
        <v>77</v>
      </c>
      <c r="E33" s="5" t="s">
        <v>78</v>
      </c>
      <c r="F33" s="6">
        <v>1960</v>
      </c>
      <c r="G33" s="5" t="s">
        <v>132</v>
      </c>
      <c r="H33" s="6">
        <f ca="1" t="array" ref="H33">INDEX(成本核算表!J:J,MATCH(1,(成本核算表!D:D=E33)*(成本核算表!C:C=G33),0))</f>
        <v>30</v>
      </c>
      <c r="I33" s="6">
        <v>200</v>
      </c>
      <c r="J33" s="6">
        <f ca="1" t="shared" si="0"/>
        <v>6000</v>
      </c>
      <c r="K33" s="6"/>
      <c r="L33" s="6">
        <v>14400</v>
      </c>
      <c r="M33" s="6">
        <f ca="1" t="shared" si="1"/>
        <v>0</v>
      </c>
      <c r="N33" s="6">
        <f ca="1" t="shared" si="2"/>
        <v>20400</v>
      </c>
      <c r="O33" s="6">
        <f ca="1" t="shared" si="3"/>
        <v>5.66666666666667</v>
      </c>
      <c r="P33" s="6"/>
      <c r="Q33" s="5" t="s">
        <v>133</v>
      </c>
    </row>
    <row r="34" s="21" customFormat="1" ht="20" customHeight="1" spans="1:17">
      <c r="A34" s="27">
        <v>46099</v>
      </c>
      <c r="B34" s="6"/>
      <c r="C34" s="28"/>
      <c r="D34" s="5" t="s">
        <v>84</v>
      </c>
      <c r="E34" s="5" t="s">
        <v>78</v>
      </c>
      <c r="F34" s="6">
        <v>780</v>
      </c>
      <c r="G34" s="5" t="s">
        <v>132</v>
      </c>
      <c r="H34" s="6">
        <f ca="1" t="array" ref="H34">INDEX(成本核算表!J:J,MATCH(1,(成本核算表!D:D=E34)*(成本核算表!C:C=G34),0))</f>
        <v>30</v>
      </c>
      <c r="I34" s="6">
        <v>500</v>
      </c>
      <c r="J34" s="6">
        <f ca="1" t="shared" si="0"/>
        <v>15000</v>
      </c>
      <c r="K34" s="6"/>
      <c r="L34" s="6"/>
      <c r="M34" s="6">
        <f ca="1" t="shared" si="1"/>
        <v>0</v>
      </c>
      <c r="N34" s="6">
        <f ca="1" t="shared" si="2"/>
        <v>15000</v>
      </c>
      <c r="O34" s="6">
        <f ca="1" t="shared" si="3"/>
        <v>4.16666666666667</v>
      </c>
      <c r="P34" s="6"/>
      <c r="Q34" s="6"/>
    </row>
    <row r="35" s="21" customFormat="1" ht="20" customHeight="1" spans="1:17">
      <c r="A35" s="36">
        <v>46100</v>
      </c>
      <c r="B35" s="32">
        <v>11</v>
      </c>
      <c r="C35" s="38">
        <f ca="1">SUM(O35:O37)/B35</f>
        <v>1.0530303030303</v>
      </c>
      <c r="D35" s="5" t="s">
        <v>80</v>
      </c>
      <c r="E35" s="5" t="s">
        <v>78</v>
      </c>
      <c r="F35" s="37">
        <v>1960</v>
      </c>
      <c r="G35" s="5" t="s">
        <v>132</v>
      </c>
      <c r="H35" s="37">
        <f ca="1" t="array" ref="H35">INDEX(成本核算表!J:J,MATCH(1,(成本核算表!D:D=E35)*(成本核算表!C:C=G35),0))</f>
        <v>30</v>
      </c>
      <c r="I35" s="37">
        <v>400</v>
      </c>
      <c r="J35" s="37">
        <f ca="1" t="shared" si="0"/>
        <v>12000</v>
      </c>
      <c r="K35" s="6"/>
      <c r="L35" s="6">
        <v>14400</v>
      </c>
      <c r="M35" s="6">
        <f ca="1" t="shared" si="1"/>
        <v>0</v>
      </c>
      <c r="N35" s="6">
        <f ca="1" t="shared" si="2"/>
        <v>26400</v>
      </c>
      <c r="O35" s="6">
        <f ca="1" t="shared" si="3"/>
        <v>7.33333333333333</v>
      </c>
      <c r="P35" s="6"/>
      <c r="Q35" s="5" t="s">
        <v>133</v>
      </c>
    </row>
    <row r="36" s="21" customFormat="1" ht="20" customHeight="1" spans="1:17">
      <c r="A36" s="36">
        <v>46100</v>
      </c>
      <c r="B36" s="32"/>
      <c r="C36" s="33"/>
      <c r="D36" s="5" t="s">
        <v>77</v>
      </c>
      <c r="E36" s="5" t="s">
        <v>78</v>
      </c>
      <c r="F36" s="37">
        <v>1960</v>
      </c>
      <c r="G36" s="5" t="s">
        <v>132</v>
      </c>
      <c r="H36" s="37">
        <f ca="1" t="array" ref="H36">INDEX(成本核算表!J:J,MATCH(1,(成本核算表!D:D=E36)*(成本核算表!C:C=G36),0))</f>
        <v>30</v>
      </c>
      <c r="I36" s="37">
        <v>400</v>
      </c>
      <c r="J36" s="37">
        <f ca="1" t="shared" si="0"/>
        <v>12000</v>
      </c>
      <c r="K36" s="6"/>
      <c r="L36" s="6"/>
      <c r="M36" s="6">
        <f ca="1" t="shared" si="1"/>
        <v>0</v>
      </c>
      <c r="N36" s="6">
        <f ca="1" t="shared" si="2"/>
        <v>12000</v>
      </c>
      <c r="O36" s="6">
        <f ca="1" t="shared" si="3"/>
        <v>3.33333333333333</v>
      </c>
      <c r="P36" s="6"/>
      <c r="Q36" s="6"/>
    </row>
    <row r="37" s="21" customFormat="1" ht="20" customHeight="1" spans="1:17">
      <c r="A37" s="36">
        <v>46100</v>
      </c>
      <c r="B37" s="32"/>
      <c r="C37" s="33"/>
      <c r="D37" s="5" t="s">
        <v>84</v>
      </c>
      <c r="E37" s="5" t="s">
        <v>78</v>
      </c>
      <c r="F37" s="37">
        <v>780</v>
      </c>
      <c r="G37" s="5" t="s">
        <v>132</v>
      </c>
      <c r="H37" s="37">
        <f ca="1" t="array" ref="H37">INDEX(成本核算表!J:J,MATCH(1,(成本核算表!D:D=E37)*(成本核算表!C:C=G37),0))</f>
        <v>30</v>
      </c>
      <c r="I37" s="37">
        <v>110</v>
      </c>
      <c r="J37" s="37">
        <f ca="1" t="shared" si="0"/>
        <v>3300</v>
      </c>
      <c r="K37" s="6"/>
      <c r="L37" s="6"/>
      <c r="M37" s="6">
        <f ca="1" t="shared" si="1"/>
        <v>0</v>
      </c>
      <c r="N37" s="6">
        <f ca="1" t="shared" si="2"/>
        <v>3300</v>
      </c>
      <c r="O37" s="6">
        <f ca="1" t="shared" si="3"/>
        <v>0.916666666666667</v>
      </c>
      <c r="P37" s="6"/>
      <c r="Q37" s="6"/>
    </row>
    <row r="38" s="21" customFormat="1" ht="20" customHeight="1" spans="1:17">
      <c r="A38" s="27">
        <v>46101</v>
      </c>
      <c r="B38" s="6">
        <v>11</v>
      </c>
      <c r="C38" s="38">
        <f ca="1">SUM(O38:O41)/B38</f>
        <v>1.06060606060606</v>
      </c>
      <c r="D38" s="5" t="s">
        <v>235</v>
      </c>
      <c r="E38" s="5" t="s">
        <v>78</v>
      </c>
      <c r="F38" s="37">
        <v>780</v>
      </c>
      <c r="G38" s="5" t="s">
        <v>132</v>
      </c>
      <c r="H38" s="6">
        <f ca="1" t="array" ref="H38">INDEX(成本核算表!J:J,MATCH(1,(成本核算表!D:D=E38)*(成本核算表!C:C=G38),0))</f>
        <v>30</v>
      </c>
      <c r="I38" s="6">
        <v>240</v>
      </c>
      <c r="J38" s="6">
        <f ca="1" t="shared" si="0"/>
        <v>7200</v>
      </c>
      <c r="K38" s="6"/>
      <c r="L38" s="6">
        <v>10800</v>
      </c>
      <c r="M38" s="6">
        <f ca="1" t="shared" si="1"/>
        <v>0</v>
      </c>
      <c r="N38" s="6">
        <f ca="1" t="shared" si="2"/>
        <v>18000</v>
      </c>
      <c r="O38" s="6">
        <f ca="1" t="shared" si="3"/>
        <v>5</v>
      </c>
      <c r="P38" s="6"/>
      <c r="Q38" s="5" t="s">
        <v>236</v>
      </c>
    </row>
    <row r="39" s="21" customFormat="1" ht="20" customHeight="1" spans="1:17">
      <c r="A39" s="27">
        <v>46101</v>
      </c>
      <c r="B39" s="6"/>
      <c r="C39" s="28"/>
      <c r="D39" s="5" t="s">
        <v>237</v>
      </c>
      <c r="E39" s="5" t="s">
        <v>78</v>
      </c>
      <c r="F39" s="37">
        <v>780</v>
      </c>
      <c r="G39" s="5" t="s">
        <v>132</v>
      </c>
      <c r="H39" s="6">
        <f ca="1" t="array" ref="H39">INDEX(成本核算表!J:J,MATCH(1,(成本核算表!D:D=E39)*(成本核算表!C:C=G39),0))</f>
        <v>30</v>
      </c>
      <c r="I39" s="6">
        <v>200</v>
      </c>
      <c r="J39" s="6">
        <f ca="1" t="shared" si="0"/>
        <v>6000</v>
      </c>
      <c r="K39" s="6"/>
      <c r="L39" s="6"/>
      <c r="M39" s="6">
        <f ca="1" t="shared" si="1"/>
        <v>0</v>
      </c>
      <c r="N39" s="6">
        <f ca="1" t="shared" si="2"/>
        <v>6000</v>
      </c>
      <c r="O39" s="6">
        <f ca="1" t="shared" si="3"/>
        <v>1.66666666666667</v>
      </c>
      <c r="P39" s="6"/>
      <c r="Q39" s="6"/>
    </row>
    <row r="40" s="21" customFormat="1" ht="20" customHeight="1" spans="1:17">
      <c r="A40" s="27">
        <v>46101</v>
      </c>
      <c r="B40" s="23"/>
      <c r="C40" s="24"/>
      <c r="D40" s="5" t="s">
        <v>123</v>
      </c>
      <c r="E40" s="5" t="s">
        <v>78</v>
      </c>
      <c r="F40" s="37">
        <v>1960</v>
      </c>
      <c r="G40" s="5" t="s">
        <v>132</v>
      </c>
      <c r="H40" s="6">
        <f ca="1" t="array" ref="H40">INDEX(成本核算表!J:J,MATCH(1,(成本核算表!D:D=E40)*(成本核算表!C:C=G40),0))</f>
        <v>30</v>
      </c>
      <c r="I40" s="6">
        <v>300</v>
      </c>
      <c r="J40" s="6">
        <f ca="1" t="shared" si="0"/>
        <v>9000</v>
      </c>
      <c r="K40" s="23"/>
      <c r="L40" s="23"/>
      <c r="M40" s="6">
        <f ca="1" t="shared" si="1"/>
        <v>0</v>
      </c>
      <c r="N40" s="6">
        <f ca="1" t="shared" si="2"/>
        <v>9000</v>
      </c>
      <c r="O40" s="6">
        <f ca="1" t="shared" si="3"/>
        <v>2.5</v>
      </c>
    </row>
    <row r="41" s="21" customFormat="1" ht="20" customHeight="1" spans="1:17">
      <c r="A41" s="27">
        <v>46101</v>
      </c>
      <c r="B41" s="23"/>
      <c r="C41" s="24"/>
      <c r="D41" s="5" t="s">
        <v>124</v>
      </c>
      <c r="E41" s="5" t="s">
        <v>78</v>
      </c>
      <c r="F41" s="37">
        <v>1960</v>
      </c>
      <c r="G41" s="5" t="s">
        <v>132</v>
      </c>
      <c r="H41" s="6">
        <f ca="1" t="array" ref="H41">INDEX(成本核算表!J:J,MATCH(1,(成本核算表!D:D=E41)*(成本核算表!C:C=G41),0))</f>
        <v>30</v>
      </c>
      <c r="I41" s="6">
        <v>300</v>
      </c>
      <c r="J41" s="6">
        <f ca="1" t="shared" si="0"/>
        <v>9000</v>
      </c>
      <c r="K41" s="23"/>
      <c r="L41" s="23"/>
      <c r="M41" s="6">
        <f ca="1" t="shared" si="1"/>
        <v>0</v>
      </c>
      <c r="N41" s="6">
        <f ca="1" t="shared" si="2"/>
        <v>9000</v>
      </c>
      <c r="O41" s="6">
        <f ca="1" t="shared" si="3"/>
        <v>2.5</v>
      </c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0"/>
        <v>0</v>
      </c>
      <c r="K42" s="23"/>
      <c r="L42" s="23"/>
      <c r="M42" s="6">
        <f ca="1" t="shared" si="1"/>
        <v>0</v>
      </c>
      <c r="N42" s="6">
        <f ca="1" t="shared" si="2"/>
        <v>0</v>
      </c>
      <c r="O42" s="6">
        <f ca="1" t="shared" si="3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0"/>
        <v>0</v>
      </c>
      <c r="K43" s="23"/>
      <c r="L43" s="23"/>
      <c r="M43" s="6">
        <f ca="1" t="shared" si="1"/>
        <v>0</v>
      </c>
      <c r="N43" s="6">
        <f ca="1" t="shared" si="2"/>
        <v>0</v>
      </c>
      <c r="O43" s="6">
        <f ca="1" t="shared" si="3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0"/>
        <v>0</v>
      </c>
      <c r="K44" s="23"/>
      <c r="L44" s="23"/>
      <c r="M44" s="6">
        <f ca="1" t="shared" si="1"/>
        <v>0</v>
      </c>
      <c r="N44" s="6">
        <f ca="1" t="shared" si="2"/>
        <v>0</v>
      </c>
      <c r="O44" s="6">
        <f ca="1" t="shared" si="3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0"/>
        <v>0</v>
      </c>
      <c r="K45" s="23"/>
      <c r="L45" s="23"/>
      <c r="M45" s="6">
        <f ca="1" t="shared" si="1"/>
        <v>0</v>
      </c>
      <c r="N45" s="6">
        <f ca="1" t="shared" si="2"/>
        <v>0</v>
      </c>
      <c r="O45" s="6">
        <f ca="1" t="shared" si="3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0"/>
        <v>0</v>
      </c>
      <c r="K46" s="23"/>
      <c r="L46" s="23"/>
      <c r="M46" s="6">
        <f ca="1" t="shared" si="1"/>
        <v>0</v>
      </c>
      <c r="N46" s="6">
        <f ca="1" t="shared" si="2"/>
        <v>0</v>
      </c>
      <c r="O46" s="6">
        <f ca="1" t="shared" si="3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0"/>
        <v>0</v>
      </c>
      <c r="K47" s="23"/>
      <c r="L47" s="23"/>
      <c r="M47" s="6">
        <f ca="1" t="shared" si="1"/>
        <v>0</v>
      </c>
      <c r="N47" s="6">
        <f ca="1" t="shared" si="2"/>
        <v>0</v>
      </c>
      <c r="O47" s="6">
        <f ca="1" t="shared" si="3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0"/>
        <v>0</v>
      </c>
      <c r="K48" s="23"/>
      <c r="L48" s="23"/>
      <c r="M48" s="6">
        <f ca="1" t="shared" si="1"/>
        <v>0</v>
      </c>
      <c r="N48" s="6">
        <f ca="1" t="shared" si="2"/>
        <v>0</v>
      </c>
      <c r="O48" s="6">
        <f ca="1" t="shared" si="3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0"/>
        <v>0</v>
      </c>
      <c r="K49" s="23"/>
      <c r="L49" s="23"/>
      <c r="M49" s="6">
        <f ca="1" t="shared" si="1"/>
        <v>0</v>
      </c>
      <c r="N49" s="6">
        <f ca="1" t="shared" si="2"/>
        <v>0</v>
      </c>
      <c r="O49" s="6">
        <f ca="1" t="shared" si="3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0"/>
        <v>0</v>
      </c>
      <c r="K50" s="23"/>
      <c r="L50" s="23"/>
      <c r="M50" s="6">
        <f ca="1" t="shared" si="1"/>
        <v>0</v>
      </c>
      <c r="N50" s="6">
        <f ca="1" t="shared" si="2"/>
        <v>0</v>
      </c>
      <c r="O50" s="6">
        <f ca="1" t="shared" si="3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0"/>
        <v>0</v>
      </c>
      <c r="K51" s="23"/>
      <c r="L51" s="23"/>
      <c r="M51" s="6">
        <f ca="1" t="shared" si="1"/>
        <v>0</v>
      </c>
      <c r="N51" s="6">
        <f ca="1" t="shared" si="2"/>
        <v>0</v>
      </c>
      <c r="O51" s="6">
        <f ca="1" t="shared" si="3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0"/>
        <v>0</v>
      </c>
      <c r="K52" s="23"/>
      <c r="L52" s="23"/>
      <c r="M52" s="6">
        <f ca="1" t="shared" si="1"/>
        <v>0</v>
      </c>
      <c r="N52" s="6">
        <f ca="1" t="shared" si="2"/>
        <v>0</v>
      </c>
      <c r="O52" s="6">
        <f ca="1" t="shared" si="3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0"/>
        <v>0</v>
      </c>
      <c r="K53" s="23"/>
      <c r="L53" s="23"/>
      <c r="M53" s="6">
        <f ca="1" t="shared" si="1"/>
        <v>0</v>
      </c>
      <c r="N53" s="6">
        <f ca="1" t="shared" si="2"/>
        <v>0</v>
      </c>
      <c r="O53" s="6">
        <f ca="1" t="shared" si="3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0"/>
        <v>0</v>
      </c>
      <c r="K54" s="23"/>
      <c r="L54" s="23"/>
      <c r="M54" s="6">
        <f ca="1" t="shared" si="1"/>
        <v>0</v>
      </c>
      <c r="N54" s="6">
        <f ca="1" t="shared" si="2"/>
        <v>0</v>
      </c>
      <c r="O54" s="6">
        <f ca="1" t="shared" si="3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0"/>
        <v>0</v>
      </c>
      <c r="K55" s="23"/>
      <c r="L55" s="23"/>
      <c r="M55" s="6">
        <f ca="1" t="shared" si="1"/>
        <v>0</v>
      </c>
      <c r="N55" s="6">
        <f ca="1" t="shared" si="2"/>
        <v>0</v>
      </c>
      <c r="O55" s="6">
        <f ca="1" t="shared" si="3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0"/>
        <v>0</v>
      </c>
      <c r="K56" s="23"/>
      <c r="L56" s="23"/>
      <c r="M56" s="6">
        <f ca="1" t="shared" si="1"/>
        <v>0</v>
      </c>
      <c r="N56" s="6">
        <f ca="1" t="shared" si="2"/>
        <v>0</v>
      </c>
      <c r="O56" s="6">
        <f ca="1" t="shared" si="3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0"/>
        <v>0</v>
      </c>
      <c r="K57" s="23"/>
      <c r="L57" s="23"/>
      <c r="M57" s="6">
        <f ca="1" t="shared" si="1"/>
        <v>0</v>
      </c>
      <c r="N57" s="6">
        <f ca="1" t="shared" si="2"/>
        <v>0</v>
      </c>
      <c r="O57" s="6">
        <f ca="1" t="shared" si="3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0"/>
        <v>0</v>
      </c>
      <c r="K58" s="23"/>
      <c r="L58" s="23"/>
      <c r="M58" s="6">
        <f ca="1" t="shared" si="1"/>
        <v>0</v>
      </c>
      <c r="N58" s="6">
        <f ca="1" t="shared" si="2"/>
        <v>0</v>
      </c>
      <c r="O58" s="6">
        <f ca="1" t="shared" si="3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0"/>
        <v>0</v>
      </c>
      <c r="K59" s="23"/>
      <c r="L59" s="23"/>
      <c r="M59" s="6">
        <f ca="1" t="shared" si="1"/>
        <v>0</v>
      </c>
      <c r="N59" s="6">
        <f ca="1" t="shared" si="2"/>
        <v>0</v>
      </c>
      <c r="O59" s="6">
        <f ca="1" t="shared" si="3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0"/>
        <v>0</v>
      </c>
      <c r="K60" s="23"/>
      <c r="L60" s="23"/>
      <c r="M60" s="6">
        <f ca="1" t="shared" si="1"/>
        <v>0</v>
      </c>
      <c r="N60" s="6">
        <f ca="1" t="shared" si="2"/>
        <v>0</v>
      </c>
      <c r="O60" s="6">
        <f ca="1" t="shared" si="3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0"/>
        <v>0</v>
      </c>
      <c r="K61" s="23"/>
      <c r="L61" s="23"/>
      <c r="M61" s="6">
        <f ca="1" t="shared" si="1"/>
        <v>0</v>
      </c>
      <c r="N61" s="6">
        <f ca="1" t="shared" si="2"/>
        <v>0</v>
      </c>
      <c r="O61" s="6">
        <f ca="1" t="shared" si="3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0"/>
        <v>0</v>
      </c>
      <c r="K62" s="23"/>
      <c r="L62" s="23"/>
      <c r="M62" s="6">
        <f ca="1" t="shared" si="1"/>
        <v>0</v>
      </c>
      <c r="N62" s="6">
        <f ca="1" t="shared" si="2"/>
        <v>0</v>
      </c>
      <c r="O62" s="6">
        <f ca="1" t="shared" si="3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0"/>
        <v>0</v>
      </c>
      <c r="K63" s="23"/>
      <c r="L63" s="23"/>
      <c r="M63" s="6">
        <f ca="1" t="shared" si="1"/>
        <v>0</v>
      </c>
      <c r="N63" s="6">
        <f ca="1" t="shared" si="2"/>
        <v>0</v>
      </c>
      <c r="O63" s="6">
        <f ca="1" t="shared" si="3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0"/>
        <v>0</v>
      </c>
      <c r="K64" s="23"/>
      <c r="L64" s="23"/>
      <c r="M64" s="6">
        <f ca="1" t="shared" si="1"/>
        <v>0</v>
      </c>
      <c r="N64" s="6">
        <f ca="1" t="shared" si="2"/>
        <v>0</v>
      </c>
      <c r="O64" s="6">
        <f ca="1" t="shared" si="3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0"/>
        <v>0</v>
      </c>
      <c r="K65" s="23"/>
      <c r="L65" s="23"/>
      <c r="M65" s="6">
        <f ca="1" t="shared" si="1"/>
        <v>0</v>
      </c>
      <c r="N65" s="6">
        <f ca="1" t="shared" si="2"/>
        <v>0</v>
      </c>
      <c r="O65" s="6">
        <f ca="1" t="shared" si="3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99" si="5">H66*I66</f>
        <v>0</v>
      </c>
      <c r="K66" s="23"/>
      <c r="L66" s="23"/>
      <c r="M66" s="6">
        <f ca="1" t="shared" ref="M66:M99" si="6">K66*H66</f>
        <v>0</v>
      </c>
      <c r="N66" s="6">
        <f ca="1" t="shared" ref="N66:N99" si="7">J66-M66+L66</f>
        <v>0</v>
      </c>
      <c r="O66" s="6">
        <f ca="1" t="shared" ref="O66:O99" si="8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5"/>
        <v>0</v>
      </c>
      <c r="K67" s="23"/>
      <c r="L67" s="23"/>
      <c r="M67" s="6">
        <f ca="1" t="shared" si="6"/>
        <v>0</v>
      </c>
      <c r="N67" s="6">
        <f ca="1" t="shared" si="7"/>
        <v>0</v>
      </c>
      <c r="O67" s="6">
        <f ca="1" t="shared" si="8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5"/>
        <v>0</v>
      </c>
      <c r="K68" s="23"/>
      <c r="L68" s="23"/>
      <c r="M68" s="6">
        <f ca="1" t="shared" si="6"/>
        <v>0</v>
      </c>
      <c r="N68" s="6">
        <f ca="1" t="shared" si="7"/>
        <v>0</v>
      </c>
      <c r="O68" s="6">
        <f ca="1" t="shared" si="8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5"/>
        <v>0</v>
      </c>
      <c r="K69" s="23"/>
      <c r="L69" s="23"/>
      <c r="M69" s="6">
        <f ca="1" t="shared" si="6"/>
        <v>0</v>
      </c>
      <c r="N69" s="6">
        <f ca="1" t="shared" si="7"/>
        <v>0</v>
      </c>
      <c r="O69" s="6">
        <f ca="1" t="shared" si="8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5"/>
        <v>0</v>
      </c>
      <c r="K70" s="23"/>
      <c r="L70" s="23"/>
      <c r="M70" s="6">
        <f ca="1" t="shared" si="6"/>
        <v>0</v>
      </c>
      <c r="N70" s="6">
        <f ca="1" t="shared" si="7"/>
        <v>0</v>
      </c>
      <c r="O70" s="6">
        <f ca="1" t="shared" si="8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5"/>
        <v>0</v>
      </c>
      <c r="K71" s="23"/>
      <c r="L71" s="23"/>
      <c r="M71" s="6">
        <f ca="1" t="shared" si="6"/>
        <v>0</v>
      </c>
      <c r="N71" s="6">
        <f ca="1" t="shared" si="7"/>
        <v>0</v>
      </c>
      <c r="O71" s="6">
        <f ca="1" t="shared" si="8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5"/>
        <v>0</v>
      </c>
      <c r="K72" s="23"/>
      <c r="L72" s="23"/>
      <c r="M72" s="6">
        <f ca="1" t="shared" si="6"/>
        <v>0</v>
      </c>
      <c r="N72" s="6">
        <f ca="1" t="shared" si="7"/>
        <v>0</v>
      </c>
      <c r="O72" s="6">
        <f ca="1" t="shared" si="8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5"/>
        <v>0</v>
      </c>
      <c r="K73" s="23"/>
      <c r="L73" s="23"/>
      <c r="M73" s="6">
        <f ca="1" t="shared" si="6"/>
        <v>0</v>
      </c>
      <c r="N73" s="6">
        <f ca="1" t="shared" si="7"/>
        <v>0</v>
      </c>
      <c r="O73" s="6">
        <f ca="1" t="shared" si="8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5"/>
        <v>0</v>
      </c>
      <c r="K74" s="23"/>
      <c r="L74" s="23"/>
      <c r="M74" s="6">
        <f ca="1" t="shared" si="6"/>
        <v>0</v>
      </c>
      <c r="N74" s="6">
        <f ca="1" t="shared" si="7"/>
        <v>0</v>
      </c>
      <c r="O74" s="6">
        <f ca="1" t="shared" si="8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5"/>
        <v>0</v>
      </c>
      <c r="K75" s="23"/>
      <c r="L75" s="23"/>
      <c r="M75" s="6">
        <f ca="1" t="shared" si="6"/>
        <v>0</v>
      </c>
      <c r="N75" s="6">
        <f ca="1" t="shared" si="7"/>
        <v>0</v>
      </c>
      <c r="O75" s="6">
        <f ca="1" t="shared" si="8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5"/>
        <v>0</v>
      </c>
      <c r="K76" s="23"/>
      <c r="L76" s="23"/>
      <c r="M76" s="6">
        <f ca="1" t="shared" si="6"/>
        <v>0</v>
      </c>
      <c r="N76" s="6">
        <f ca="1" t="shared" si="7"/>
        <v>0</v>
      </c>
      <c r="O76" s="6">
        <f ca="1" t="shared" si="8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5"/>
        <v>0</v>
      </c>
      <c r="K77" s="23"/>
      <c r="L77" s="23"/>
      <c r="M77" s="6">
        <f ca="1" t="shared" si="6"/>
        <v>0</v>
      </c>
      <c r="N77" s="6">
        <f ca="1" t="shared" si="7"/>
        <v>0</v>
      </c>
      <c r="O77" s="6">
        <f ca="1" t="shared" si="8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5"/>
        <v>0</v>
      </c>
      <c r="K78" s="23"/>
      <c r="L78" s="23"/>
      <c r="M78" s="6">
        <f ca="1" t="shared" si="6"/>
        <v>0</v>
      </c>
      <c r="N78" s="6">
        <f ca="1" t="shared" si="7"/>
        <v>0</v>
      </c>
      <c r="O78" s="6">
        <f ca="1" t="shared" si="8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5"/>
        <v>0</v>
      </c>
      <c r="K79" s="23"/>
      <c r="L79" s="23"/>
      <c r="M79" s="6">
        <f ca="1" t="shared" si="6"/>
        <v>0</v>
      </c>
      <c r="N79" s="6">
        <f ca="1" t="shared" si="7"/>
        <v>0</v>
      </c>
      <c r="O79" s="6">
        <f ca="1" t="shared" si="8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5"/>
        <v>0</v>
      </c>
      <c r="K80" s="23"/>
      <c r="L80" s="23"/>
      <c r="M80" s="6">
        <f ca="1" t="shared" si="6"/>
        <v>0</v>
      </c>
      <c r="N80" s="6">
        <f ca="1" t="shared" si="7"/>
        <v>0</v>
      </c>
      <c r="O80" s="6">
        <f ca="1" t="shared" si="8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5"/>
        <v>0</v>
      </c>
      <c r="K81" s="23"/>
      <c r="L81" s="23"/>
      <c r="M81" s="6">
        <f ca="1" t="shared" si="6"/>
        <v>0</v>
      </c>
      <c r="N81" s="6">
        <f ca="1" t="shared" si="7"/>
        <v>0</v>
      </c>
      <c r="O81" s="6">
        <f ca="1" t="shared" si="8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5"/>
        <v>0</v>
      </c>
      <c r="K82" s="23"/>
      <c r="L82" s="23"/>
      <c r="M82" s="6">
        <f ca="1" t="shared" si="6"/>
        <v>0</v>
      </c>
      <c r="N82" s="6">
        <f ca="1" t="shared" si="7"/>
        <v>0</v>
      </c>
      <c r="O82" s="6">
        <f ca="1" t="shared" si="8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5"/>
        <v>0</v>
      </c>
      <c r="K83" s="23"/>
      <c r="L83" s="23"/>
      <c r="M83" s="6">
        <f ca="1" t="shared" si="6"/>
        <v>0</v>
      </c>
      <c r="N83" s="6">
        <f ca="1" t="shared" si="7"/>
        <v>0</v>
      </c>
      <c r="O83" s="6">
        <f ca="1" t="shared" si="8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5"/>
        <v>0</v>
      </c>
      <c r="K84" s="23"/>
      <c r="L84" s="23"/>
      <c r="M84" s="6">
        <f ca="1" t="shared" si="6"/>
        <v>0</v>
      </c>
      <c r="N84" s="6">
        <f ca="1" t="shared" si="7"/>
        <v>0</v>
      </c>
      <c r="O84" s="6">
        <f ca="1" t="shared" si="8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5"/>
        <v>0</v>
      </c>
      <c r="K85" s="23"/>
      <c r="L85" s="23"/>
      <c r="M85" s="6">
        <f ca="1" t="shared" si="6"/>
        <v>0</v>
      </c>
      <c r="N85" s="6">
        <f ca="1" t="shared" si="7"/>
        <v>0</v>
      </c>
      <c r="O85" s="6">
        <f ca="1" t="shared" si="8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5"/>
        <v>0</v>
      </c>
      <c r="K86" s="23"/>
      <c r="L86" s="23"/>
      <c r="M86" s="6">
        <f ca="1" t="shared" si="6"/>
        <v>0</v>
      </c>
      <c r="N86" s="6">
        <f ca="1" t="shared" si="7"/>
        <v>0</v>
      </c>
      <c r="O86" s="6">
        <f ca="1" t="shared" si="8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5"/>
        <v>0</v>
      </c>
      <c r="K87" s="23"/>
      <c r="L87" s="23"/>
      <c r="M87" s="6">
        <f ca="1" t="shared" si="6"/>
        <v>0</v>
      </c>
      <c r="N87" s="6">
        <f ca="1" t="shared" si="7"/>
        <v>0</v>
      </c>
      <c r="O87" s="6">
        <f ca="1" t="shared" si="8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5"/>
        <v>0</v>
      </c>
      <c r="K88" s="23"/>
      <c r="L88" s="23"/>
      <c r="M88" s="6">
        <f ca="1" t="shared" si="6"/>
        <v>0</v>
      </c>
      <c r="N88" s="6">
        <f ca="1" t="shared" si="7"/>
        <v>0</v>
      </c>
      <c r="O88" s="6">
        <f ca="1" t="shared" si="8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5"/>
        <v>0</v>
      </c>
      <c r="K89" s="23"/>
      <c r="L89" s="23"/>
      <c r="M89" s="6">
        <f ca="1" t="shared" si="6"/>
        <v>0</v>
      </c>
      <c r="N89" s="6">
        <f ca="1" t="shared" si="7"/>
        <v>0</v>
      </c>
      <c r="O89" s="6">
        <f ca="1" t="shared" si="8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5"/>
        <v>0</v>
      </c>
      <c r="K90" s="23"/>
      <c r="L90" s="23"/>
      <c r="M90" s="6">
        <f ca="1" t="shared" si="6"/>
        <v>0</v>
      </c>
      <c r="N90" s="6">
        <f ca="1" t="shared" si="7"/>
        <v>0</v>
      </c>
      <c r="O90" s="6">
        <f ca="1" t="shared" si="8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5"/>
        <v>0</v>
      </c>
      <c r="K91" s="23"/>
      <c r="L91" s="23"/>
      <c r="M91" s="6">
        <f ca="1" t="shared" si="6"/>
        <v>0</v>
      </c>
      <c r="N91" s="6">
        <f ca="1" t="shared" si="7"/>
        <v>0</v>
      </c>
      <c r="O91" s="6">
        <f ca="1" t="shared" si="8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5"/>
        <v>0</v>
      </c>
      <c r="K92" s="23"/>
      <c r="L92" s="23"/>
      <c r="M92" s="6">
        <f ca="1" t="shared" si="6"/>
        <v>0</v>
      </c>
      <c r="N92" s="6">
        <f ca="1" t="shared" si="7"/>
        <v>0</v>
      </c>
      <c r="O92" s="6">
        <f ca="1" t="shared" si="8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5"/>
        <v>0</v>
      </c>
      <c r="K93" s="23"/>
      <c r="L93" s="23"/>
      <c r="M93" s="6">
        <f ca="1" t="shared" si="6"/>
        <v>0</v>
      </c>
      <c r="N93" s="6">
        <f ca="1" t="shared" si="7"/>
        <v>0</v>
      </c>
      <c r="O93" s="6">
        <f ca="1" t="shared" si="8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5"/>
        <v>0</v>
      </c>
      <c r="K94" s="23"/>
      <c r="L94" s="23"/>
      <c r="M94" s="6">
        <f ca="1" t="shared" si="6"/>
        <v>0</v>
      </c>
      <c r="N94" s="6">
        <f ca="1" t="shared" si="7"/>
        <v>0</v>
      </c>
      <c r="O94" s="6">
        <f ca="1" t="shared" si="8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5"/>
        <v>0</v>
      </c>
      <c r="K95" s="23"/>
      <c r="L95" s="23"/>
      <c r="M95" s="6">
        <f ca="1" t="shared" si="6"/>
        <v>0</v>
      </c>
      <c r="N95" s="6">
        <f ca="1" t="shared" si="7"/>
        <v>0</v>
      </c>
      <c r="O95" s="6">
        <f ca="1" t="shared" si="8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5"/>
        <v>0</v>
      </c>
      <c r="K96" s="23"/>
      <c r="L96" s="23"/>
      <c r="M96" s="6">
        <f ca="1" t="shared" si="6"/>
        <v>0</v>
      </c>
      <c r="N96" s="6">
        <f ca="1" t="shared" si="7"/>
        <v>0</v>
      </c>
      <c r="O96" s="6">
        <f ca="1" t="shared" si="8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5"/>
        <v>0</v>
      </c>
      <c r="K97" s="23"/>
      <c r="L97" s="23"/>
      <c r="M97" s="6">
        <f ca="1" t="shared" si="6"/>
        <v>0</v>
      </c>
      <c r="N97" s="6">
        <f ca="1" t="shared" si="7"/>
        <v>0</v>
      </c>
      <c r="O97" s="6">
        <f ca="1" t="shared" si="8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5"/>
        <v>0</v>
      </c>
      <c r="K98" s="23"/>
      <c r="L98" s="23"/>
      <c r="M98" s="6">
        <f ca="1" t="shared" si="6"/>
        <v>0</v>
      </c>
      <c r="N98" s="6">
        <f ca="1" t="shared" si="7"/>
        <v>0</v>
      </c>
      <c r="O98" s="6">
        <f ca="1" t="shared" si="8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5"/>
        <v>0</v>
      </c>
      <c r="K99" s="23"/>
      <c r="L99" s="23"/>
      <c r="M99" s="6">
        <f ca="1" t="shared" si="6"/>
        <v>0</v>
      </c>
      <c r="N99" s="6">
        <f ca="1" t="shared" si="7"/>
        <v>0</v>
      </c>
      <c r="O99" s="6">
        <f ca="1" t="shared" si="8"/>
        <v>0</v>
      </c>
    </row>
    <row r="100" s="21" customFormat="1" customHeight="1" spans="1:15">
      <c r="A100" s="22"/>
      <c r="B100" s="23"/>
      <c r="C100" s="24"/>
      <c r="D100" s="23"/>
      <c r="E100" s="23"/>
      <c r="F100" s="23"/>
      <c r="G100" s="23"/>
      <c r="H100" s="25"/>
      <c r="I100" s="25"/>
      <c r="J100" s="23"/>
      <c r="K100" s="23"/>
      <c r="L100" s="23"/>
    </row>
    <row r="101" s="21" customFormat="1" customHeight="1" spans="1:15">
      <c r="A101" s="22"/>
      <c r="B101" s="23"/>
      <c r="C101" s="24"/>
      <c r="D101" s="23"/>
      <c r="E101" s="23"/>
      <c r="F101" s="23"/>
      <c r="G101" s="23"/>
      <c r="H101" s="25"/>
      <c r="I101" s="25"/>
      <c r="J101" s="23"/>
      <c r="K101" s="23"/>
      <c r="L101" s="23"/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  <row r="180" s="21" customFormat="1" customHeight="1" spans="1:12">
      <c r="A180" s="22"/>
      <c r="B180" s="23"/>
      <c r="C180" s="24"/>
      <c r="D180" s="23"/>
      <c r="E180" s="23"/>
      <c r="F180" s="23"/>
      <c r="G180" s="23"/>
      <c r="H180" s="25"/>
      <c r="I180" s="25"/>
      <c r="J180" s="23"/>
      <c r="K180" s="23"/>
      <c r="L180" s="23"/>
    </row>
    <row r="181" s="21" customFormat="1" customHeight="1" spans="1:12">
      <c r="A181" s="22"/>
      <c r="B181" s="23"/>
      <c r="C181" s="24"/>
      <c r="D181" s="23"/>
      <c r="E181" s="23"/>
      <c r="F181" s="23"/>
      <c r="G181" s="23"/>
      <c r="H181" s="25"/>
      <c r="I181" s="25"/>
      <c r="J181" s="23"/>
      <c r="K181" s="23"/>
      <c r="L181" s="23"/>
    </row>
    <row r="182" s="21" customFormat="1" customHeight="1" spans="1:12">
      <c r="A182" s="22"/>
      <c r="B182" s="23"/>
      <c r="C182" s="24"/>
      <c r="D182" s="23"/>
      <c r="E182" s="23"/>
      <c r="F182" s="23"/>
      <c r="G182" s="23"/>
      <c r="H182" s="25"/>
      <c r="I182" s="25"/>
      <c r="J182" s="23"/>
      <c r="K182" s="23"/>
      <c r="L182" s="23"/>
    </row>
    <row r="183" s="21" customFormat="1" customHeight="1" spans="1:12">
      <c r="A183" s="22"/>
      <c r="B183" s="23"/>
      <c r="C183" s="24"/>
      <c r="D183" s="23"/>
      <c r="E183" s="23"/>
      <c r="F183" s="23"/>
      <c r="G183" s="23"/>
      <c r="H183" s="25"/>
      <c r="I183" s="25"/>
      <c r="J183" s="23"/>
      <c r="K183" s="23"/>
      <c r="L183" s="23"/>
    </row>
    <row r="184" s="21" customFormat="1" customHeight="1" spans="1:12">
      <c r="A184" s="22"/>
      <c r="B184" s="23"/>
      <c r="C184" s="24"/>
      <c r="D184" s="23"/>
      <c r="E184" s="23"/>
      <c r="F184" s="23"/>
      <c r="G184" s="23"/>
      <c r="H184" s="25"/>
      <c r="I184" s="25"/>
      <c r="J184" s="23"/>
      <c r="K184" s="23"/>
      <c r="L184" s="23"/>
    </row>
    <row r="185" s="21" customFormat="1" customHeight="1" spans="1:12">
      <c r="A185" s="22"/>
      <c r="B185" s="23"/>
      <c r="C185" s="24"/>
      <c r="D185" s="23"/>
      <c r="E185" s="23"/>
      <c r="F185" s="23"/>
      <c r="G185" s="23"/>
      <c r="H185" s="25"/>
      <c r="I185" s="25"/>
      <c r="J185" s="23"/>
      <c r="K185" s="23"/>
      <c r="L185" s="23"/>
    </row>
    <row r="186" s="21" customFormat="1" customHeight="1" spans="1:12">
      <c r="A186" s="22"/>
      <c r="B186" s="23"/>
      <c r="C186" s="24"/>
      <c r="D186" s="23"/>
      <c r="E186" s="23"/>
      <c r="F186" s="23"/>
      <c r="G186" s="23"/>
      <c r="H186" s="25"/>
      <c r="I186" s="25"/>
      <c r="J186" s="23"/>
      <c r="K186" s="23"/>
      <c r="L186" s="23"/>
    </row>
    <row r="187" s="21" customFormat="1" customHeight="1" spans="1:12">
      <c r="A187" s="22"/>
      <c r="B187" s="23"/>
      <c r="C187" s="24"/>
      <c r="D187" s="23"/>
      <c r="E187" s="23"/>
      <c r="F187" s="23"/>
      <c r="G187" s="23"/>
      <c r="H187" s="25"/>
      <c r="I187" s="25"/>
      <c r="J187" s="23"/>
      <c r="K187" s="23"/>
      <c r="L187" s="23"/>
    </row>
    <row r="188" s="21" customFormat="1" customHeight="1" spans="1:12">
      <c r="A188" s="22"/>
      <c r="B188" s="23"/>
      <c r="C188" s="24"/>
      <c r="D188" s="23"/>
      <c r="E188" s="23"/>
      <c r="F188" s="23"/>
      <c r="G188" s="23"/>
      <c r="H188" s="25"/>
      <c r="I188" s="25"/>
      <c r="J188" s="23"/>
      <c r="K188" s="23"/>
      <c r="L188" s="23"/>
    </row>
    <row r="189" s="21" customFormat="1" customHeight="1" spans="1:12">
      <c r="A189" s="22"/>
      <c r="B189" s="23"/>
      <c r="C189" s="24"/>
      <c r="D189" s="23"/>
      <c r="E189" s="23"/>
      <c r="F189" s="23"/>
      <c r="G189" s="23"/>
      <c r="H189" s="25"/>
      <c r="I189" s="25"/>
      <c r="J189" s="23"/>
      <c r="K189" s="23"/>
      <c r="L189" s="23"/>
    </row>
  </sheetData>
  <sheetCalcPr fullCalcOnLoad="1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5"/>
  <sheetViews>
    <sheetView workbookViewId="0">
      <pane ySplit="1" topLeftCell="A4" activePane="bottomLeft" state="frozen"/>
      <selection/>
      <selection pane="bottomLeft" activeCell="C4" sqref="C4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1" width="12.625" style="23"/>
    <col min="12" max="12" width="9" style="23"/>
    <col min="13" max="15" width="12.625" style="21"/>
    <col min="16" max="16" width="9" style="21"/>
    <col min="17" max="17" width="14" style="21" customWidth="1"/>
    <col min="18" max="16384" width="9" style="21"/>
  </cols>
  <sheetData>
    <row r="1" s="21" customFormat="1" ht="27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11"/>
      <c r="B2" s="11"/>
      <c r="C2" s="4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="21" customFormat="1" ht="20" customHeight="1" spans="1:17">
      <c r="A3" s="27">
        <v>46091</v>
      </c>
      <c r="B3" s="6">
        <v>11</v>
      </c>
      <c r="C3" s="28">
        <f ca="1">O3/B3</f>
        <v>0.468560606060606</v>
      </c>
      <c r="D3" s="5" t="s">
        <v>238</v>
      </c>
      <c r="E3" s="50" t="s">
        <v>239</v>
      </c>
      <c r="F3" s="6">
        <v>387</v>
      </c>
      <c r="G3" s="5" t="s">
        <v>61</v>
      </c>
      <c r="H3" s="6">
        <f ca="1" t="array" ref="H3">INDEX(成本核算表!J:J,MATCH(1,(成本核算表!D:D=E3)*(成本核算表!C:C=G3),0))</f>
        <v>15</v>
      </c>
      <c r="I3" s="6">
        <v>1245</v>
      </c>
      <c r="J3" s="6">
        <f ca="1" t="shared" ref="J3:J52" si="0">H3*I3</f>
        <v>18675</v>
      </c>
      <c r="K3" s="6">
        <v>8</v>
      </c>
      <c r="L3" s="6"/>
      <c r="M3" s="6">
        <f ca="1" t="shared" ref="M3:M52" si="1">K3*H3</f>
        <v>120</v>
      </c>
      <c r="N3" s="6">
        <f ca="1" t="shared" ref="N3:N52" si="2">J3-M3+L3</f>
        <v>18555</v>
      </c>
      <c r="O3" s="6">
        <f ca="1" t="shared" ref="O3:O52" si="3">N3/3600</f>
        <v>5.15416666666667</v>
      </c>
      <c r="P3" s="6"/>
      <c r="Q3" s="6"/>
    </row>
    <row r="4" s="21" customFormat="1" ht="20" customHeight="1" spans="1:17">
      <c r="A4" s="27">
        <v>46092</v>
      </c>
      <c r="B4" s="6">
        <v>11</v>
      </c>
      <c r="C4" s="28">
        <f ca="1">SUM(O4:O5)/B4</f>
        <v>0.184722222222222</v>
      </c>
      <c r="D4" s="5" t="s">
        <v>238</v>
      </c>
      <c r="E4" s="50" t="s">
        <v>239</v>
      </c>
      <c r="F4" s="6">
        <v>387</v>
      </c>
      <c r="G4" s="5" t="s">
        <v>61</v>
      </c>
      <c r="H4" s="6">
        <f ca="1" t="array" ref="H4">INDEX(成本核算表!J:J,MATCH(1,(成本核算表!D:D=E4)*(成本核算表!C:C=G4),0))</f>
        <v>15</v>
      </c>
      <c r="I4" s="6">
        <v>101</v>
      </c>
      <c r="J4" s="6">
        <f ca="1" t="shared" si="0"/>
        <v>1515</v>
      </c>
      <c r="K4" s="6"/>
      <c r="L4" s="6"/>
      <c r="M4" s="6">
        <f ca="1" t="shared" si="1"/>
        <v>0</v>
      </c>
      <c r="N4" s="6">
        <f ca="1" t="shared" si="2"/>
        <v>1515</v>
      </c>
      <c r="O4" s="6">
        <f ca="1" t="shared" si="3"/>
        <v>0.420833333333333</v>
      </c>
      <c r="P4" s="6"/>
      <c r="Q4" s="6"/>
    </row>
    <row r="5" s="21" customFormat="1" ht="20" customHeight="1" spans="1:17">
      <c r="A5" s="27">
        <v>46092</v>
      </c>
      <c r="B5" s="6"/>
      <c r="C5" s="28"/>
      <c r="D5" s="5" t="s">
        <v>85</v>
      </c>
      <c r="E5" s="5" t="s">
        <v>60</v>
      </c>
      <c r="F5" s="6">
        <v>1990</v>
      </c>
      <c r="G5" s="5" t="s">
        <v>61</v>
      </c>
      <c r="H5" s="6">
        <f ca="1" t="array" ref="H5">INDEX(成本核算表!J:J,MATCH(1,(成本核算表!D:D=E5)*(成本核算表!C:C=G5),0))</f>
        <v>25</v>
      </c>
      <c r="I5" s="6">
        <v>234</v>
      </c>
      <c r="J5" s="6">
        <f ca="1" t="shared" si="0"/>
        <v>5850</v>
      </c>
      <c r="K5" s="6">
        <v>2</v>
      </c>
      <c r="L5" s="6"/>
      <c r="M5" s="6">
        <f ca="1" t="shared" si="1"/>
        <v>50</v>
      </c>
      <c r="N5" s="6">
        <f ca="1" t="shared" si="2"/>
        <v>5800</v>
      </c>
      <c r="O5" s="6">
        <f ca="1" t="shared" si="3"/>
        <v>1.61111111111111</v>
      </c>
      <c r="P5" s="6"/>
      <c r="Q5" s="6"/>
    </row>
    <row r="6" s="21" customFormat="1" ht="20" customHeight="1" spans="1:17">
      <c r="A6" s="27">
        <v>46093</v>
      </c>
      <c r="B6" s="6">
        <v>11</v>
      </c>
      <c r="C6" s="28">
        <f ca="1">O6/B6</f>
        <v>0.455808080808081</v>
      </c>
      <c r="D6" s="5" t="s">
        <v>85</v>
      </c>
      <c r="E6" s="5" t="s">
        <v>60</v>
      </c>
      <c r="F6" s="6">
        <v>1990</v>
      </c>
      <c r="G6" s="5" t="s">
        <v>61</v>
      </c>
      <c r="H6" s="6">
        <f ca="1" t="array" ref="H6">INDEX(成本核算表!J:J,MATCH(1,(成本核算表!D:D=E6)*(成本核算表!C:C=G6),0))</f>
        <v>25</v>
      </c>
      <c r="I6" s="6">
        <f>206+88</f>
        <v>294</v>
      </c>
      <c r="J6" s="6">
        <f ca="1" t="shared" si="0"/>
        <v>7350</v>
      </c>
      <c r="K6" s="6">
        <v>4</v>
      </c>
      <c r="L6" s="6">
        <f>3*3600</f>
        <v>10800</v>
      </c>
      <c r="M6" s="6">
        <f ca="1" t="shared" si="1"/>
        <v>100</v>
      </c>
      <c r="N6" s="6">
        <f ca="1" t="shared" si="2"/>
        <v>18050</v>
      </c>
      <c r="O6" s="6">
        <f ca="1" t="shared" si="3"/>
        <v>5.01388888888889</v>
      </c>
      <c r="P6" s="6"/>
      <c r="Q6" s="6"/>
    </row>
    <row r="7" s="21" customFormat="1" ht="20" customHeight="1" spans="1:17">
      <c r="A7" s="6"/>
      <c r="B7" s="6"/>
      <c r="C7" s="28"/>
      <c r="D7" s="6"/>
      <c r="E7" s="6"/>
      <c r="F7" s="6"/>
      <c r="G7" s="6"/>
      <c r="H7" s="6">
        <f ca="1" t="array" ref="H7">INDEX(成本核算表!J:J,MATCH(1,(成本核算表!D:D=E7)*(成本核算表!C:C=G7),0))</f>
        <v>0</v>
      </c>
      <c r="I7" s="6"/>
      <c r="J7" s="6">
        <f ca="1" t="shared" si="0"/>
        <v>0</v>
      </c>
      <c r="K7" s="6"/>
      <c r="L7" s="6"/>
      <c r="M7" s="6">
        <f ca="1" t="shared" si="1"/>
        <v>0</v>
      </c>
      <c r="N7" s="6">
        <f ca="1" t="shared" si="2"/>
        <v>0</v>
      </c>
      <c r="O7" s="6">
        <f ca="1" t="shared" si="3"/>
        <v>0</v>
      </c>
      <c r="P7" s="6"/>
      <c r="Q7" s="6"/>
    </row>
    <row r="8" s="21" customFormat="1" ht="20" customHeight="1" spans="1:17">
      <c r="A8" s="6"/>
      <c r="B8" s="6"/>
      <c r="C8" s="28"/>
      <c r="D8" s="6"/>
      <c r="E8" s="6"/>
      <c r="F8" s="6"/>
      <c r="G8" s="6"/>
      <c r="H8" s="6">
        <f ca="1" t="array" ref="H8">INDEX(成本核算表!J:J,MATCH(1,(成本核算表!D:D=E8)*(成本核算表!C:C=G8),0))</f>
        <v>0</v>
      </c>
      <c r="I8" s="6"/>
      <c r="J8" s="6">
        <f ca="1" t="shared" si="0"/>
        <v>0</v>
      </c>
      <c r="K8" s="6"/>
      <c r="L8" s="6"/>
      <c r="M8" s="6">
        <f ca="1" t="shared" si="1"/>
        <v>0</v>
      </c>
      <c r="N8" s="6">
        <f ca="1" t="shared" si="2"/>
        <v>0</v>
      </c>
      <c r="O8" s="6">
        <f ca="1" t="shared" si="3"/>
        <v>0</v>
      </c>
      <c r="P8" s="6"/>
      <c r="Q8" s="6"/>
    </row>
    <row r="9" s="21" customFormat="1" ht="20" customHeight="1" spans="1:17">
      <c r="A9" s="6"/>
      <c r="B9" s="6"/>
      <c r="C9" s="28"/>
      <c r="D9" s="6"/>
      <c r="E9" s="6"/>
      <c r="F9" s="6"/>
      <c r="G9" s="6"/>
      <c r="H9" s="6">
        <f ca="1" t="array" ref="H9">INDEX(成本核算表!J:J,MATCH(1,(成本核算表!D:D=E9)*(成本核算表!C:C=G9),0))</f>
        <v>0</v>
      </c>
      <c r="I9" s="6"/>
      <c r="J9" s="6">
        <f ca="1" t="shared" si="0"/>
        <v>0</v>
      </c>
      <c r="K9" s="6"/>
      <c r="L9" s="6"/>
      <c r="M9" s="6">
        <f ca="1" t="shared" si="1"/>
        <v>0</v>
      </c>
      <c r="N9" s="6">
        <f ca="1" t="shared" si="2"/>
        <v>0</v>
      </c>
      <c r="O9" s="6">
        <f ca="1" t="shared" si="3"/>
        <v>0</v>
      </c>
      <c r="P9" s="6"/>
      <c r="Q9" s="6"/>
    </row>
    <row r="10" s="21" customFormat="1" ht="20" customHeight="1" spans="1:17">
      <c r="A10" s="6"/>
      <c r="B10" s="6"/>
      <c r="C10" s="28"/>
      <c r="D10" s="6"/>
      <c r="E10" s="6"/>
      <c r="F10" s="6"/>
      <c r="G10" s="6"/>
      <c r="H10" s="6"/>
      <c r="I10" s="6"/>
      <c r="J10" s="6">
        <f t="shared" si="0"/>
        <v>0</v>
      </c>
      <c r="K10" s="6"/>
      <c r="L10" s="6"/>
      <c r="M10" s="6">
        <f t="shared" si="1"/>
        <v>0</v>
      </c>
      <c r="N10" s="6">
        <f t="shared" si="2"/>
        <v>0</v>
      </c>
      <c r="O10" s="6">
        <f t="shared" si="3"/>
        <v>0</v>
      </c>
      <c r="P10" s="6"/>
      <c r="Q10" s="6"/>
    </row>
    <row r="11" s="21" customFormat="1" ht="20" customHeight="1" spans="1:17">
      <c r="A11" s="6"/>
      <c r="B11" s="6"/>
      <c r="C11" s="28"/>
      <c r="D11" s="6"/>
      <c r="E11" s="6"/>
      <c r="F11" s="6"/>
      <c r="G11" s="6"/>
      <c r="H11" s="6"/>
      <c r="I11" s="6"/>
      <c r="J11" s="6">
        <f t="shared" si="0"/>
        <v>0</v>
      </c>
      <c r="K11" s="6"/>
      <c r="L11" s="6"/>
      <c r="M11" s="6">
        <f t="shared" si="1"/>
        <v>0</v>
      </c>
      <c r="N11" s="6">
        <f t="shared" si="2"/>
        <v>0</v>
      </c>
      <c r="O11" s="6">
        <f t="shared" si="3"/>
        <v>0</v>
      </c>
      <c r="P11" s="6"/>
      <c r="Q11" s="6"/>
    </row>
    <row r="12" s="21" customFormat="1" ht="20" customHeight="1" spans="1:17">
      <c r="A12" s="6"/>
      <c r="B12" s="6"/>
      <c r="C12" s="28"/>
      <c r="D12" s="6"/>
      <c r="E12" s="6"/>
      <c r="F12" s="6"/>
      <c r="G12" s="6"/>
      <c r="H12" s="6"/>
      <c r="I12" s="6"/>
      <c r="J12" s="6">
        <f t="shared" si="0"/>
        <v>0</v>
      </c>
      <c r="K12" s="6"/>
      <c r="L12" s="6"/>
      <c r="M12" s="6">
        <f t="shared" si="1"/>
        <v>0</v>
      </c>
      <c r="N12" s="6">
        <f t="shared" si="2"/>
        <v>0</v>
      </c>
      <c r="O12" s="6">
        <f t="shared" si="3"/>
        <v>0</v>
      </c>
      <c r="P12" s="6"/>
      <c r="Q12" s="6"/>
    </row>
    <row r="13" s="21" customFormat="1" ht="20" customHeight="1" spans="1:17">
      <c r="A13" s="6"/>
      <c r="B13" s="6"/>
      <c r="C13" s="28"/>
      <c r="D13" s="6"/>
      <c r="E13" s="6"/>
      <c r="F13" s="6"/>
      <c r="G13" s="6"/>
      <c r="H13" s="6"/>
      <c r="I13" s="6"/>
      <c r="J13" s="6">
        <f t="shared" si="0"/>
        <v>0</v>
      </c>
      <c r="K13" s="6"/>
      <c r="L13" s="6"/>
      <c r="M13" s="6">
        <f t="shared" si="1"/>
        <v>0</v>
      </c>
      <c r="N13" s="6">
        <f t="shared" si="2"/>
        <v>0</v>
      </c>
      <c r="O13" s="6">
        <f t="shared" si="3"/>
        <v>0</v>
      </c>
      <c r="P13" s="6"/>
      <c r="Q13" s="6"/>
    </row>
    <row r="14" s="21" customFormat="1" ht="20" customHeight="1" spans="1:17">
      <c r="A14" s="6"/>
      <c r="B14" s="6"/>
      <c r="C14" s="28"/>
      <c r="D14" s="6"/>
      <c r="E14" s="6"/>
      <c r="F14" s="6"/>
      <c r="G14" s="6"/>
      <c r="H14" s="6"/>
      <c r="I14" s="6"/>
      <c r="J14" s="6">
        <f t="shared" si="0"/>
        <v>0</v>
      </c>
      <c r="K14" s="6"/>
      <c r="L14" s="6"/>
      <c r="M14" s="6">
        <f t="shared" si="1"/>
        <v>0</v>
      </c>
      <c r="N14" s="6">
        <f t="shared" si="2"/>
        <v>0</v>
      </c>
      <c r="O14" s="6">
        <f t="shared" si="3"/>
        <v>0</v>
      </c>
      <c r="P14" s="6"/>
      <c r="Q14" s="6"/>
    </row>
    <row r="15" s="21" customFormat="1" ht="20" customHeight="1" spans="1:17">
      <c r="A15" s="6"/>
      <c r="B15" s="6"/>
      <c r="C15" s="28"/>
      <c r="D15" s="6"/>
      <c r="E15" s="6"/>
      <c r="F15" s="6"/>
      <c r="G15" s="6"/>
      <c r="H15" s="6"/>
      <c r="I15" s="6"/>
      <c r="J15" s="6">
        <f t="shared" si="0"/>
        <v>0</v>
      </c>
      <c r="K15" s="6"/>
      <c r="L15" s="6"/>
      <c r="M15" s="6">
        <f t="shared" si="1"/>
        <v>0</v>
      </c>
      <c r="N15" s="6">
        <f t="shared" si="2"/>
        <v>0</v>
      </c>
      <c r="O15" s="6">
        <f t="shared" si="3"/>
        <v>0</v>
      </c>
      <c r="P15" s="6"/>
      <c r="Q15" s="6"/>
    </row>
    <row r="16" s="21" customFormat="1" ht="20" customHeight="1" spans="1:17">
      <c r="A16" s="6"/>
      <c r="B16" s="6"/>
      <c r="C16" s="28"/>
      <c r="D16" s="6"/>
      <c r="E16" s="6"/>
      <c r="F16" s="6"/>
      <c r="G16" s="6"/>
      <c r="H16" s="6"/>
      <c r="I16" s="6"/>
      <c r="J16" s="6">
        <f t="shared" si="0"/>
        <v>0</v>
      </c>
      <c r="K16" s="6"/>
      <c r="L16" s="6"/>
      <c r="M16" s="6">
        <f t="shared" si="1"/>
        <v>0</v>
      </c>
      <c r="N16" s="6">
        <f t="shared" si="2"/>
        <v>0</v>
      </c>
      <c r="O16" s="6">
        <f t="shared" si="3"/>
        <v>0</v>
      </c>
      <c r="P16" s="6"/>
      <c r="Q16" s="6"/>
    </row>
    <row r="17" s="21" customFormat="1" ht="20" customHeight="1" spans="1:17">
      <c r="A17" s="6"/>
      <c r="B17" s="6"/>
      <c r="C17" s="28"/>
      <c r="D17" s="6"/>
      <c r="E17" s="6"/>
      <c r="F17" s="6"/>
      <c r="G17" s="6"/>
      <c r="H17" s="6"/>
      <c r="I17" s="6"/>
      <c r="J17" s="6">
        <f t="shared" si="0"/>
        <v>0</v>
      </c>
      <c r="K17" s="6"/>
      <c r="L17" s="6"/>
      <c r="M17" s="6">
        <f t="shared" si="1"/>
        <v>0</v>
      </c>
      <c r="N17" s="6">
        <f t="shared" si="2"/>
        <v>0</v>
      </c>
      <c r="O17" s="6">
        <f t="shared" si="3"/>
        <v>0</v>
      </c>
      <c r="P17" s="6"/>
      <c r="Q17" s="6"/>
    </row>
    <row r="18" s="21" customFormat="1" ht="20" customHeight="1" spans="1:17">
      <c r="A18" s="6"/>
      <c r="B18" s="6"/>
      <c r="C18" s="28"/>
      <c r="D18" s="6"/>
      <c r="E18" s="6"/>
      <c r="F18" s="6"/>
      <c r="G18" s="6"/>
      <c r="H18" s="6"/>
      <c r="I18" s="6"/>
      <c r="J18" s="6">
        <f t="shared" si="0"/>
        <v>0</v>
      </c>
      <c r="K18" s="6"/>
      <c r="L18" s="6"/>
      <c r="M18" s="6">
        <f t="shared" si="1"/>
        <v>0</v>
      </c>
      <c r="N18" s="6">
        <f t="shared" si="2"/>
        <v>0</v>
      </c>
      <c r="O18" s="6">
        <f t="shared" si="3"/>
        <v>0</v>
      </c>
      <c r="P18" s="6"/>
      <c r="Q18" s="6"/>
    </row>
    <row r="19" s="21" customFormat="1" ht="20" customHeight="1" spans="1:17">
      <c r="A19" s="6"/>
      <c r="B19" s="6"/>
      <c r="C19" s="28"/>
      <c r="D19" s="6"/>
      <c r="E19" s="6"/>
      <c r="F19" s="6"/>
      <c r="G19" s="6"/>
      <c r="H19" s="6"/>
      <c r="I19" s="6"/>
      <c r="J19" s="6">
        <f t="shared" si="0"/>
        <v>0</v>
      </c>
      <c r="K19" s="6"/>
      <c r="L19" s="6"/>
      <c r="M19" s="6">
        <f t="shared" si="1"/>
        <v>0</v>
      </c>
      <c r="N19" s="6">
        <f t="shared" si="2"/>
        <v>0</v>
      </c>
      <c r="O19" s="6">
        <f t="shared" si="3"/>
        <v>0</v>
      </c>
      <c r="P19" s="6"/>
      <c r="Q19" s="6"/>
    </row>
    <row r="20" s="21" customFormat="1" ht="20" customHeight="1" spans="1:17">
      <c r="A20" s="6"/>
      <c r="B20" s="6"/>
      <c r="C20" s="28"/>
      <c r="D20" s="6"/>
      <c r="E20" s="6"/>
      <c r="F20" s="6"/>
      <c r="G20" s="6"/>
      <c r="H20" s="6"/>
      <c r="I20" s="6"/>
      <c r="J20" s="6">
        <f t="shared" si="0"/>
        <v>0</v>
      </c>
      <c r="K20" s="6"/>
      <c r="L20" s="6"/>
      <c r="M20" s="6">
        <f t="shared" si="1"/>
        <v>0</v>
      </c>
      <c r="N20" s="6">
        <f t="shared" si="2"/>
        <v>0</v>
      </c>
      <c r="O20" s="6">
        <f t="shared" si="3"/>
        <v>0</v>
      </c>
      <c r="P20" s="6"/>
      <c r="Q20" s="6"/>
    </row>
    <row r="21" s="21" customFormat="1" ht="20" customHeight="1" spans="1:17">
      <c r="A21" s="6"/>
      <c r="B21" s="6"/>
      <c r="C21" s="28"/>
      <c r="D21" s="6"/>
      <c r="E21" s="6"/>
      <c r="F21" s="6"/>
      <c r="G21" s="6"/>
      <c r="H21" s="6"/>
      <c r="I21" s="6"/>
      <c r="J21" s="6">
        <f t="shared" si="0"/>
        <v>0</v>
      </c>
      <c r="K21" s="6"/>
      <c r="L21" s="6"/>
      <c r="M21" s="6">
        <f t="shared" si="1"/>
        <v>0</v>
      </c>
      <c r="N21" s="6">
        <f t="shared" si="2"/>
        <v>0</v>
      </c>
      <c r="O21" s="6">
        <f t="shared" si="3"/>
        <v>0</v>
      </c>
      <c r="P21" s="6"/>
      <c r="Q21" s="6"/>
    </row>
    <row r="22" s="21" customFormat="1" ht="20" customHeight="1" spans="1:17">
      <c r="A22" s="6"/>
      <c r="B22" s="6"/>
      <c r="C22" s="28"/>
      <c r="D22" s="6"/>
      <c r="E22" s="6"/>
      <c r="F22" s="6"/>
      <c r="G22" s="6"/>
      <c r="H22" s="6"/>
      <c r="I22" s="6"/>
      <c r="J22" s="6">
        <f t="shared" si="0"/>
        <v>0</v>
      </c>
      <c r="K22" s="6"/>
      <c r="L22" s="6"/>
      <c r="M22" s="6">
        <f t="shared" si="1"/>
        <v>0</v>
      </c>
      <c r="N22" s="6">
        <f t="shared" si="2"/>
        <v>0</v>
      </c>
      <c r="O22" s="6">
        <f t="shared" si="3"/>
        <v>0</v>
      </c>
      <c r="P22" s="6"/>
      <c r="Q22" s="6"/>
    </row>
    <row r="23" s="21" customFormat="1" ht="20" customHeight="1" spans="1:17">
      <c r="A23" s="6"/>
      <c r="B23" s="6"/>
      <c r="C23" s="28"/>
      <c r="D23" s="6"/>
      <c r="E23" s="6"/>
      <c r="F23" s="6"/>
      <c r="G23" s="6"/>
      <c r="H23" s="6"/>
      <c r="I23" s="6"/>
      <c r="J23" s="6">
        <f t="shared" si="0"/>
        <v>0</v>
      </c>
      <c r="K23" s="6"/>
      <c r="L23" s="6"/>
      <c r="M23" s="6">
        <f t="shared" si="1"/>
        <v>0</v>
      </c>
      <c r="N23" s="6">
        <f t="shared" si="2"/>
        <v>0</v>
      </c>
      <c r="O23" s="6">
        <f t="shared" si="3"/>
        <v>0</v>
      </c>
      <c r="P23" s="6"/>
      <c r="Q23" s="6"/>
    </row>
    <row r="24" s="21" customFormat="1" ht="20" customHeight="1" spans="1:17">
      <c r="A24" s="6"/>
      <c r="B24" s="6"/>
      <c r="C24" s="28"/>
      <c r="D24" s="6"/>
      <c r="E24" s="6"/>
      <c r="F24" s="6"/>
      <c r="G24" s="6"/>
      <c r="H24" s="6"/>
      <c r="I24" s="6"/>
      <c r="J24" s="6">
        <f t="shared" si="0"/>
        <v>0</v>
      </c>
      <c r="K24" s="6"/>
      <c r="L24" s="6"/>
      <c r="M24" s="6">
        <f t="shared" si="1"/>
        <v>0</v>
      </c>
      <c r="N24" s="6">
        <f t="shared" si="2"/>
        <v>0</v>
      </c>
      <c r="O24" s="6">
        <f t="shared" si="3"/>
        <v>0</v>
      </c>
      <c r="P24" s="6"/>
      <c r="Q24" s="6"/>
    </row>
    <row r="25" s="21" customFormat="1" ht="20" customHeight="1" spans="1:17">
      <c r="A25" s="6"/>
      <c r="B25" s="6"/>
      <c r="C25" s="28"/>
      <c r="D25" s="6"/>
      <c r="E25" s="6"/>
      <c r="F25" s="6"/>
      <c r="G25" s="6"/>
      <c r="H25" s="6"/>
      <c r="I25" s="6"/>
      <c r="J25" s="6">
        <f t="shared" si="0"/>
        <v>0</v>
      </c>
      <c r="K25" s="6"/>
      <c r="L25" s="6"/>
      <c r="M25" s="6">
        <f t="shared" si="1"/>
        <v>0</v>
      </c>
      <c r="N25" s="6">
        <f t="shared" si="2"/>
        <v>0</v>
      </c>
      <c r="O25" s="6">
        <f t="shared" si="3"/>
        <v>0</v>
      </c>
      <c r="P25" s="6"/>
      <c r="Q25" s="6"/>
    </row>
    <row r="26" s="21" customFormat="1" ht="20" customHeight="1" spans="1:17">
      <c r="A26" s="22"/>
      <c r="B26" s="23"/>
      <c r="C26" s="24"/>
      <c r="D26" s="23"/>
      <c r="E26" s="23"/>
      <c r="F26" s="23"/>
      <c r="G26" s="23"/>
      <c r="H26" s="25"/>
      <c r="I26" s="25"/>
      <c r="J26" s="6">
        <f t="shared" si="0"/>
        <v>0</v>
      </c>
      <c r="K26" s="23"/>
      <c r="L26" s="23"/>
      <c r="M26" s="6">
        <f t="shared" si="1"/>
        <v>0</v>
      </c>
      <c r="N26" s="6">
        <f t="shared" si="2"/>
        <v>0</v>
      </c>
      <c r="O26" s="6">
        <f t="shared" si="3"/>
        <v>0</v>
      </c>
    </row>
    <row r="27" s="21" customFormat="1" ht="20" customHeight="1" spans="1:17">
      <c r="A27" s="22"/>
      <c r="B27" s="23"/>
      <c r="C27" s="24"/>
      <c r="D27" s="23"/>
      <c r="E27" s="23"/>
      <c r="F27" s="23"/>
      <c r="G27" s="23"/>
      <c r="H27" s="25"/>
      <c r="I27" s="25"/>
      <c r="J27" s="6">
        <f t="shared" si="0"/>
        <v>0</v>
      </c>
      <c r="K27" s="23"/>
      <c r="L27" s="23"/>
      <c r="M27" s="6">
        <f t="shared" si="1"/>
        <v>0</v>
      </c>
      <c r="N27" s="6">
        <f t="shared" si="2"/>
        <v>0</v>
      </c>
      <c r="O27" s="6">
        <f t="shared" si="3"/>
        <v>0</v>
      </c>
    </row>
    <row r="28" s="21" customFormat="1" ht="20" customHeight="1" spans="1:17">
      <c r="A28" s="22"/>
      <c r="B28" s="23"/>
      <c r="C28" s="24"/>
      <c r="D28" s="23"/>
      <c r="E28" s="23"/>
      <c r="F28" s="23"/>
      <c r="G28" s="23"/>
      <c r="H28" s="25"/>
      <c r="I28" s="25"/>
      <c r="J28" s="6">
        <f t="shared" si="0"/>
        <v>0</v>
      </c>
      <c r="K28" s="23"/>
      <c r="L28" s="23"/>
      <c r="M28" s="6">
        <f t="shared" si="1"/>
        <v>0</v>
      </c>
      <c r="N28" s="6">
        <f t="shared" si="2"/>
        <v>0</v>
      </c>
      <c r="O28" s="6">
        <f t="shared" si="3"/>
        <v>0</v>
      </c>
    </row>
    <row r="29" s="21" customFormat="1" ht="20" customHeight="1" spans="1:17">
      <c r="A29" s="22"/>
      <c r="B29" s="23"/>
      <c r="C29" s="24"/>
      <c r="D29" s="23"/>
      <c r="E29" s="23"/>
      <c r="F29" s="23"/>
      <c r="G29" s="23"/>
      <c r="H29" s="25"/>
      <c r="I29" s="25"/>
      <c r="J29" s="6">
        <f t="shared" si="0"/>
        <v>0</v>
      </c>
      <c r="K29" s="23"/>
      <c r="L29" s="23"/>
      <c r="M29" s="6">
        <f t="shared" si="1"/>
        <v>0</v>
      </c>
      <c r="N29" s="6">
        <f t="shared" si="2"/>
        <v>0</v>
      </c>
      <c r="O29" s="6">
        <f t="shared" si="3"/>
        <v>0</v>
      </c>
    </row>
    <row r="30" s="21" customFormat="1" ht="20" customHeight="1" spans="1:17">
      <c r="A30" s="22"/>
      <c r="B30" s="23"/>
      <c r="C30" s="24"/>
      <c r="D30" s="23"/>
      <c r="E30" s="23"/>
      <c r="F30" s="23"/>
      <c r="G30" s="23"/>
      <c r="H30" s="25"/>
      <c r="I30" s="25"/>
      <c r="J30" s="6">
        <f t="shared" si="0"/>
        <v>0</v>
      </c>
      <c r="K30" s="23"/>
      <c r="L30" s="23"/>
      <c r="M30" s="6">
        <f t="shared" si="1"/>
        <v>0</v>
      </c>
      <c r="N30" s="6">
        <f t="shared" si="2"/>
        <v>0</v>
      </c>
      <c r="O30" s="6">
        <f t="shared" si="3"/>
        <v>0</v>
      </c>
    </row>
    <row r="31" s="21" customFormat="1" ht="20" customHeight="1" spans="1:17">
      <c r="A31" s="22"/>
      <c r="B31" s="23"/>
      <c r="C31" s="24"/>
      <c r="D31" s="23"/>
      <c r="E31" s="23"/>
      <c r="F31" s="23"/>
      <c r="G31" s="23"/>
      <c r="H31" s="25"/>
      <c r="I31" s="25"/>
      <c r="J31" s="6">
        <f t="shared" si="0"/>
        <v>0</v>
      </c>
      <c r="K31" s="23"/>
      <c r="L31" s="23"/>
      <c r="M31" s="6">
        <f t="shared" si="1"/>
        <v>0</v>
      </c>
      <c r="N31" s="6">
        <f t="shared" si="2"/>
        <v>0</v>
      </c>
      <c r="O31" s="6">
        <f t="shared" si="3"/>
        <v>0</v>
      </c>
    </row>
    <row r="32" s="21" customFormat="1" ht="20" customHeight="1" spans="1:17">
      <c r="A32" s="22"/>
      <c r="B32" s="23"/>
      <c r="C32" s="24"/>
      <c r="D32" s="23"/>
      <c r="E32" s="23"/>
      <c r="F32" s="23"/>
      <c r="G32" s="23"/>
      <c r="H32" s="25"/>
      <c r="I32" s="25"/>
      <c r="J32" s="6">
        <f t="shared" si="0"/>
        <v>0</v>
      </c>
      <c r="K32" s="23"/>
      <c r="L32" s="23"/>
      <c r="M32" s="6">
        <f t="shared" si="1"/>
        <v>0</v>
      </c>
      <c r="N32" s="6">
        <f t="shared" si="2"/>
        <v>0</v>
      </c>
      <c r="O32" s="6">
        <f t="shared" si="3"/>
        <v>0</v>
      </c>
    </row>
    <row r="33" s="21" customFormat="1" ht="20" customHeight="1" spans="1:15">
      <c r="A33" s="22"/>
      <c r="B33" s="23"/>
      <c r="C33" s="24"/>
      <c r="D33" s="23"/>
      <c r="E33" s="23"/>
      <c r="F33" s="23"/>
      <c r="G33" s="23"/>
      <c r="H33" s="25"/>
      <c r="I33" s="25"/>
      <c r="J33" s="6">
        <f t="shared" si="0"/>
        <v>0</v>
      </c>
      <c r="K33" s="23"/>
      <c r="L33" s="23"/>
      <c r="M33" s="6">
        <f t="shared" si="1"/>
        <v>0</v>
      </c>
      <c r="N33" s="6">
        <f t="shared" si="2"/>
        <v>0</v>
      </c>
      <c r="O33" s="6">
        <f t="shared" si="3"/>
        <v>0</v>
      </c>
    </row>
    <row r="34" s="21" customFormat="1" ht="20" customHeight="1" spans="1:15">
      <c r="A34" s="22"/>
      <c r="B34" s="23"/>
      <c r="C34" s="24"/>
      <c r="D34" s="23"/>
      <c r="E34" s="23"/>
      <c r="F34" s="23"/>
      <c r="G34" s="23"/>
      <c r="H34" s="25"/>
      <c r="I34" s="25"/>
      <c r="J34" s="6">
        <f t="shared" si="0"/>
        <v>0</v>
      </c>
      <c r="K34" s="23"/>
      <c r="L34" s="23"/>
      <c r="M34" s="6">
        <f t="shared" si="1"/>
        <v>0</v>
      </c>
      <c r="N34" s="6">
        <f t="shared" si="2"/>
        <v>0</v>
      </c>
      <c r="O34" s="6">
        <f t="shared" si="3"/>
        <v>0</v>
      </c>
    </row>
    <row r="35" s="21" customFormat="1" ht="20" customHeight="1" spans="1:15">
      <c r="A35" s="22"/>
      <c r="B35" s="23"/>
      <c r="C35" s="24"/>
      <c r="D35" s="23"/>
      <c r="E35" s="23"/>
      <c r="F35" s="23"/>
      <c r="G35" s="23"/>
      <c r="H35" s="25"/>
      <c r="I35" s="25"/>
      <c r="J35" s="6">
        <f t="shared" si="0"/>
        <v>0</v>
      </c>
      <c r="K35" s="23"/>
      <c r="L35" s="23"/>
      <c r="M35" s="6">
        <f t="shared" si="1"/>
        <v>0</v>
      </c>
      <c r="N35" s="6">
        <f t="shared" si="2"/>
        <v>0</v>
      </c>
      <c r="O35" s="6">
        <f t="shared" si="3"/>
        <v>0</v>
      </c>
    </row>
    <row r="36" s="21" customFormat="1" ht="20" customHeight="1" spans="1:15">
      <c r="A36" s="22"/>
      <c r="B36" s="23"/>
      <c r="C36" s="24"/>
      <c r="D36" s="23"/>
      <c r="E36" s="23"/>
      <c r="F36" s="23"/>
      <c r="G36" s="23"/>
      <c r="H36" s="25"/>
      <c r="I36" s="25"/>
      <c r="J36" s="6">
        <f t="shared" si="0"/>
        <v>0</v>
      </c>
      <c r="K36" s="23"/>
      <c r="L36" s="23"/>
      <c r="M36" s="6">
        <f t="shared" si="1"/>
        <v>0</v>
      </c>
      <c r="N36" s="6">
        <f t="shared" si="2"/>
        <v>0</v>
      </c>
      <c r="O36" s="6">
        <f t="shared" si="3"/>
        <v>0</v>
      </c>
    </row>
    <row r="37" s="21" customFormat="1" ht="20" customHeight="1" spans="1:15">
      <c r="A37" s="22"/>
      <c r="B37" s="23"/>
      <c r="C37" s="24"/>
      <c r="D37" s="23"/>
      <c r="E37" s="23"/>
      <c r="F37" s="23"/>
      <c r="G37" s="23"/>
      <c r="H37" s="25"/>
      <c r="I37" s="25"/>
      <c r="J37" s="6">
        <f t="shared" si="0"/>
        <v>0</v>
      </c>
      <c r="K37" s="23"/>
      <c r="L37" s="23"/>
      <c r="M37" s="6">
        <f t="shared" si="1"/>
        <v>0</v>
      </c>
      <c r="N37" s="6">
        <f t="shared" si="2"/>
        <v>0</v>
      </c>
      <c r="O37" s="6">
        <f t="shared" si="3"/>
        <v>0</v>
      </c>
    </row>
    <row r="38" s="21" customFormat="1" ht="20" customHeight="1" spans="1:15">
      <c r="A38" s="22"/>
      <c r="B38" s="23"/>
      <c r="C38" s="24"/>
      <c r="D38" s="23"/>
      <c r="E38" s="23"/>
      <c r="F38" s="23"/>
      <c r="G38" s="23"/>
      <c r="H38" s="25"/>
      <c r="I38" s="25"/>
      <c r="J38" s="6">
        <f t="shared" si="0"/>
        <v>0</v>
      </c>
      <c r="K38" s="23"/>
      <c r="L38" s="23"/>
      <c r="M38" s="6">
        <f t="shared" si="1"/>
        <v>0</v>
      </c>
      <c r="N38" s="6">
        <f t="shared" si="2"/>
        <v>0</v>
      </c>
      <c r="O38" s="6">
        <f t="shared" si="3"/>
        <v>0</v>
      </c>
    </row>
    <row r="39" s="21" customFormat="1" ht="20" customHeight="1" spans="1:15">
      <c r="A39" s="22"/>
      <c r="B39" s="23"/>
      <c r="C39" s="24"/>
      <c r="D39" s="23"/>
      <c r="E39" s="23"/>
      <c r="F39" s="23"/>
      <c r="G39" s="23"/>
      <c r="H39" s="25"/>
      <c r="I39" s="25"/>
      <c r="J39" s="6">
        <f t="shared" si="0"/>
        <v>0</v>
      </c>
      <c r="K39" s="23"/>
      <c r="L39" s="23"/>
      <c r="M39" s="6">
        <f t="shared" si="1"/>
        <v>0</v>
      </c>
      <c r="N39" s="6">
        <f t="shared" si="2"/>
        <v>0</v>
      </c>
      <c r="O39" s="6">
        <f t="shared" si="3"/>
        <v>0</v>
      </c>
    </row>
    <row r="40" s="21" customFormat="1" ht="20" customHeight="1" spans="1:15">
      <c r="A40" s="22"/>
      <c r="B40" s="23"/>
      <c r="C40" s="24"/>
      <c r="D40" s="23"/>
      <c r="E40" s="23"/>
      <c r="F40" s="23"/>
      <c r="G40" s="23"/>
      <c r="H40" s="25"/>
      <c r="I40" s="25"/>
      <c r="J40" s="6">
        <f t="shared" si="0"/>
        <v>0</v>
      </c>
      <c r="K40" s="23"/>
      <c r="L40" s="23"/>
      <c r="M40" s="6">
        <f t="shared" si="1"/>
        <v>0</v>
      </c>
      <c r="N40" s="6">
        <f t="shared" si="2"/>
        <v>0</v>
      </c>
      <c r="O40" s="6">
        <f t="shared" si="3"/>
        <v>0</v>
      </c>
    </row>
    <row r="41" s="21" customFormat="1" ht="20" customHeight="1" spans="1:15">
      <c r="A41" s="22"/>
      <c r="B41" s="23"/>
      <c r="C41" s="24"/>
      <c r="D41" s="23"/>
      <c r="E41" s="23"/>
      <c r="F41" s="23"/>
      <c r="G41" s="23"/>
      <c r="H41" s="25"/>
      <c r="I41" s="25"/>
      <c r="J41" s="6">
        <f t="shared" si="0"/>
        <v>0</v>
      </c>
      <c r="K41" s="23"/>
      <c r="L41" s="23"/>
      <c r="M41" s="6">
        <f t="shared" si="1"/>
        <v>0</v>
      </c>
      <c r="N41" s="6">
        <f t="shared" si="2"/>
        <v>0</v>
      </c>
      <c r="O41" s="6">
        <f t="shared" si="3"/>
        <v>0</v>
      </c>
    </row>
    <row r="42" s="21" customFormat="1" ht="20" customHeight="1" spans="1:15">
      <c r="A42" s="22"/>
      <c r="B42" s="23"/>
      <c r="C42" s="24"/>
      <c r="D42" s="23"/>
      <c r="E42" s="23"/>
      <c r="F42" s="23"/>
      <c r="G42" s="23"/>
      <c r="H42" s="25"/>
      <c r="I42" s="25"/>
      <c r="J42" s="6">
        <f t="shared" si="0"/>
        <v>0</v>
      </c>
      <c r="K42" s="23"/>
      <c r="L42" s="23"/>
      <c r="M42" s="6">
        <f t="shared" si="1"/>
        <v>0</v>
      </c>
      <c r="N42" s="6">
        <f t="shared" si="2"/>
        <v>0</v>
      </c>
      <c r="O42" s="6">
        <f t="shared" si="3"/>
        <v>0</v>
      </c>
    </row>
    <row r="43" s="21" customFormat="1" ht="20" customHeight="1" spans="1:15">
      <c r="A43" s="22"/>
      <c r="B43" s="23"/>
      <c r="C43" s="24"/>
      <c r="D43" s="23"/>
      <c r="E43" s="23"/>
      <c r="F43" s="23"/>
      <c r="G43" s="23"/>
      <c r="H43" s="25"/>
      <c r="I43" s="25"/>
      <c r="J43" s="6">
        <f t="shared" si="0"/>
        <v>0</v>
      </c>
      <c r="K43" s="23"/>
      <c r="L43" s="23"/>
      <c r="M43" s="6">
        <f t="shared" si="1"/>
        <v>0</v>
      </c>
      <c r="N43" s="6">
        <f t="shared" si="2"/>
        <v>0</v>
      </c>
      <c r="O43" s="6">
        <f t="shared" si="3"/>
        <v>0</v>
      </c>
    </row>
    <row r="44" s="21" customFormat="1" ht="20" customHeight="1" spans="1:15">
      <c r="A44" s="22"/>
      <c r="B44" s="23"/>
      <c r="C44" s="24"/>
      <c r="D44" s="23"/>
      <c r="E44" s="23"/>
      <c r="F44" s="23"/>
      <c r="G44" s="23"/>
      <c r="H44" s="25"/>
      <c r="I44" s="25"/>
      <c r="J44" s="6">
        <f t="shared" si="0"/>
        <v>0</v>
      </c>
      <c r="K44" s="23"/>
      <c r="L44" s="23"/>
      <c r="M44" s="6">
        <f t="shared" si="1"/>
        <v>0</v>
      </c>
      <c r="N44" s="6">
        <f t="shared" si="2"/>
        <v>0</v>
      </c>
      <c r="O44" s="6">
        <f t="shared" si="3"/>
        <v>0</v>
      </c>
    </row>
    <row r="45" s="21" customFormat="1" ht="20" customHeight="1" spans="1:15">
      <c r="A45" s="22"/>
      <c r="B45" s="23"/>
      <c r="C45" s="24"/>
      <c r="D45" s="23"/>
      <c r="E45" s="23"/>
      <c r="F45" s="23"/>
      <c r="G45" s="23"/>
      <c r="H45" s="25"/>
      <c r="I45" s="25"/>
      <c r="J45" s="6">
        <f t="shared" si="0"/>
        <v>0</v>
      </c>
      <c r="K45" s="23"/>
      <c r="L45" s="23"/>
      <c r="M45" s="6">
        <f t="shared" si="1"/>
        <v>0</v>
      </c>
      <c r="N45" s="6">
        <f t="shared" si="2"/>
        <v>0</v>
      </c>
      <c r="O45" s="6">
        <f t="shared" si="3"/>
        <v>0</v>
      </c>
    </row>
    <row r="46" s="21" customFormat="1" ht="20" customHeight="1" spans="1:15">
      <c r="A46" s="22"/>
      <c r="B46" s="23"/>
      <c r="C46" s="24"/>
      <c r="D46" s="23"/>
      <c r="E46" s="23"/>
      <c r="F46" s="23"/>
      <c r="G46" s="23"/>
      <c r="H46" s="25"/>
      <c r="I46" s="25"/>
      <c r="J46" s="6">
        <f t="shared" si="0"/>
        <v>0</v>
      </c>
      <c r="K46" s="23"/>
      <c r="L46" s="23"/>
      <c r="M46" s="6">
        <f t="shared" si="1"/>
        <v>0</v>
      </c>
      <c r="N46" s="6">
        <f t="shared" si="2"/>
        <v>0</v>
      </c>
      <c r="O46" s="6">
        <f t="shared" si="3"/>
        <v>0</v>
      </c>
    </row>
    <row r="47" s="21" customFormat="1" ht="20" customHeight="1" spans="1:15">
      <c r="A47" s="22"/>
      <c r="B47" s="23"/>
      <c r="C47" s="24"/>
      <c r="D47" s="23"/>
      <c r="E47" s="23"/>
      <c r="F47" s="23"/>
      <c r="G47" s="23"/>
      <c r="H47" s="25"/>
      <c r="I47" s="25"/>
      <c r="J47" s="6">
        <f t="shared" si="0"/>
        <v>0</v>
      </c>
      <c r="K47" s="23"/>
      <c r="L47" s="23"/>
      <c r="M47" s="6">
        <f t="shared" si="1"/>
        <v>0</v>
      </c>
      <c r="N47" s="6">
        <f t="shared" si="2"/>
        <v>0</v>
      </c>
      <c r="O47" s="6">
        <f t="shared" si="3"/>
        <v>0</v>
      </c>
    </row>
    <row r="48" s="21" customFormat="1" ht="20" customHeight="1" spans="1:15">
      <c r="A48" s="22"/>
      <c r="B48" s="23"/>
      <c r="C48" s="24"/>
      <c r="D48" s="23"/>
      <c r="E48" s="23"/>
      <c r="F48" s="23"/>
      <c r="G48" s="23"/>
      <c r="H48" s="25"/>
      <c r="I48" s="25"/>
      <c r="J48" s="6">
        <f t="shared" si="0"/>
        <v>0</v>
      </c>
      <c r="K48" s="23"/>
      <c r="L48" s="23"/>
      <c r="M48" s="6">
        <f t="shared" si="1"/>
        <v>0</v>
      </c>
      <c r="N48" s="6">
        <f t="shared" si="2"/>
        <v>0</v>
      </c>
      <c r="O48" s="6">
        <f t="shared" si="3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25"/>
      <c r="I49" s="25"/>
      <c r="J49" s="6">
        <f t="shared" si="0"/>
        <v>0</v>
      </c>
      <c r="K49" s="23"/>
      <c r="L49" s="23"/>
      <c r="M49" s="6">
        <f t="shared" si="1"/>
        <v>0</v>
      </c>
      <c r="N49" s="6">
        <f t="shared" si="2"/>
        <v>0</v>
      </c>
      <c r="O49" s="6">
        <f t="shared" si="3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25"/>
      <c r="I50" s="25"/>
      <c r="J50" s="6">
        <f t="shared" si="0"/>
        <v>0</v>
      </c>
      <c r="K50" s="23"/>
      <c r="L50" s="23"/>
      <c r="M50" s="6">
        <f t="shared" si="1"/>
        <v>0</v>
      </c>
      <c r="N50" s="6">
        <f t="shared" si="2"/>
        <v>0</v>
      </c>
      <c r="O50" s="6">
        <f t="shared" si="3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25"/>
      <c r="I51" s="25"/>
      <c r="J51" s="6">
        <f t="shared" si="0"/>
        <v>0</v>
      </c>
      <c r="K51" s="23"/>
      <c r="L51" s="23"/>
      <c r="M51" s="6">
        <f t="shared" si="1"/>
        <v>0</v>
      </c>
      <c r="N51" s="6">
        <f t="shared" si="2"/>
        <v>0</v>
      </c>
      <c r="O51" s="6">
        <f t="shared" si="3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25"/>
      <c r="I52" s="25"/>
      <c r="J52" s="6">
        <f t="shared" si="0"/>
        <v>0</v>
      </c>
      <c r="K52" s="23"/>
      <c r="L52" s="23"/>
      <c r="M52" s="6">
        <f t="shared" si="1"/>
        <v>0</v>
      </c>
      <c r="N52" s="6">
        <f t="shared" si="2"/>
        <v>0</v>
      </c>
      <c r="O52" s="6">
        <f t="shared" si="3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25"/>
      <c r="I53" s="25"/>
      <c r="J53" s="6">
        <f t="shared" ref="J53:J85" si="4">H53*I53</f>
        <v>0</v>
      </c>
      <c r="K53" s="23"/>
      <c r="L53" s="23"/>
      <c r="M53" s="6">
        <f t="shared" ref="M53:M85" si="5">K53*H53</f>
        <v>0</v>
      </c>
      <c r="N53" s="6">
        <f t="shared" ref="N53:N85" si="6">J53-M53+L53</f>
        <v>0</v>
      </c>
      <c r="O53" s="6">
        <f t="shared" ref="O53:O85" si="7">N53/3600</f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25"/>
      <c r="I54" s="25"/>
      <c r="J54" s="6">
        <f t="shared" si="4"/>
        <v>0</v>
      </c>
      <c r="K54" s="23"/>
      <c r="L54" s="23"/>
      <c r="M54" s="6">
        <f t="shared" si="5"/>
        <v>0</v>
      </c>
      <c r="N54" s="6">
        <f t="shared" si="6"/>
        <v>0</v>
      </c>
      <c r="O54" s="6">
        <f t="shared" si="7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25"/>
      <c r="I55" s="25"/>
      <c r="J55" s="6">
        <f t="shared" si="4"/>
        <v>0</v>
      </c>
      <c r="K55" s="23"/>
      <c r="L55" s="23"/>
      <c r="M55" s="6">
        <f t="shared" si="5"/>
        <v>0</v>
      </c>
      <c r="N55" s="6">
        <f t="shared" si="6"/>
        <v>0</v>
      </c>
      <c r="O55" s="6">
        <f t="shared" si="7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25"/>
      <c r="I56" s="25"/>
      <c r="J56" s="6">
        <f t="shared" si="4"/>
        <v>0</v>
      </c>
      <c r="K56" s="23"/>
      <c r="L56" s="23"/>
      <c r="M56" s="6">
        <f t="shared" si="5"/>
        <v>0</v>
      </c>
      <c r="N56" s="6">
        <f t="shared" si="6"/>
        <v>0</v>
      </c>
      <c r="O56" s="6">
        <f t="shared" si="7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25"/>
      <c r="I57" s="25"/>
      <c r="J57" s="6">
        <f t="shared" si="4"/>
        <v>0</v>
      </c>
      <c r="K57" s="23"/>
      <c r="L57" s="23"/>
      <c r="M57" s="6">
        <f t="shared" si="5"/>
        <v>0</v>
      </c>
      <c r="N57" s="6">
        <f t="shared" si="6"/>
        <v>0</v>
      </c>
      <c r="O57" s="6">
        <f t="shared" si="7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25"/>
      <c r="I58" s="25"/>
      <c r="J58" s="6">
        <f t="shared" si="4"/>
        <v>0</v>
      </c>
      <c r="K58" s="23"/>
      <c r="L58" s="23"/>
      <c r="M58" s="6">
        <f t="shared" si="5"/>
        <v>0</v>
      </c>
      <c r="N58" s="6">
        <f t="shared" si="6"/>
        <v>0</v>
      </c>
      <c r="O58" s="6">
        <f t="shared" si="7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25"/>
      <c r="I59" s="25"/>
      <c r="J59" s="6">
        <f t="shared" si="4"/>
        <v>0</v>
      </c>
      <c r="K59" s="23"/>
      <c r="L59" s="23"/>
      <c r="M59" s="6">
        <f t="shared" si="5"/>
        <v>0</v>
      </c>
      <c r="N59" s="6">
        <f t="shared" si="6"/>
        <v>0</v>
      </c>
      <c r="O59" s="6">
        <f t="shared" si="7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25"/>
      <c r="I60" s="25"/>
      <c r="J60" s="6">
        <f t="shared" si="4"/>
        <v>0</v>
      </c>
      <c r="K60" s="23"/>
      <c r="L60" s="23"/>
      <c r="M60" s="6">
        <f t="shared" si="5"/>
        <v>0</v>
      </c>
      <c r="N60" s="6">
        <f t="shared" si="6"/>
        <v>0</v>
      </c>
      <c r="O60" s="6">
        <f t="shared" si="7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25"/>
      <c r="I61" s="25"/>
      <c r="J61" s="6">
        <f t="shared" si="4"/>
        <v>0</v>
      </c>
      <c r="K61" s="23"/>
      <c r="L61" s="23"/>
      <c r="M61" s="6">
        <f t="shared" si="5"/>
        <v>0</v>
      </c>
      <c r="N61" s="6">
        <f t="shared" si="6"/>
        <v>0</v>
      </c>
      <c r="O61" s="6">
        <f t="shared" si="7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25"/>
      <c r="I62" s="25"/>
      <c r="J62" s="6">
        <f t="shared" si="4"/>
        <v>0</v>
      </c>
      <c r="K62" s="23"/>
      <c r="L62" s="23"/>
      <c r="M62" s="6">
        <f t="shared" si="5"/>
        <v>0</v>
      </c>
      <c r="N62" s="6">
        <f t="shared" si="6"/>
        <v>0</v>
      </c>
      <c r="O62" s="6">
        <f t="shared" si="7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25"/>
      <c r="I63" s="25"/>
      <c r="J63" s="6">
        <f t="shared" si="4"/>
        <v>0</v>
      </c>
      <c r="K63" s="23"/>
      <c r="L63" s="23"/>
      <c r="M63" s="6">
        <f t="shared" si="5"/>
        <v>0</v>
      </c>
      <c r="N63" s="6">
        <f t="shared" si="6"/>
        <v>0</v>
      </c>
      <c r="O63" s="6">
        <f t="shared" si="7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25"/>
      <c r="I64" s="25"/>
      <c r="J64" s="6">
        <f t="shared" si="4"/>
        <v>0</v>
      </c>
      <c r="K64" s="23"/>
      <c r="L64" s="23"/>
      <c r="M64" s="6">
        <f t="shared" si="5"/>
        <v>0</v>
      </c>
      <c r="N64" s="6">
        <f t="shared" si="6"/>
        <v>0</v>
      </c>
      <c r="O64" s="6">
        <f t="shared" si="7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25"/>
      <c r="I65" s="25"/>
      <c r="J65" s="6">
        <f t="shared" si="4"/>
        <v>0</v>
      </c>
      <c r="K65" s="23"/>
      <c r="L65" s="23"/>
      <c r="M65" s="6">
        <f t="shared" si="5"/>
        <v>0</v>
      </c>
      <c r="N65" s="6">
        <f t="shared" si="6"/>
        <v>0</v>
      </c>
      <c r="O65" s="6">
        <f t="shared" si="7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25"/>
      <c r="I66" s="25"/>
      <c r="J66" s="6">
        <f t="shared" si="4"/>
        <v>0</v>
      </c>
      <c r="K66" s="23"/>
      <c r="L66" s="23"/>
      <c r="M66" s="6">
        <f t="shared" si="5"/>
        <v>0</v>
      </c>
      <c r="N66" s="6">
        <f t="shared" si="6"/>
        <v>0</v>
      </c>
      <c r="O66" s="6">
        <f t="shared" si="7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25"/>
      <c r="I67" s="25"/>
      <c r="J67" s="6">
        <f t="shared" si="4"/>
        <v>0</v>
      </c>
      <c r="K67" s="23"/>
      <c r="L67" s="23"/>
      <c r="M67" s="6">
        <f t="shared" si="5"/>
        <v>0</v>
      </c>
      <c r="N67" s="6">
        <f t="shared" si="6"/>
        <v>0</v>
      </c>
      <c r="O67" s="6">
        <f t="shared" si="7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25"/>
      <c r="I68" s="25"/>
      <c r="J68" s="6">
        <f t="shared" si="4"/>
        <v>0</v>
      </c>
      <c r="K68" s="23"/>
      <c r="L68" s="23"/>
      <c r="M68" s="6">
        <f t="shared" si="5"/>
        <v>0</v>
      </c>
      <c r="N68" s="6">
        <f t="shared" si="6"/>
        <v>0</v>
      </c>
      <c r="O68" s="6">
        <f t="shared" si="7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25"/>
      <c r="I69" s="25"/>
      <c r="J69" s="6">
        <f t="shared" si="4"/>
        <v>0</v>
      </c>
      <c r="K69" s="23"/>
      <c r="L69" s="23"/>
      <c r="M69" s="6">
        <f t="shared" si="5"/>
        <v>0</v>
      </c>
      <c r="N69" s="6">
        <f t="shared" si="6"/>
        <v>0</v>
      </c>
      <c r="O69" s="6">
        <f t="shared" si="7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25"/>
      <c r="I70" s="25"/>
      <c r="J70" s="6">
        <f t="shared" si="4"/>
        <v>0</v>
      </c>
      <c r="K70" s="23"/>
      <c r="L70" s="23"/>
      <c r="M70" s="6">
        <f t="shared" si="5"/>
        <v>0</v>
      </c>
      <c r="N70" s="6">
        <f t="shared" si="6"/>
        <v>0</v>
      </c>
      <c r="O70" s="6">
        <f t="shared" si="7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25"/>
      <c r="I71" s="25"/>
      <c r="J71" s="6">
        <f t="shared" si="4"/>
        <v>0</v>
      </c>
      <c r="K71" s="23"/>
      <c r="L71" s="23"/>
      <c r="M71" s="6">
        <f t="shared" si="5"/>
        <v>0</v>
      </c>
      <c r="N71" s="6">
        <f t="shared" si="6"/>
        <v>0</v>
      </c>
      <c r="O71" s="6">
        <f t="shared" si="7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25"/>
      <c r="I72" s="25"/>
      <c r="J72" s="6">
        <f t="shared" si="4"/>
        <v>0</v>
      </c>
      <c r="K72" s="23"/>
      <c r="L72" s="23"/>
      <c r="M72" s="6">
        <f t="shared" si="5"/>
        <v>0</v>
      </c>
      <c r="N72" s="6">
        <f t="shared" si="6"/>
        <v>0</v>
      </c>
      <c r="O72" s="6">
        <f t="shared" si="7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25"/>
      <c r="I73" s="25"/>
      <c r="J73" s="6">
        <f t="shared" si="4"/>
        <v>0</v>
      </c>
      <c r="K73" s="23"/>
      <c r="L73" s="23"/>
      <c r="M73" s="6">
        <f t="shared" si="5"/>
        <v>0</v>
      </c>
      <c r="N73" s="6">
        <f t="shared" si="6"/>
        <v>0</v>
      </c>
      <c r="O73" s="6">
        <f t="shared" si="7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25"/>
      <c r="I74" s="25"/>
      <c r="J74" s="6">
        <f t="shared" si="4"/>
        <v>0</v>
      </c>
      <c r="K74" s="23"/>
      <c r="L74" s="23"/>
      <c r="M74" s="6">
        <f t="shared" si="5"/>
        <v>0</v>
      </c>
      <c r="N74" s="6">
        <f t="shared" si="6"/>
        <v>0</v>
      </c>
      <c r="O74" s="6">
        <f t="shared" si="7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25"/>
      <c r="I75" s="25"/>
      <c r="J75" s="6">
        <f t="shared" si="4"/>
        <v>0</v>
      </c>
      <c r="K75" s="23"/>
      <c r="L75" s="23"/>
      <c r="M75" s="6">
        <f t="shared" si="5"/>
        <v>0</v>
      </c>
      <c r="N75" s="6">
        <f t="shared" si="6"/>
        <v>0</v>
      </c>
      <c r="O75" s="6">
        <f t="shared" si="7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25"/>
      <c r="I76" s="25"/>
      <c r="J76" s="6">
        <f t="shared" si="4"/>
        <v>0</v>
      </c>
      <c r="K76" s="23"/>
      <c r="L76" s="23"/>
      <c r="M76" s="6">
        <f t="shared" si="5"/>
        <v>0</v>
      </c>
      <c r="N76" s="6">
        <f t="shared" si="6"/>
        <v>0</v>
      </c>
      <c r="O76" s="6">
        <f t="shared" si="7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25"/>
      <c r="I77" s="25"/>
      <c r="J77" s="6">
        <f t="shared" si="4"/>
        <v>0</v>
      </c>
      <c r="K77" s="23"/>
      <c r="L77" s="23"/>
      <c r="M77" s="6">
        <f t="shared" si="5"/>
        <v>0</v>
      </c>
      <c r="N77" s="6">
        <f t="shared" si="6"/>
        <v>0</v>
      </c>
      <c r="O77" s="6">
        <f t="shared" si="7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25"/>
      <c r="I78" s="25"/>
      <c r="J78" s="6">
        <f t="shared" si="4"/>
        <v>0</v>
      </c>
      <c r="K78" s="23"/>
      <c r="L78" s="23"/>
      <c r="M78" s="6">
        <f t="shared" si="5"/>
        <v>0</v>
      </c>
      <c r="N78" s="6">
        <f t="shared" si="6"/>
        <v>0</v>
      </c>
      <c r="O78" s="6">
        <f t="shared" si="7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25"/>
      <c r="I79" s="25"/>
      <c r="J79" s="6">
        <f t="shared" si="4"/>
        <v>0</v>
      </c>
      <c r="K79" s="23"/>
      <c r="L79" s="23"/>
      <c r="M79" s="6">
        <f t="shared" si="5"/>
        <v>0</v>
      </c>
      <c r="N79" s="6">
        <f t="shared" si="6"/>
        <v>0</v>
      </c>
      <c r="O79" s="6">
        <f t="shared" si="7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25"/>
      <c r="I80" s="25"/>
      <c r="J80" s="6">
        <f t="shared" si="4"/>
        <v>0</v>
      </c>
      <c r="K80" s="23"/>
      <c r="L80" s="23"/>
      <c r="M80" s="6">
        <f t="shared" si="5"/>
        <v>0</v>
      </c>
      <c r="N80" s="6">
        <f t="shared" si="6"/>
        <v>0</v>
      </c>
      <c r="O80" s="6">
        <f t="shared" si="7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25"/>
      <c r="I81" s="25"/>
      <c r="J81" s="6">
        <f t="shared" si="4"/>
        <v>0</v>
      </c>
      <c r="K81" s="23"/>
      <c r="L81" s="23"/>
      <c r="M81" s="6">
        <f t="shared" si="5"/>
        <v>0</v>
      </c>
      <c r="N81" s="6">
        <f t="shared" si="6"/>
        <v>0</v>
      </c>
      <c r="O81" s="6">
        <f t="shared" si="7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25"/>
      <c r="I82" s="25"/>
      <c r="J82" s="6">
        <f t="shared" si="4"/>
        <v>0</v>
      </c>
      <c r="K82" s="23"/>
      <c r="L82" s="23"/>
      <c r="M82" s="6">
        <f t="shared" si="5"/>
        <v>0</v>
      </c>
      <c r="N82" s="6">
        <f t="shared" si="6"/>
        <v>0</v>
      </c>
      <c r="O82" s="6">
        <f t="shared" si="7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25"/>
      <c r="I83" s="25"/>
      <c r="J83" s="6">
        <f t="shared" si="4"/>
        <v>0</v>
      </c>
      <c r="K83" s="23"/>
      <c r="L83" s="23"/>
      <c r="M83" s="6">
        <f t="shared" si="5"/>
        <v>0</v>
      </c>
      <c r="N83" s="6">
        <f t="shared" si="6"/>
        <v>0</v>
      </c>
      <c r="O83" s="6">
        <f t="shared" si="7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25"/>
      <c r="I84" s="25"/>
      <c r="J84" s="6">
        <f t="shared" si="4"/>
        <v>0</v>
      </c>
      <c r="K84" s="23"/>
      <c r="L84" s="23"/>
      <c r="M84" s="6">
        <f t="shared" si="5"/>
        <v>0</v>
      </c>
      <c r="N84" s="6">
        <f t="shared" si="6"/>
        <v>0</v>
      </c>
      <c r="O84" s="6">
        <f t="shared" si="7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25"/>
      <c r="I85" s="25"/>
      <c r="J85" s="6">
        <f t="shared" si="4"/>
        <v>0</v>
      </c>
      <c r="K85" s="23"/>
      <c r="L85" s="23"/>
      <c r="M85" s="6">
        <f t="shared" si="5"/>
        <v>0</v>
      </c>
      <c r="N85" s="6">
        <f t="shared" si="6"/>
        <v>0</v>
      </c>
      <c r="O85" s="6">
        <f t="shared" si="7"/>
        <v>0</v>
      </c>
    </row>
    <row r="86" s="21" customFormat="1" customHeight="1" spans="1:15">
      <c r="A86" s="22"/>
      <c r="B86" s="23"/>
      <c r="C86" s="24"/>
      <c r="D86" s="23"/>
      <c r="E86" s="23"/>
      <c r="F86" s="23"/>
      <c r="G86" s="23"/>
      <c r="H86" s="25"/>
      <c r="I86" s="25"/>
      <c r="J86" s="23"/>
      <c r="K86" s="23"/>
      <c r="L86" s="23"/>
    </row>
    <row r="87" s="21" customFormat="1" customHeight="1" spans="1:15">
      <c r="A87" s="22"/>
      <c r="B87" s="23"/>
      <c r="C87" s="24"/>
      <c r="D87" s="23"/>
      <c r="E87" s="23"/>
      <c r="F87" s="23"/>
      <c r="G87" s="23"/>
      <c r="H87" s="25"/>
      <c r="I87" s="25"/>
      <c r="J87" s="23"/>
      <c r="K87" s="23"/>
      <c r="L87" s="23"/>
    </row>
    <row r="88" s="21" customFormat="1" customHeight="1" spans="1:15">
      <c r="A88" s="22"/>
      <c r="B88" s="23"/>
      <c r="C88" s="24"/>
      <c r="D88" s="23"/>
      <c r="E88" s="23"/>
      <c r="F88" s="23"/>
      <c r="G88" s="23"/>
      <c r="H88" s="25"/>
      <c r="I88" s="25"/>
      <c r="J88" s="23"/>
      <c r="K88" s="23"/>
      <c r="L88" s="23"/>
    </row>
    <row r="89" s="21" customFormat="1" customHeight="1" spans="1:15">
      <c r="A89" s="22"/>
      <c r="B89" s="23"/>
      <c r="C89" s="24"/>
      <c r="D89" s="23"/>
      <c r="E89" s="23"/>
      <c r="F89" s="23"/>
      <c r="G89" s="23"/>
      <c r="H89" s="25"/>
      <c r="I89" s="25"/>
      <c r="J89" s="23"/>
      <c r="K89" s="23"/>
      <c r="L89" s="23"/>
    </row>
    <row r="90" s="21" customFormat="1" customHeight="1" spans="1:15">
      <c r="A90" s="22"/>
      <c r="B90" s="23"/>
      <c r="C90" s="24"/>
      <c r="D90" s="23"/>
      <c r="E90" s="23"/>
      <c r="F90" s="23"/>
      <c r="G90" s="23"/>
      <c r="H90" s="25"/>
      <c r="I90" s="25"/>
      <c r="J90" s="23"/>
      <c r="K90" s="23"/>
      <c r="L90" s="23"/>
    </row>
    <row r="91" s="21" customFormat="1" customHeight="1" spans="1:15">
      <c r="A91" s="22"/>
      <c r="B91" s="23"/>
      <c r="C91" s="24"/>
      <c r="D91" s="23"/>
      <c r="E91" s="23"/>
      <c r="F91" s="23"/>
      <c r="G91" s="23"/>
      <c r="H91" s="25"/>
      <c r="I91" s="25"/>
      <c r="J91" s="23"/>
      <c r="K91" s="23"/>
      <c r="L91" s="23"/>
    </row>
    <row r="92" s="21" customFormat="1" customHeight="1" spans="1:15">
      <c r="A92" s="22"/>
      <c r="B92" s="23"/>
      <c r="C92" s="24"/>
      <c r="D92" s="23"/>
      <c r="E92" s="23"/>
      <c r="F92" s="23"/>
      <c r="G92" s="23"/>
      <c r="H92" s="25"/>
      <c r="I92" s="25"/>
      <c r="J92" s="23"/>
      <c r="K92" s="23"/>
      <c r="L92" s="23"/>
    </row>
    <row r="93" s="21" customFormat="1" customHeight="1" spans="1:15">
      <c r="A93" s="22"/>
      <c r="B93" s="23"/>
      <c r="C93" s="24"/>
      <c r="D93" s="23"/>
      <c r="E93" s="23"/>
      <c r="F93" s="23"/>
      <c r="G93" s="23"/>
      <c r="H93" s="25"/>
      <c r="I93" s="25"/>
      <c r="J93" s="23"/>
      <c r="K93" s="23"/>
      <c r="L93" s="23"/>
    </row>
    <row r="94" s="21" customFormat="1" customHeight="1" spans="1:15">
      <c r="A94" s="22"/>
      <c r="B94" s="23"/>
      <c r="C94" s="24"/>
      <c r="D94" s="23"/>
      <c r="E94" s="23"/>
      <c r="F94" s="23"/>
      <c r="G94" s="23"/>
      <c r="H94" s="25"/>
      <c r="I94" s="25"/>
      <c r="J94" s="23"/>
      <c r="K94" s="23"/>
      <c r="L94" s="23"/>
    </row>
    <row r="95" s="21" customFormat="1" customHeight="1" spans="1:15">
      <c r="A95" s="22"/>
      <c r="B95" s="23"/>
      <c r="C95" s="24"/>
      <c r="D95" s="23"/>
      <c r="E95" s="23"/>
      <c r="F95" s="23"/>
      <c r="G95" s="23"/>
      <c r="H95" s="25"/>
      <c r="I95" s="25"/>
      <c r="J95" s="23"/>
      <c r="K95" s="23"/>
      <c r="L95" s="23"/>
    </row>
    <row r="96" s="21" customFormat="1" customHeight="1" spans="1:15">
      <c r="A96" s="22"/>
      <c r="B96" s="23"/>
      <c r="C96" s="24"/>
      <c r="D96" s="23"/>
      <c r="E96" s="23"/>
      <c r="F96" s="23"/>
      <c r="G96" s="23"/>
      <c r="H96" s="25"/>
      <c r="I96" s="25"/>
      <c r="J96" s="23"/>
      <c r="K96" s="23"/>
      <c r="L96" s="23"/>
    </row>
    <row r="97" s="21" customFormat="1" customHeight="1" spans="1:12">
      <c r="A97" s="22"/>
      <c r="B97" s="23"/>
      <c r="C97" s="24"/>
      <c r="D97" s="23"/>
      <c r="E97" s="23"/>
      <c r="F97" s="23"/>
      <c r="G97" s="23"/>
      <c r="H97" s="25"/>
      <c r="I97" s="25"/>
      <c r="J97" s="23"/>
      <c r="K97" s="23"/>
      <c r="L97" s="23"/>
    </row>
    <row r="98" s="21" customFormat="1" customHeight="1" spans="1:12">
      <c r="A98" s="22"/>
      <c r="B98" s="23"/>
      <c r="C98" s="24"/>
      <c r="D98" s="23"/>
      <c r="E98" s="23"/>
      <c r="F98" s="23"/>
      <c r="G98" s="23"/>
      <c r="H98" s="25"/>
      <c r="I98" s="25"/>
      <c r="J98" s="23"/>
      <c r="K98" s="23"/>
      <c r="L98" s="23"/>
    </row>
    <row r="99" s="21" customFormat="1" customHeight="1" spans="1:12">
      <c r="A99" s="22"/>
      <c r="B99" s="23"/>
      <c r="C99" s="24"/>
      <c r="D99" s="23"/>
      <c r="E99" s="23"/>
      <c r="F99" s="23"/>
      <c r="G99" s="23"/>
      <c r="H99" s="25"/>
      <c r="I99" s="25"/>
      <c r="J99" s="23"/>
      <c r="K99" s="23"/>
      <c r="L99" s="23"/>
    </row>
    <row r="100" s="21" customFormat="1" customHeight="1" spans="1:12">
      <c r="A100" s="22"/>
      <c r="B100" s="23"/>
      <c r="C100" s="24"/>
      <c r="D100" s="23"/>
      <c r="E100" s="23"/>
      <c r="F100" s="23"/>
      <c r="G100" s="23"/>
      <c r="H100" s="25"/>
      <c r="I100" s="25"/>
      <c r="J100" s="23"/>
      <c r="K100" s="23"/>
      <c r="L100" s="23"/>
    </row>
    <row r="101" s="21" customFormat="1" customHeight="1" spans="1:12">
      <c r="A101" s="22"/>
      <c r="B101" s="23"/>
      <c r="C101" s="24"/>
      <c r="D101" s="23"/>
      <c r="E101" s="23"/>
      <c r="F101" s="23"/>
      <c r="G101" s="23"/>
      <c r="H101" s="25"/>
      <c r="I101" s="25"/>
      <c r="J101" s="23"/>
      <c r="K101" s="23"/>
      <c r="L101" s="23"/>
    </row>
    <row r="102" s="21" customFormat="1" customHeight="1" spans="1:12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2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2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2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2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2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2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2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2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2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2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</sheetData>
  <sheetCalcPr fullCalcOnLoad="1"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6"/>
  <sheetViews>
    <sheetView workbookViewId="0">
      <pane ySplit="1" topLeftCell="A24" activePane="bottomLeft" state="frozen"/>
      <selection/>
      <selection pane="bottomLeft" activeCell="A24" sqref="A24:I25"/>
    </sheetView>
  </sheetViews>
  <sheetFormatPr defaultColWidth="9" defaultRowHeight="14.25" customHeight="1"/>
  <cols>
    <col min="1" max="1" width="9" style="22"/>
    <col min="2" max="2" width="15.625" style="23" customWidth="1"/>
    <col min="3" max="3" width="12.625" style="24" customWidth="1"/>
    <col min="4" max="5" width="14.125" style="23"/>
    <col min="6" max="6" width="9" style="23"/>
    <col min="7" max="7" width="14.125" style="25"/>
    <col min="8" max="8" width="11" style="25" customWidth="1"/>
    <col min="9" max="9" width="9.875" style="23" customWidth="1"/>
    <col min="10" max="11" width="9" style="23"/>
    <col min="12" max="14" width="9" style="21"/>
    <col min="15" max="15" width="12.625" style="21"/>
    <col min="16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13.5" spans="1:17">
      <c r="A2" s="11"/>
      <c r="B2" s="11"/>
      <c r="C2" s="26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="21" customFormat="1" ht="13.5" spans="1:17">
      <c r="A3" s="11"/>
      <c r="B3" s="11"/>
      <c r="C3" s="2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="21" customFormat="1" ht="13.5" spans="1:17">
      <c r="A4" s="11"/>
      <c r="B4" s="11"/>
      <c r="C4" s="2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="21" customFormat="1" ht="13.5" spans="1:17">
      <c r="A5" s="11"/>
      <c r="B5" s="11"/>
      <c r="C5" s="2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="21" customFormat="1" ht="13.5" spans="1:17">
      <c r="A6" s="11"/>
      <c r="B6" s="11"/>
      <c r="C6" s="26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="21" customFormat="1" ht="13.5" spans="1:17">
      <c r="A7" s="11"/>
      <c r="B7" s="11"/>
      <c r="C7" s="2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="21" customFormat="1" ht="13.5" spans="1:17">
      <c r="A8" s="11"/>
      <c r="B8" s="11"/>
      <c r="C8" s="2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="21" customFormat="1" ht="20" customHeight="1" spans="1:17">
      <c r="A9" s="27">
        <v>46089</v>
      </c>
      <c r="B9" s="6">
        <v>9.5</v>
      </c>
      <c r="C9" s="28">
        <f ca="1">O9/B9</f>
        <v>0.972222222222222</v>
      </c>
      <c r="D9" s="5" t="s">
        <v>240</v>
      </c>
      <c r="E9" s="5" t="s">
        <v>152</v>
      </c>
      <c r="F9" s="6">
        <v>658.6</v>
      </c>
      <c r="G9" s="5" t="s">
        <v>61</v>
      </c>
      <c r="H9" s="6">
        <f ca="1" t="array" ref="H9">INDEX(成本核算表!J:J,MATCH(1,(成本核算表!D:D=E9)*(成本核算表!C:C=G9),0))</f>
        <v>25</v>
      </c>
      <c r="I9" s="6">
        <v>1330</v>
      </c>
      <c r="J9" s="6">
        <f ca="1">H9*I9</f>
        <v>33250</v>
      </c>
      <c r="K9" s="6"/>
      <c r="L9" s="6"/>
      <c r="M9" s="6"/>
      <c r="N9" s="6">
        <f ca="1">J9-M9+L9</f>
        <v>33250</v>
      </c>
      <c r="O9" s="6">
        <f ca="1">N9/3600</f>
        <v>9.23611111111111</v>
      </c>
      <c r="P9" s="6"/>
      <c r="Q9" s="6"/>
    </row>
    <row r="10" s="21" customFormat="1" ht="20" customHeight="1" spans="1:17">
      <c r="A10" s="27">
        <v>46090</v>
      </c>
      <c r="B10" s="6">
        <v>11</v>
      </c>
      <c r="C10" s="28">
        <f ca="1">SUM(O10:O11)/B10</f>
        <v>0.871212121212121</v>
      </c>
      <c r="D10" s="5" t="s">
        <v>241</v>
      </c>
      <c r="E10" s="5" t="s">
        <v>48</v>
      </c>
      <c r="F10" s="6">
        <v>950</v>
      </c>
      <c r="G10" s="5" t="s">
        <v>49</v>
      </c>
      <c r="H10" s="6">
        <f ca="1" t="array" ref="H10">INDEX(成本核算表!J:J,MATCH(1,(成本核算表!D:D=E10)*(成本核算表!C:C=G10),0))</f>
        <v>25</v>
      </c>
      <c r="I10" s="6">
        <v>1224</v>
      </c>
      <c r="J10" s="6">
        <f ca="1" t="shared" ref="J10:J41" si="0">H10*I10</f>
        <v>30600</v>
      </c>
      <c r="K10" s="6"/>
      <c r="L10" s="6"/>
      <c r="M10" s="6"/>
      <c r="N10" s="6">
        <f ca="1" t="shared" ref="N10:N41" si="1">J10-M10+L10</f>
        <v>30600</v>
      </c>
      <c r="O10" s="6">
        <f ca="1" t="shared" ref="O10:O41" si="2">N10/3600</f>
        <v>8.5</v>
      </c>
      <c r="P10" s="6"/>
    </row>
    <row r="11" s="21" customFormat="1" ht="20" customHeight="1" spans="1:17">
      <c r="A11" s="27">
        <v>46090</v>
      </c>
      <c r="B11" s="6"/>
      <c r="C11" s="28"/>
      <c r="D11" s="5" t="s">
        <v>80</v>
      </c>
      <c r="E11" s="5" t="s">
        <v>78</v>
      </c>
      <c r="F11" s="6">
        <v>1960</v>
      </c>
      <c r="G11" s="5" t="s">
        <v>79</v>
      </c>
      <c r="H11" s="6">
        <f ca="1" t="array" ref="H11">INDEX(成本核算表!J:J,MATCH(1,(成本核算表!D:D=E11)*(成本核算表!C:C=G11),0))</f>
        <v>15</v>
      </c>
      <c r="I11" s="6">
        <v>260</v>
      </c>
      <c r="J11" s="6">
        <f ca="1" t="shared" si="0"/>
        <v>3900</v>
      </c>
      <c r="K11" s="6"/>
      <c r="L11" s="6"/>
      <c r="M11" s="6"/>
      <c r="N11" s="6">
        <f ca="1" t="shared" si="1"/>
        <v>3900</v>
      </c>
      <c r="O11" s="6">
        <f ca="1" t="shared" si="2"/>
        <v>1.08333333333333</v>
      </c>
      <c r="P11" s="6"/>
    </row>
    <row r="12" s="21" customFormat="1" ht="20" customHeight="1" spans="1:17">
      <c r="A12" s="27">
        <v>46091</v>
      </c>
      <c r="B12" s="6">
        <v>11</v>
      </c>
      <c r="C12" s="28">
        <f ca="1">SUM(O12:O14)/B12</f>
        <v>0.546212121212121</v>
      </c>
      <c r="D12" s="5" t="s">
        <v>80</v>
      </c>
      <c r="E12" s="5" t="s">
        <v>78</v>
      </c>
      <c r="F12" s="6">
        <v>1960</v>
      </c>
      <c r="G12" s="5" t="s">
        <v>79</v>
      </c>
      <c r="H12" s="6">
        <f ca="1" t="array" ref="H12">INDEX(成本核算表!J:J,MATCH(1,(成本核算表!D:D=E12)*(成本核算表!C:C=G12),0))</f>
        <v>15</v>
      </c>
      <c r="I12" s="6">
        <v>601</v>
      </c>
      <c r="J12" s="6">
        <f ca="1" t="shared" si="0"/>
        <v>9015</v>
      </c>
      <c r="K12" s="6"/>
      <c r="L12" s="6"/>
      <c r="M12" s="6"/>
      <c r="N12" s="6">
        <f ca="1" t="shared" si="1"/>
        <v>9015</v>
      </c>
      <c r="O12" s="6">
        <f ca="1" t="shared" si="2"/>
        <v>2.50416666666667</v>
      </c>
      <c r="P12" s="6"/>
    </row>
    <row r="13" s="21" customFormat="1" ht="20" customHeight="1" spans="1:17">
      <c r="A13" s="27">
        <v>46091</v>
      </c>
      <c r="B13" s="6"/>
      <c r="C13" s="28"/>
      <c r="D13" s="5" t="s">
        <v>77</v>
      </c>
      <c r="E13" s="5" t="s">
        <v>78</v>
      </c>
      <c r="F13" s="6">
        <v>1960</v>
      </c>
      <c r="G13" s="5" t="s">
        <v>79</v>
      </c>
      <c r="H13" s="6">
        <f ca="1" t="array" ref="H13">INDEX(成本核算表!J:J,MATCH(1,(成本核算表!D:D=E13)*(成本核算表!C:C=G13),0))</f>
        <v>15</v>
      </c>
      <c r="I13" s="6">
        <v>341</v>
      </c>
      <c r="J13" s="6">
        <f ca="1" t="shared" si="0"/>
        <v>5115</v>
      </c>
      <c r="K13" s="6"/>
      <c r="L13" s="6"/>
      <c r="M13" s="6"/>
      <c r="N13" s="6">
        <f ca="1" t="shared" si="1"/>
        <v>5115</v>
      </c>
      <c r="O13" s="6">
        <f ca="1" t="shared" si="2"/>
        <v>1.42083333333333</v>
      </c>
      <c r="P13" s="6"/>
    </row>
    <row r="14" s="21" customFormat="1" ht="20" customHeight="1" spans="1:17">
      <c r="A14" s="27">
        <v>46091</v>
      </c>
      <c r="B14" s="6"/>
      <c r="C14" s="28"/>
      <c r="D14" s="5" t="s">
        <v>77</v>
      </c>
      <c r="E14" s="5" t="s">
        <v>78</v>
      </c>
      <c r="F14" s="6">
        <v>1960</v>
      </c>
      <c r="G14" s="6" t="s">
        <v>81</v>
      </c>
      <c r="H14" s="6">
        <f ca="1" t="array" ref="H14">INDEX(成本核算表!J:J,MATCH(1,(成本核算表!D:D=E14)*(成本核算表!C:C=G14),0))</f>
        <v>25</v>
      </c>
      <c r="I14" s="6">
        <v>300</v>
      </c>
      <c r="J14" s="6">
        <f ca="1" t="shared" si="0"/>
        <v>7500</v>
      </c>
      <c r="K14" s="6"/>
      <c r="L14" s="6"/>
      <c r="M14" s="6"/>
      <c r="N14" s="6">
        <f ca="1" t="shared" si="1"/>
        <v>7500</v>
      </c>
      <c r="O14" s="6">
        <f ca="1" t="shared" si="2"/>
        <v>2.08333333333333</v>
      </c>
      <c r="P14" s="6"/>
    </row>
    <row r="15" s="21" customFormat="1" ht="20" customHeight="1" spans="1:17">
      <c r="A15" s="27">
        <v>46092</v>
      </c>
      <c r="B15" s="6">
        <v>11</v>
      </c>
      <c r="C15" s="28">
        <f ca="1">SUM(O15:O17)/B15</f>
        <v>0.955808080808081</v>
      </c>
      <c r="D15" s="5" t="s">
        <v>77</v>
      </c>
      <c r="E15" s="5" t="s">
        <v>78</v>
      </c>
      <c r="F15" s="6">
        <v>1960</v>
      </c>
      <c r="G15" s="6" t="s">
        <v>81</v>
      </c>
      <c r="H15" s="6">
        <f ca="1" t="array" ref="H15">INDEX(成本核算表!J:J,MATCH(1,(成本核算表!D:D=E15)*(成本核算表!C:C=G15),0))</f>
        <v>25</v>
      </c>
      <c r="I15" s="6">
        <v>108</v>
      </c>
      <c r="J15" s="6">
        <f ca="1" t="shared" si="0"/>
        <v>2700</v>
      </c>
      <c r="K15" s="6"/>
      <c r="L15" s="6"/>
      <c r="M15" s="6"/>
      <c r="N15" s="6">
        <f ca="1" t="shared" si="1"/>
        <v>2700</v>
      </c>
      <c r="O15" s="6">
        <f ca="1" t="shared" si="2"/>
        <v>0.75</v>
      </c>
      <c r="P15" s="6"/>
    </row>
    <row r="16" s="21" customFormat="1" ht="20" customHeight="1" spans="1:17">
      <c r="A16" s="27">
        <v>46092</v>
      </c>
      <c r="B16" s="6"/>
      <c r="C16" s="28"/>
      <c r="D16" s="5" t="s">
        <v>17</v>
      </c>
      <c r="E16" s="6" t="s">
        <v>18</v>
      </c>
      <c r="F16" s="6">
        <v>1942</v>
      </c>
      <c r="G16" s="5" t="s">
        <v>97</v>
      </c>
      <c r="H16" s="6">
        <f ca="1" t="array" ref="H16">INDEX(成本核算表!J:J,MATCH(1,(成本核算表!D:D=E16)*(成本核算表!C:C=G16),0))</f>
        <v>25</v>
      </c>
      <c r="I16" s="6">
        <v>950</v>
      </c>
      <c r="J16" s="6">
        <f ca="1" t="shared" si="0"/>
        <v>23750</v>
      </c>
      <c r="K16" s="6"/>
      <c r="L16" s="6"/>
      <c r="M16" s="6"/>
      <c r="N16" s="6">
        <f ca="1" t="shared" si="1"/>
        <v>23750</v>
      </c>
      <c r="O16" s="6">
        <f ca="1" t="shared" si="2"/>
        <v>6.59722222222222</v>
      </c>
      <c r="P16" s="6"/>
    </row>
    <row r="17" s="21" customFormat="1" ht="20" customHeight="1" spans="1:16">
      <c r="A17" s="27">
        <v>46092</v>
      </c>
      <c r="B17" s="6"/>
      <c r="C17" s="28"/>
      <c r="D17" s="5" t="s">
        <v>20</v>
      </c>
      <c r="E17" s="6" t="s">
        <v>18</v>
      </c>
      <c r="F17" s="6">
        <v>1942</v>
      </c>
      <c r="G17" s="5" t="s">
        <v>97</v>
      </c>
      <c r="H17" s="6">
        <f ca="1" t="array" ref="H17">INDEX(成本核算表!J:J,MATCH(1,(成本核算表!D:D=E17)*(成本核算表!C:C=G17),0))</f>
        <v>25</v>
      </c>
      <c r="I17" s="6">
        <v>456</v>
      </c>
      <c r="J17" s="6">
        <f ca="1" t="shared" si="0"/>
        <v>11400</v>
      </c>
      <c r="K17" s="6"/>
      <c r="L17" s="6"/>
      <c r="M17" s="6"/>
      <c r="N17" s="6">
        <f ca="1" t="shared" si="1"/>
        <v>11400</v>
      </c>
      <c r="O17" s="6">
        <f ca="1" t="shared" si="2"/>
        <v>3.16666666666667</v>
      </c>
      <c r="P17" s="6"/>
    </row>
    <row r="18" s="21" customFormat="1" ht="20" customHeight="1" spans="1:16">
      <c r="A18" s="27">
        <v>46093</v>
      </c>
      <c r="B18" s="6">
        <v>11</v>
      </c>
      <c r="C18" s="28">
        <f ca="1">SUM(O18:O20)/B18</f>
        <v>1.22032828282828</v>
      </c>
      <c r="D18" s="5" t="s">
        <v>17</v>
      </c>
      <c r="E18" s="6" t="s">
        <v>18</v>
      </c>
      <c r="F18" s="6">
        <v>1942</v>
      </c>
      <c r="G18" s="5" t="s">
        <v>97</v>
      </c>
      <c r="H18" s="6">
        <f ca="1" t="array" ref="H18">INDEX(成本核算表!J:J,MATCH(1,(成本核算表!D:D=E18)*(成本核算表!C:C=G18),0))</f>
        <v>25</v>
      </c>
      <c r="I18" s="6">
        <v>693</v>
      </c>
      <c r="J18" s="6">
        <f ca="1" t="shared" si="0"/>
        <v>17325</v>
      </c>
      <c r="K18" s="6"/>
      <c r="L18" s="6"/>
      <c r="M18" s="6"/>
      <c r="N18" s="6">
        <f ca="1" t="shared" si="1"/>
        <v>17325</v>
      </c>
      <c r="O18" s="6">
        <f ca="1" t="shared" si="2"/>
        <v>4.8125</v>
      </c>
      <c r="P18" s="6"/>
    </row>
    <row r="19" s="21" customFormat="1" ht="20" customHeight="1" spans="1:16">
      <c r="A19" s="27">
        <v>46093</v>
      </c>
      <c r="B19" s="6"/>
      <c r="C19" s="28"/>
      <c r="D19" s="5" t="s">
        <v>20</v>
      </c>
      <c r="E19" s="6" t="s">
        <v>18</v>
      </c>
      <c r="F19" s="6">
        <v>1942</v>
      </c>
      <c r="G19" s="5" t="s">
        <v>97</v>
      </c>
      <c r="H19" s="6">
        <f ca="1" t="array" ref="H19">INDEX(成本核算表!J:J,MATCH(1,(成本核算表!D:D=E19)*(成本核算表!C:C=G19),0))</f>
        <v>25</v>
      </c>
      <c r="I19" s="6">
        <v>370</v>
      </c>
      <c r="J19" s="6">
        <f ca="1" t="shared" si="0"/>
        <v>9250</v>
      </c>
      <c r="K19" s="6"/>
      <c r="L19" s="6"/>
      <c r="M19" s="6"/>
      <c r="N19" s="6">
        <f ca="1" t="shared" si="1"/>
        <v>9250</v>
      </c>
      <c r="O19" s="6">
        <f ca="1" t="shared" si="2"/>
        <v>2.56944444444444</v>
      </c>
      <c r="P19" s="6"/>
    </row>
    <row r="20" s="21" customFormat="1" ht="20" customHeight="1" spans="1:16">
      <c r="A20" s="27">
        <v>46093</v>
      </c>
      <c r="B20" s="6"/>
      <c r="C20" s="28"/>
      <c r="D20" s="5" t="s">
        <v>203</v>
      </c>
      <c r="E20" s="5" t="s">
        <v>55</v>
      </c>
      <c r="F20" s="6">
        <v>950</v>
      </c>
      <c r="G20" s="5" t="s">
        <v>153</v>
      </c>
      <c r="H20" s="6">
        <f ca="1" t="array" ref="H20">INDEX(成本核算表!J:J,MATCH(1,(成本核算表!D:D=E20)*(成本核算表!C:C=G20),0))</f>
        <v>15</v>
      </c>
      <c r="I20" s="6">
        <v>1450</v>
      </c>
      <c r="J20" s="6">
        <f ca="1" t="shared" si="0"/>
        <v>21750</v>
      </c>
      <c r="K20" s="6"/>
      <c r="L20" s="6"/>
      <c r="M20" s="6"/>
      <c r="N20" s="6">
        <f ca="1" t="shared" si="1"/>
        <v>21750</v>
      </c>
      <c r="O20" s="6">
        <f ca="1" t="shared" si="2"/>
        <v>6.04166666666667</v>
      </c>
      <c r="P20" s="6"/>
    </row>
    <row r="21" s="21" customFormat="1" ht="20" customHeight="1" spans="1:16">
      <c r="A21" s="27">
        <v>46094</v>
      </c>
      <c r="B21" s="6">
        <v>11</v>
      </c>
      <c r="C21" s="28">
        <f ca="1" t="shared" ref="C21:C25" si="3">SUM(O21:O22)/B21</f>
        <v>1.31414141414141</v>
      </c>
      <c r="D21" s="5" t="s">
        <v>17</v>
      </c>
      <c r="E21" s="6" t="s">
        <v>18</v>
      </c>
      <c r="F21" s="6">
        <v>1942</v>
      </c>
      <c r="G21" s="5" t="s">
        <v>160</v>
      </c>
      <c r="H21" s="6">
        <f ca="1" t="array" ref="H21">INDEX(成本核算表!J:J,MATCH(1,(成本核算表!D:D=E21)*(成本核算表!C:C=G21),0))</f>
        <v>20</v>
      </c>
      <c r="I21" s="6">
        <f>1577</f>
        <v>1577</v>
      </c>
      <c r="J21" s="6">
        <f ca="1" t="shared" si="0"/>
        <v>31540</v>
      </c>
      <c r="K21" s="6"/>
      <c r="L21" s="6"/>
      <c r="M21" s="6"/>
      <c r="N21" s="6">
        <f ca="1" t="shared" si="1"/>
        <v>31540</v>
      </c>
      <c r="O21" s="6">
        <f ca="1" t="shared" si="2"/>
        <v>8.76111111111111</v>
      </c>
      <c r="P21" s="6"/>
    </row>
    <row r="22" s="21" customFormat="1" ht="20" customHeight="1" spans="1:16">
      <c r="A22" s="27">
        <v>46094</v>
      </c>
      <c r="B22" s="6"/>
      <c r="C22" s="28"/>
      <c r="D22" s="5" t="s">
        <v>20</v>
      </c>
      <c r="E22" s="6" t="s">
        <v>18</v>
      </c>
      <c r="F22" s="6">
        <v>1942</v>
      </c>
      <c r="G22" s="5" t="s">
        <v>160</v>
      </c>
      <c r="H22" s="6">
        <f ca="1" t="array" ref="H22">INDEX(成本核算表!J:J,MATCH(1,(成本核算表!D:D=E22)*(成本核算表!C:C=G22),0))</f>
        <v>20</v>
      </c>
      <c r="I22" s="6">
        <f>1025</f>
        <v>1025</v>
      </c>
      <c r="J22" s="6">
        <f ca="1" t="shared" si="0"/>
        <v>20500</v>
      </c>
      <c r="K22" s="6"/>
      <c r="L22" s="6"/>
      <c r="M22" s="6"/>
      <c r="N22" s="6">
        <f ca="1" t="shared" si="1"/>
        <v>20500</v>
      </c>
      <c r="O22" s="6">
        <f ca="1" t="shared" si="2"/>
        <v>5.69444444444444</v>
      </c>
      <c r="P22" s="6"/>
    </row>
    <row r="23" s="21" customFormat="1" ht="20" customHeight="1" spans="1:16">
      <c r="A23" s="27">
        <v>46095</v>
      </c>
      <c r="B23" s="6">
        <v>9.5</v>
      </c>
      <c r="C23" s="28">
        <f ca="1" t="shared" si="3"/>
        <v>0.898391812865497</v>
      </c>
      <c r="D23" s="5" t="s">
        <v>148</v>
      </c>
      <c r="E23" s="5" t="s">
        <v>52</v>
      </c>
      <c r="F23" s="6">
        <v>950</v>
      </c>
      <c r="G23" s="5" t="s">
        <v>49</v>
      </c>
      <c r="H23" s="6">
        <f ca="1" t="array" ref="H23">INDEX(成本核算表!J:J,MATCH(1,(成本核算表!D:D=E23)*(成本核算表!C:C=G23),0))</f>
        <v>25</v>
      </c>
      <c r="I23" s="6">
        <v>321</v>
      </c>
      <c r="J23" s="6">
        <f ca="1" t="shared" si="0"/>
        <v>8025</v>
      </c>
      <c r="K23" s="6"/>
      <c r="L23" s="6"/>
      <c r="M23" s="6"/>
      <c r="N23" s="6">
        <f ca="1" t="shared" si="1"/>
        <v>8025</v>
      </c>
      <c r="O23" s="6">
        <f ca="1" t="shared" si="2"/>
        <v>2.22916666666667</v>
      </c>
      <c r="P23" s="6"/>
    </row>
    <row r="24" s="21" customFormat="1" ht="20" customHeight="1" spans="1:16">
      <c r="A24" s="27">
        <v>46095</v>
      </c>
      <c r="B24" s="6"/>
      <c r="C24" s="28"/>
      <c r="D24" s="5" t="s">
        <v>149</v>
      </c>
      <c r="E24" s="5" t="s">
        <v>52</v>
      </c>
      <c r="F24" s="6">
        <v>950</v>
      </c>
      <c r="G24" s="5" t="s">
        <v>49</v>
      </c>
      <c r="H24" s="6">
        <f ca="1" t="array" ref="H24">INDEX(成本核算表!J:J,MATCH(1,(成本核算表!D:D=E24)*(成本核算表!C:C=G24),0))</f>
        <v>25</v>
      </c>
      <c r="I24" s="6">
        <v>908</v>
      </c>
      <c r="J24" s="6">
        <f ca="1" t="shared" si="0"/>
        <v>22700</v>
      </c>
      <c r="K24" s="6"/>
      <c r="L24" s="6"/>
      <c r="M24" s="6"/>
      <c r="N24" s="6">
        <f ca="1" t="shared" si="1"/>
        <v>22700</v>
      </c>
      <c r="O24" s="6">
        <f ca="1" t="shared" si="2"/>
        <v>6.30555555555556</v>
      </c>
      <c r="P24" s="6"/>
    </row>
    <row r="25" s="21" customFormat="1" ht="20" customHeight="1" spans="1:16">
      <c r="A25" s="27">
        <v>46096</v>
      </c>
      <c r="B25" s="6">
        <v>9.5</v>
      </c>
      <c r="C25" s="28">
        <f ca="1">SUM(O25)/B25</f>
        <v>0.976608187134503</v>
      </c>
      <c r="D25" s="5" t="s">
        <v>158</v>
      </c>
      <c r="E25" s="5" t="s">
        <v>159</v>
      </c>
      <c r="F25" s="6">
        <v>1784.3</v>
      </c>
      <c r="G25" s="5" t="s">
        <v>97</v>
      </c>
      <c r="H25" s="6">
        <f ca="1" t="array" ref="H25">INDEX(成本核算表!J:J,MATCH(1,(成本核算表!D:D=E25)*(成本核算表!C:C=G25),0))</f>
        <v>25</v>
      </c>
      <c r="I25" s="6">
        <v>1348</v>
      </c>
      <c r="J25" s="6">
        <f ca="1" t="shared" si="0"/>
        <v>33700</v>
      </c>
      <c r="K25" s="6">
        <v>12</v>
      </c>
      <c r="L25" s="6"/>
      <c r="M25" s="6">
        <f ca="1">K25*H25</f>
        <v>300</v>
      </c>
      <c r="N25" s="6">
        <f ca="1" t="shared" si="1"/>
        <v>33400</v>
      </c>
      <c r="O25" s="6">
        <f ca="1" t="shared" si="2"/>
        <v>9.27777777777778</v>
      </c>
      <c r="P25" s="6"/>
    </row>
    <row r="26" s="21" customFormat="1" ht="20" customHeight="1" spans="1:16">
      <c r="A26" s="27">
        <v>46097</v>
      </c>
      <c r="B26" s="6">
        <v>11</v>
      </c>
      <c r="C26" s="28">
        <f ca="1">SUM(O26:O30)/B26</f>
        <v>0.859217171717172</v>
      </c>
      <c r="D26" s="5" t="s">
        <v>158</v>
      </c>
      <c r="E26" s="5" t="s">
        <v>159</v>
      </c>
      <c r="F26" s="6">
        <v>1784.3</v>
      </c>
      <c r="G26" s="5" t="s">
        <v>97</v>
      </c>
      <c r="H26" s="6">
        <f ca="1" t="array" ref="H26">INDEX(成本核算表!J:J,MATCH(1,(成本核算表!D:D=E26)*(成本核算表!C:C=G26),0))</f>
        <v>25</v>
      </c>
      <c r="I26" s="6">
        <v>171</v>
      </c>
      <c r="J26" s="6">
        <f ca="1" t="shared" si="0"/>
        <v>4275</v>
      </c>
      <c r="K26" s="6"/>
      <c r="L26" s="6"/>
      <c r="M26" s="6"/>
      <c r="N26" s="6">
        <f ca="1" t="shared" si="1"/>
        <v>4275</v>
      </c>
      <c r="O26" s="6">
        <f ca="1" t="shared" si="2"/>
        <v>1.1875</v>
      </c>
      <c r="P26" s="6"/>
    </row>
    <row r="27" s="21" customFormat="1" ht="20" customHeight="1" spans="1:16">
      <c r="A27" s="27">
        <v>46097</v>
      </c>
      <c r="B27" s="6"/>
      <c r="C27" s="28"/>
      <c r="D27" s="5" t="s">
        <v>158</v>
      </c>
      <c r="E27" s="5" t="s">
        <v>159</v>
      </c>
      <c r="F27" s="6">
        <v>1784.3</v>
      </c>
      <c r="G27" s="5" t="s">
        <v>70</v>
      </c>
      <c r="H27" s="6">
        <f ca="1" t="array" ref="H27">INDEX(成本核算表!J:J,MATCH(1,(成本核算表!D:D=E27)*(成本核算表!C:C=G27),0))</f>
        <v>25</v>
      </c>
      <c r="I27" s="6">
        <v>171</v>
      </c>
      <c r="J27" s="6">
        <f ca="1" t="shared" si="0"/>
        <v>4275</v>
      </c>
      <c r="K27" s="6"/>
      <c r="L27" s="6"/>
      <c r="M27" s="6"/>
      <c r="N27" s="6">
        <f ca="1" t="shared" si="1"/>
        <v>4275</v>
      </c>
      <c r="O27" s="6">
        <f ca="1" t="shared" si="2"/>
        <v>1.1875</v>
      </c>
      <c r="P27" s="6"/>
    </row>
    <row r="28" s="21" customFormat="1" ht="20" customHeight="1" spans="1:16">
      <c r="A28" s="27">
        <v>46097</v>
      </c>
      <c r="B28" s="6"/>
      <c r="C28" s="28"/>
      <c r="D28" s="5" t="s">
        <v>158</v>
      </c>
      <c r="E28" s="5" t="s">
        <v>159</v>
      </c>
      <c r="F28" s="6">
        <v>1784.3</v>
      </c>
      <c r="G28" s="5" t="s">
        <v>160</v>
      </c>
      <c r="H28" s="6">
        <f ca="1" t="array" ref="H28">INDEX(成本核算表!J:J,MATCH(1,(成本核算表!D:D=E28)*(成本核算表!C:C=G28),0))</f>
        <v>25</v>
      </c>
      <c r="I28" s="6">
        <v>475</v>
      </c>
      <c r="J28" s="6">
        <f ca="1" t="shared" si="0"/>
        <v>11875</v>
      </c>
      <c r="K28" s="6"/>
      <c r="L28" s="6"/>
      <c r="M28" s="6"/>
      <c r="N28" s="6">
        <f ca="1" t="shared" si="1"/>
        <v>11875</v>
      </c>
      <c r="O28" s="6">
        <f ca="1" t="shared" si="2"/>
        <v>3.29861111111111</v>
      </c>
      <c r="P28" s="6"/>
    </row>
    <row r="29" s="21" customFormat="1" ht="20" customHeight="1" spans="1:16">
      <c r="A29" s="27">
        <v>46097</v>
      </c>
      <c r="B29" s="6"/>
      <c r="C29" s="28"/>
      <c r="D29" s="5" t="s">
        <v>80</v>
      </c>
      <c r="E29" s="5" t="s">
        <v>78</v>
      </c>
      <c r="F29" s="6">
        <v>1960</v>
      </c>
      <c r="G29" s="5" t="s">
        <v>81</v>
      </c>
      <c r="H29" s="6">
        <f ca="1" t="array" ref="H29">INDEX(成本核算表!J:J,MATCH(1,(成本核算表!D:D=E29)*(成本核算表!C:C=G29),0))</f>
        <v>25</v>
      </c>
      <c r="I29" s="6">
        <v>384</v>
      </c>
      <c r="J29" s="6">
        <f ca="1" t="shared" si="0"/>
        <v>9600</v>
      </c>
      <c r="K29" s="6"/>
      <c r="L29" s="6"/>
      <c r="M29" s="6"/>
      <c r="N29" s="6">
        <f ca="1" t="shared" si="1"/>
        <v>9600</v>
      </c>
      <c r="O29" s="6">
        <f ca="1" t="shared" si="2"/>
        <v>2.66666666666667</v>
      </c>
      <c r="P29" s="6"/>
    </row>
    <row r="30" s="21" customFormat="1" ht="20" customHeight="1" spans="1:16">
      <c r="A30" s="27">
        <v>46097</v>
      </c>
      <c r="B30" s="6"/>
      <c r="C30" s="28"/>
      <c r="D30" s="5" t="s">
        <v>77</v>
      </c>
      <c r="E30" s="5" t="s">
        <v>78</v>
      </c>
      <c r="F30" s="6">
        <v>1960</v>
      </c>
      <c r="G30" s="5" t="s">
        <v>81</v>
      </c>
      <c r="H30" s="6">
        <f ca="1" t="array" ref="H30">INDEX(成本核算表!J:J,MATCH(1,(成本核算表!D:D=E30)*(成本核算表!C:C=G30),0))</f>
        <v>25</v>
      </c>
      <c r="I30" s="6">
        <v>160</v>
      </c>
      <c r="J30" s="6">
        <f ca="1" t="shared" si="0"/>
        <v>4000</v>
      </c>
      <c r="K30" s="6"/>
      <c r="L30" s="6"/>
      <c r="M30" s="6"/>
      <c r="N30" s="6">
        <f ca="1" t="shared" si="1"/>
        <v>4000</v>
      </c>
      <c r="O30" s="6">
        <f ca="1" t="shared" si="2"/>
        <v>1.11111111111111</v>
      </c>
      <c r="P30" s="6"/>
    </row>
    <row r="31" s="21" customFormat="1" ht="20" customHeight="1" spans="1:16">
      <c r="A31" s="27">
        <v>46098</v>
      </c>
      <c r="B31" s="6">
        <v>11</v>
      </c>
      <c r="C31" s="28">
        <f ca="1">SUM(O31:O36)/B31</f>
        <v>0.791287878787879</v>
      </c>
      <c r="D31" s="5" t="s">
        <v>77</v>
      </c>
      <c r="E31" s="5" t="s">
        <v>78</v>
      </c>
      <c r="F31" s="6">
        <v>1960</v>
      </c>
      <c r="G31" s="5" t="s">
        <v>82</v>
      </c>
      <c r="H31" s="6">
        <f ca="1" t="array" ref="H31">INDEX(成本核算表!J:J,MATCH(1,(成本核算表!D:D=E31)*(成本核算表!C:C=G31),0))</f>
        <v>15</v>
      </c>
      <c r="I31" s="6">
        <v>305</v>
      </c>
      <c r="J31" s="6">
        <f ca="1" t="shared" si="0"/>
        <v>4575</v>
      </c>
      <c r="K31" s="6"/>
      <c r="L31" s="6"/>
      <c r="M31" s="6"/>
      <c r="N31" s="6">
        <f ca="1" t="shared" si="1"/>
        <v>4575</v>
      </c>
      <c r="O31" s="6">
        <f ca="1" t="shared" si="2"/>
        <v>1.27083333333333</v>
      </c>
      <c r="P31" s="6"/>
    </row>
    <row r="32" s="21" customFormat="1" ht="20" customHeight="1" spans="1:16">
      <c r="A32" s="27">
        <v>46098</v>
      </c>
      <c r="B32" s="6"/>
      <c r="C32" s="28"/>
      <c r="D32" s="5" t="s">
        <v>77</v>
      </c>
      <c r="E32" s="5" t="s">
        <v>78</v>
      </c>
      <c r="F32" s="6">
        <v>1960</v>
      </c>
      <c r="G32" s="5" t="s">
        <v>79</v>
      </c>
      <c r="H32" s="6">
        <f ca="1" t="array" ref="H32">INDEX(成本核算表!J:J,MATCH(1,(成本核算表!D:D=E32)*(成本核算表!C:C=G32),0))</f>
        <v>15</v>
      </c>
      <c r="I32" s="6">
        <v>305</v>
      </c>
      <c r="J32" s="6">
        <f ca="1" t="shared" si="0"/>
        <v>4575</v>
      </c>
      <c r="K32" s="6"/>
      <c r="L32" s="6"/>
      <c r="M32" s="6"/>
      <c r="N32" s="6">
        <f ca="1" t="shared" si="1"/>
        <v>4575</v>
      </c>
      <c r="O32" s="6">
        <f ca="1" t="shared" si="2"/>
        <v>1.27083333333333</v>
      </c>
      <c r="P32" s="6"/>
    </row>
    <row r="33" s="21" customFormat="1" ht="20" customHeight="1" spans="1:17">
      <c r="A33" s="27">
        <v>46098</v>
      </c>
      <c r="B33" s="6"/>
      <c r="C33" s="28"/>
      <c r="D33" s="5" t="s">
        <v>77</v>
      </c>
      <c r="E33" s="5" t="s">
        <v>78</v>
      </c>
      <c r="F33" s="6">
        <v>1960</v>
      </c>
      <c r="G33" s="5" t="s">
        <v>81</v>
      </c>
      <c r="H33" s="6">
        <f ca="1" t="array" ref="H33">INDEX(成本核算表!J:J,MATCH(1,(成本核算表!D:D=E33)*(成本核算表!C:C=G33),0))</f>
        <v>25</v>
      </c>
      <c r="I33" s="6">
        <v>400</v>
      </c>
      <c r="J33" s="6">
        <f ca="1" t="shared" si="0"/>
        <v>10000</v>
      </c>
      <c r="K33" s="6"/>
      <c r="L33" s="6"/>
      <c r="M33" s="6"/>
      <c r="N33" s="6">
        <f ca="1" t="shared" si="1"/>
        <v>10000</v>
      </c>
      <c r="O33" s="6">
        <f ca="1" t="shared" si="2"/>
        <v>2.77777777777778</v>
      </c>
      <c r="P33" s="6"/>
    </row>
    <row r="34" s="21" customFormat="1" ht="20" customHeight="1" spans="1:17">
      <c r="A34" s="27">
        <v>46098</v>
      </c>
      <c r="B34" s="6"/>
      <c r="C34" s="28"/>
      <c r="D34" s="5" t="s">
        <v>80</v>
      </c>
      <c r="E34" s="5" t="s">
        <v>78</v>
      </c>
      <c r="F34" s="6">
        <v>1960</v>
      </c>
      <c r="G34" s="5" t="s">
        <v>82</v>
      </c>
      <c r="H34" s="6">
        <f ca="1" t="array" ref="H34">INDEX(成本核算表!J:J,MATCH(1,(成本核算表!D:D=E34)*(成本核算表!C:C=G34),0))</f>
        <v>15</v>
      </c>
      <c r="I34" s="6">
        <v>262</v>
      </c>
      <c r="J34" s="6">
        <f ca="1" t="shared" si="0"/>
        <v>3930</v>
      </c>
      <c r="K34" s="6"/>
      <c r="L34" s="6"/>
      <c r="M34" s="6"/>
      <c r="N34" s="6">
        <f ca="1" t="shared" si="1"/>
        <v>3930</v>
      </c>
      <c r="O34" s="6">
        <f ca="1" t="shared" si="2"/>
        <v>1.09166666666667</v>
      </c>
      <c r="P34" s="6"/>
    </row>
    <row r="35" s="21" customFormat="1" ht="20" customHeight="1" spans="1:17">
      <c r="A35" s="27">
        <v>46098</v>
      </c>
      <c r="B35" s="6"/>
      <c r="C35" s="28"/>
      <c r="D35" s="5" t="s">
        <v>80</v>
      </c>
      <c r="E35" s="5" t="s">
        <v>78</v>
      </c>
      <c r="F35" s="6">
        <v>1960</v>
      </c>
      <c r="G35" s="5" t="s">
        <v>79</v>
      </c>
      <c r="H35" s="6">
        <f ca="1" t="array" ref="H35">INDEX(成本核算表!J:J,MATCH(1,(成本核算表!D:D=E35)*(成本核算表!C:C=G35),0))</f>
        <v>15</v>
      </c>
      <c r="I35" s="6">
        <v>267</v>
      </c>
      <c r="J35" s="6">
        <f ca="1" t="shared" si="0"/>
        <v>4005</v>
      </c>
      <c r="K35" s="6"/>
      <c r="L35" s="6"/>
      <c r="M35" s="6"/>
      <c r="N35" s="6">
        <f ca="1" t="shared" si="1"/>
        <v>4005</v>
      </c>
      <c r="O35" s="6">
        <f ca="1" t="shared" si="2"/>
        <v>1.1125</v>
      </c>
      <c r="P35" s="6"/>
    </row>
    <row r="36" s="21" customFormat="1" ht="20" customHeight="1" spans="1:17">
      <c r="A36" s="27">
        <v>46098</v>
      </c>
      <c r="B36" s="6"/>
      <c r="C36" s="28"/>
      <c r="D36" s="5" t="s">
        <v>80</v>
      </c>
      <c r="E36" s="5" t="s">
        <v>78</v>
      </c>
      <c r="F36" s="6">
        <v>1960</v>
      </c>
      <c r="G36" s="5" t="s">
        <v>81</v>
      </c>
      <c r="H36" s="6">
        <f ca="1" t="array" ref="H36">INDEX(成本核算表!J:J,MATCH(1,(成本核算表!D:D=E36)*(成本核算表!C:C=G36),0))</f>
        <v>25</v>
      </c>
      <c r="I36" s="6">
        <v>170</v>
      </c>
      <c r="J36" s="6">
        <f ca="1" t="shared" si="0"/>
        <v>4250</v>
      </c>
      <c r="K36" s="6"/>
      <c r="L36" s="6"/>
      <c r="M36" s="6"/>
      <c r="N36" s="6">
        <f ca="1" t="shared" si="1"/>
        <v>4250</v>
      </c>
      <c r="O36" s="6">
        <f ca="1" t="shared" si="2"/>
        <v>1.18055555555556</v>
      </c>
      <c r="P36" s="6"/>
    </row>
    <row r="37" s="21" customFormat="1" ht="20" customHeight="1" spans="1:17">
      <c r="A37" s="27">
        <v>46099</v>
      </c>
      <c r="B37" s="6">
        <v>11</v>
      </c>
      <c r="C37" s="28">
        <f ca="1">SUM(O37:O39)/B37</f>
        <v>1.16287878787879</v>
      </c>
      <c r="D37" s="5" t="s">
        <v>83</v>
      </c>
      <c r="E37" s="5" t="s">
        <v>78</v>
      </c>
      <c r="F37" s="6">
        <v>780</v>
      </c>
      <c r="G37" s="5" t="s">
        <v>81</v>
      </c>
      <c r="H37" s="6">
        <f ca="1" t="array" ref="H37">INDEX(成本核算表!J:J,MATCH(1,(成本核算表!D:D=E37)*(成本核算表!C:C=G37),0))</f>
        <v>25</v>
      </c>
      <c r="I37" s="6">
        <v>572</v>
      </c>
      <c r="J37" s="6">
        <f ca="1" t="shared" si="0"/>
        <v>14300</v>
      </c>
      <c r="K37" s="6"/>
      <c r="L37" s="6"/>
      <c r="M37" s="6"/>
      <c r="N37" s="6">
        <f ca="1" t="shared" si="1"/>
        <v>14300</v>
      </c>
      <c r="O37" s="6">
        <f ca="1" t="shared" si="2"/>
        <v>3.97222222222222</v>
      </c>
      <c r="P37" s="6"/>
    </row>
    <row r="38" s="21" customFormat="1" ht="20" customHeight="1" spans="1:17">
      <c r="A38" s="27">
        <v>46099</v>
      </c>
      <c r="B38" s="6"/>
      <c r="C38" s="28"/>
      <c r="D38" s="5" t="s">
        <v>84</v>
      </c>
      <c r="E38" s="5" t="s">
        <v>78</v>
      </c>
      <c r="F38" s="6">
        <v>780</v>
      </c>
      <c r="G38" s="5" t="s">
        <v>81</v>
      </c>
      <c r="H38" s="6">
        <f ca="1" t="array" ref="H38">INDEX(成本核算表!J:J,MATCH(1,(成本核算表!D:D=E38)*(成本核算表!C:C=G38),0))</f>
        <v>25</v>
      </c>
      <c r="I38" s="6">
        <v>1005</v>
      </c>
      <c r="J38" s="6">
        <f ca="1" t="shared" si="0"/>
        <v>25125</v>
      </c>
      <c r="K38" s="6"/>
      <c r="L38" s="6"/>
      <c r="M38" s="6"/>
      <c r="N38" s="6">
        <f ca="1" t="shared" si="1"/>
        <v>25125</v>
      </c>
      <c r="O38" s="6">
        <f ca="1" t="shared" si="2"/>
        <v>6.97916666666667</v>
      </c>
      <c r="P38" s="6"/>
    </row>
    <row r="39" s="21" customFormat="1" ht="20" customHeight="1" spans="1:17">
      <c r="A39" s="27">
        <v>46099</v>
      </c>
      <c r="B39" s="6"/>
      <c r="C39" s="28"/>
      <c r="D39" s="5" t="s">
        <v>80</v>
      </c>
      <c r="E39" s="5" t="s">
        <v>78</v>
      </c>
      <c r="F39" s="6">
        <v>1960</v>
      </c>
      <c r="G39" s="5" t="s">
        <v>81</v>
      </c>
      <c r="H39" s="6">
        <f ca="1" t="array" ref="H39">INDEX(成本核算表!J:J,MATCH(1,(成本核算表!D:D=E39)*(成本核算表!C:C=G39),0))</f>
        <v>25</v>
      </c>
      <c r="I39" s="6">
        <v>265</v>
      </c>
      <c r="J39" s="6">
        <f ca="1" t="shared" si="0"/>
        <v>6625</v>
      </c>
      <c r="K39" s="6"/>
      <c r="L39" s="6"/>
      <c r="M39" s="6"/>
      <c r="N39" s="6">
        <f ca="1" t="shared" si="1"/>
        <v>6625</v>
      </c>
      <c r="O39" s="6">
        <f ca="1" t="shared" si="2"/>
        <v>1.84027777777778</v>
      </c>
      <c r="P39" s="6"/>
    </row>
    <row r="40" s="21" customFormat="1" ht="20" customHeight="1" spans="1:17">
      <c r="A40" s="27">
        <v>46100</v>
      </c>
      <c r="B40" s="6">
        <v>11</v>
      </c>
      <c r="C40" s="28">
        <f ca="1">SUM(O40)/B40</f>
        <v>1.19090909090909</v>
      </c>
      <c r="D40" s="5" t="s">
        <v>170</v>
      </c>
      <c r="E40" s="5" t="s">
        <v>171</v>
      </c>
      <c r="F40" s="6">
        <v>2380</v>
      </c>
      <c r="G40" s="5" t="s">
        <v>44</v>
      </c>
      <c r="H40" s="6">
        <f ca="1" t="array" ref="H40">INDEX(成本核算表!J:J,MATCH(1,(成本核算表!D:D=E40)*(成本核算表!C:C=G40),0))</f>
        <v>131</v>
      </c>
      <c r="I40" s="6">
        <v>360</v>
      </c>
      <c r="J40" s="6">
        <f ca="1" t="shared" si="0"/>
        <v>47160</v>
      </c>
      <c r="K40" s="6"/>
      <c r="L40" s="6"/>
      <c r="M40" s="6"/>
      <c r="N40" s="6">
        <f ca="1" t="shared" si="1"/>
        <v>47160</v>
      </c>
      <c r="O40" s="6">
        <f ca="1" t="shared" si="2"/>
        <v>13.1</v>
      </c>
      <c r="P40" s="6"/>
      <c r="Q40" s="6"/>
    </row>
    <row r="41" s="30" customFormat="1" ht="20" customHeight="1" spans="1:17">
      <c r="A41" s="36">
        <v>46101</v>
      </c>
      <c r="B41" s="32">
        <v>11</v>
      </c>
      <c r="C41" s="28">
        <f ca="1">SUM(O41)/B41</f>
        <v>1.28787878787879</v>
      </c>
      <c r="D41" s="42" t="s">
        <v>170</v>
      </c>
      <c r="E41" s="42" t="s">
        <v>176</v>
      </c>
      <c r="F41" s="32">
        <v>2380</v>
      </c>
      <c r="G41" s="42" t="s">
        <v>44</v>
      </c>
      <c r="H41" s="37">
        <f ca="1" t="array" ref="H41">INDEX(成本核算表!J:J,MATCH(1,(成本核算表!D:D=E41)*(成本核算表!C:C=G41),0))</f>
        <v>100</v>
      </c>
      <c r="I41" s="37">
        <f>510</f>
        <v>510</v>
      </c>
      <c r="J41" s="37">
        <f ca="1" t="shared" si="0"/>
        <v>51000</v>
      </c>
      <c r="K41" s="32"/>
      <c r="L41" s="32"/>
      <c r="N41" s="37">
        <f ca="1" t="shared" si="1"/>
        <v>51000</v>
      </c>
      <c r="O41" s="37">
        <f ca="1" t="shared" si="2"/>
        <v>14.1666666666667</v>
      </c>
    </row>
    <row r="42" s="21" customFormat="1" ht="20" customHeight="1" spans="1:17">
      <c r="A42" s="6"/>
      <c r="B42" s="6"/>
      <c r="C42" s="28"/>
      <c r="D42" s="6"/>
      <c r="E42" s="6"/>
      <c r="F42" s="6"/>
      <c r="G42" s="6"/>
      <c r="H42" s="6">
        <f ca="1" t="array" ref="H42">INDEX(成本核算表!J:J,MATCH(1,(成本核算表!D:D=E42)*(成本核算表!C:C=G42),0))</f>
        <v>0</v>
      </c>
      <c r="I42" s="6"/>
      <c r="J42" s="6">
        <f ca="1" t="shared" ref="J42:J73" si="4">H42*I42</f>
        <v>0</v>
      </c>
      <c r="K42" s="6"/>
      <c r="L42" s="6"/>
      <c r="M42" s="6"/>
      <c r="N42" s="6">
        <f ca="1" t="shared" ref="N42:N73" si="5">J42-M42+L42</f>
        <v>0</v>
      </c>
      <c r="O42" s="6">
        <f ca="1" t="shared" ref="O42:O73" si="6">N42/3600</f>
        <v>0</v>
      </c>
      <c r="P42" s="6"/>
    </row>
    <row r="43" s="21" customFormat="1" ht="20" customHeight="1" spans="1:17">
      <c r="A43" s="6"/>
      <c r="B43" s="6"/>
      <c r="C43" s="28"/>
      <c r="D43" s="6"/>
      <c r="E43" s="6"/>
      <c r="F43" s="6"/>
      <c r="G43" s="6"/>
      <c r="H43" s="6">
        <f ca="1" t="array" ref="H43">INDEX(成本核算表!J:J,MATCH(1,(成本核算表!D:D=E43)*(成本核算表!C:C=G43),0))</f>
        <v>0</v>
      </c>
      <c r="I43" s="6"/>
      <c r="J43" s="6">
        <f ca="1" t="shared" si="4"/>
        <v>0</v>
      </c>
      <c r="K43" s="6"/>
      <c r="L43" s="6"/>
      <c r="M43" s="6"/>
      <c r="N43" s="6">
        <f ca="1" t="shared" si="5"/>
        <v>0</v>
      </c>
      <c r="O43" s="6">
        <f ca="1" t="shared" si="6"/>
        <v>0</v>
      </c>
      <c r="P43" s="6"/>
    </row>
    <row r="44" s="21" customFormat="1" ht="20" customHeight="1" spans="1:17">
      <c r="A44" s="6"/>
      <c r="B44" s="6"/>
      <c r="C44" s="28"/>
      <c r="D44" s="6"/>
      <c r="E44" s="6"/>
      <c r="F44" s="6"/>
      <c r="G44" s="6"/>
      <c r="H44" s="6">
        <f ca="1" t="array" ref="H44">INDEX(成本核算表!J:J,MATCH(1,(成本核算表!D:D=E44)*(成本核算表!C:C=G44),0))</f>
        <v>0</v>
      </c>
      <c r="I44" s="6"/>
      <c r="J44" s="6">
        <f ca="1" t="shared" si="4"/>
        <v>0</v>
      </c>
      <c r="K44" s="6"/>
      <c r="L44" s="6"/>
      <c r="M44" s="6"/>
      <c r="N44" s="6">
        <f ca="1" t="shared" si="5"/>
        <v>0</v>
      </c>
      <c r="O44" s="6">
        <f ca="1" t="shared" si="6"/>
        <v>0</v>
      </c>
      <c r="P44" s="6"/>
    </row>
    <row r="45" s="21" customFormat="1" ht="20" customHeight="1" spans="1:17">
      <c r="A45" s="6"/>
      <c r="B45" s="6"/>
      <c r="C45" s="28"/>
      <c r="D45" s="6"/>
      <c r="E45" s="6"/>
      <c r="F45" s="6"/>
      <c r="G45" s="6"/>
      <c r="H45" s="6">
        <f ca="1" t="array" ref="H45">INDEX(成本核算表!J:J,MATCH(1,(成本核算表!D:D=E45)*(成本核算表!C:C=G45),0))</f>
        <v>0</v>
      </c>
      <c r="I45" s="6"/>
      <c r="J45" s="6">
        <f ca="1" t="shared" si="4"/>
        <v>0</v>
      </c>
      <c r="K45" s="6"/>
      <c r="L45" s="6"/>
      <c r="M45" s="6"/>
      <c r="N45" s="6">
        <f ca="1" t="shared" si="5"/>
        <v>0</v>
      </c>
      <c r="O45" s="6">
        <f ca="1" t="shared" si="6"/>
        <v>0</v>
      </c>
      <c r="P45" s="6"/>
    </row>
    <row r="46" s="21" customFormat="1" ht="20" customHeight="1" spans="1:17">
      <c r="A46" s="6"/>
      <c r="B46" s="6"/>
      <c r="C46" s="28"/>
      <c r="D46" s="6"/>
      <c r="E46" s="6"/>
      <c r="F46" s="6"/>
      <c r="G46" s="6"/>
      <c r="H46" s="6">
        <f ca="1" t="array" ref="H46">INDEX(成本核算表!J:J,MATCH(1,(成本核算表!D:D=E46)*(成本核算表!C:C=G46),0))</f>
        <v>0</v>
      </c>
      <c r="I46" s="6"/>
      <c r="J46" s="6">
        <f ca="1" t="shared" si="4"/>
        <v>0</v>
      </c>
      <c r="K46" s="6"/>
      <c r="L46" s="6"/>
      <c r="M46" s="6"/>
      <c r="N46" s="6">
        <f ca="1" t="shared" si="5"/>
        <v>0</v>
      </c>
      <c r="O46" s="6">
        <f ca="1" t="shared" si="6"/>
        <v>0</v>
      </c>
      <c r="P46" s="6"/>
    </row>
    <row r="47" s="21" customFormat="1" ht="20" customHeight="1" spans="1:17">
      <c r="A47" s="6"/>
      <c r="B47" s="6"/>
      <c r="C47" s="28"/>
      <c r="D47" s="6"/>
      <c r="E47" s="6"/>
      <c r="F47" s="6"/>
      <c r="G47" s="6"/>
      <c r="H47" s="6">
        <f ca="1" t="array" ref="H47">INDEX(成本核算表!J:J,MATCH(1,(成本核算表!D:D=E47)*(成本核算表!C:C=G47),0))</f>
        <v>0</v>
      </c>
      <c r="I47" s="6"/>
      <c r="J47" s="6">
        <f ca="1" t="shared" si="4"/>
        <v>0</v>
      </c>
      <c r="K47" s="6"/>
      <c r="L47" s="6"/>
      <c r="M47" s="6"/>
      <c r="N47" s="6">
        <f ca="1" t="shared" si="5"/>
        <v>0</v>
      </c>
      <c r="O47" s="6">
        <f ca="1" t="shared" si="6"/>
        <v>0</v>
      </c>
      <c r="P47" s="6"/>
    </row>
    <row r="48" s="21" customFormat="1" ht="20" customHeight="1" spans="1:17">
      <c r="A48" s="6"/>
      <c r="B48" s="6"/>
      <c r="C48" s="28"/>
      <c r="D48" s="6"/>
      <c r="E48" s="6"/>
      <c r="F48" s="6"/>
      <c r="G48" s="6"/>
      <c r="H48" s="6">
        <f ca="1" t="array" ref="H48">INDEX(成本核算表!J:J,MATCH(1,(成本核算表!D:D=E48)*(成本核算表!C:C=G48),0))</f>
        <v>0</v>
      </c>
      <c r="I48" s="6"/>
      <c r="J48" s="6">
        <f ca="1" t="shared" si="4"/>
        <v>0</v>
      </c>
      <c r="K48" s="6"/>
      <c r="L48" s="6"/>
      <c r="M48" s="6"/>
      <c r="N48" s="6">
        <f ca="1" t="shared" si="5"/>
        <v>0</v>
      </c>
      <c r="O48" s="6">
        <f ca="1" t="shared" si="6"/>
        <v>0</v>
      </c>
      <c r="P48" s="6"/>
    </row>
    <row r="49" s="21" customFormat="1" ht="20" customHeight="1" spans="1:15">
      <c r="A49" s="22"/>
      <c r="B49" s="23"/>
      <c r="C49" s="24"/>
      <c r="D49" s="23"/>
      <c r="E49" s="23"/>
      <c r="F49" s="23"/>
      <c r="G49" s="6"/>
      <c r="H49" s="6">
        <f ca="1" t="array" ref="H49">INDEX(成本核算表!J:J,MATCH(1,(成本核算表!D:D=E49)*(成本核算表!C:C=G49),0))</f>
        <v>0</v>
      </c>
      <c r="I49" s="6"/>
      <c r="J49" s="6">
        <f ca="1" t="shared" si="4"/>
        <v>0</v>
      </c>
      <c r="K49" s="23"/>
      <c r="M49" s="6"/>
      <c r="N49" s="6">
        <f ca="1" t="shared" si="5"/>
        <v>0</v>
      </c>
      <c r="O49" s="6">
        <f ca="1" t="shared" si="6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6"/>
      <c r="H50" s="6">
        <f ca="1" t="array" ref="H50">INDEX(成本核算表!J:J,MATCH(1,(成本核算表!D:D=E50)*(成本核算表!C:C=G50),0))</f>
        <v>0</v>
      </c>
      <c r="I50" s="6"/>
      <c r="J50" s="6">
        <f ca="1" t="shared" si="4"/>
        <v>0</v>
      </c>
      <c r="K50" s="23"/>
      <c r="M50" s="6"/>
      <c r="N50" s="6">
        <f ca="1" t="shared" si="5"/>
        <v>0</v>
      </c>
      <c r="O50" s="6">
        <f ca="1" t="shared" si="6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6"/>
      <c r="H51" s="6">
        <f ca="1" t="array" ref="H51">INDEX(成本核算表!J:J,MATCH(1,(成本核算表!D:D=E51)*(成本核算表!C:C=G51),0))</f>
        <v>0</v>
      </c>
      <c r="I51" s="6"/>
      <c r="J51" s="6">
        <f ca="1" t="shared" si="4"/>
        <v>0</v>
      </c>
      <c r="K51" s="23"/>
      <c r="M51" s="6"/>
      <c r="N51" s="6">
        <f ca="1" t="shared" si="5"/>
        <v>0</v>
      </c>
      <c r="O51" s="6">
        <f ca="1" t="shared" si="6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6"/>
      <c r="H52" s="6">
        <f ca="1" t="array" ref="H52">INDEX(成本核算表!J:J,MATCH(1,(成本核算表!D:D=E52)*(成本核算表!C:C=G52),0))</f>
        <v>0</v>
      </c>
      <c r="I52" s="6"/>
      <c r="J52" s="6">
        <f ca="1" t="shared" si="4"/>
        <v>0</v>
      </c>
      <c r="K52" s="23"/>
      <c r="M52" s="6"/>
      <c r="N52" s="6">
        <f ca="1" t="shared" si="5"/>
        <v>0</v>
      </c>
      <c r="O52" s="6">
        <f ca="1" t="shared" si="6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6"/>
      <c r="H53" s="6">
        <f ca="1" t="array" ref="H53">INDEX(成本核算表!J:J,MATCH(1,(成本核算表!D:D=E53)*(成本核算表!C:C=G53),0))</f>
        <v>0</v>
      </c>
      <c r="I53" s="6"/>
      <c r="J53" s="6">
        <f ca="1" t="shared" si="4"/>
        <v>0</v>
      </c>
      <c r="K53" s="23"/>
      <c r="M53" s="6"/>
      <c r="N53" s="6">
        <f ca="1" t="shared" si="5"/>
        <v>0</v>
      </c>
      <c r="O53" s="6">
        <f ca="1" t="shared" si="6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6"/>
      <c r="H54" s="6">
        <f ca="1" t="array" ref="H54">INDEX(成本核算表!J:J,MATCH(1,(成本核算表!D:D=E54)*(成本核算表!C:C=G54),0))</f>
        <v>0</v>
      </c>
      <c r="I54" s="6"/>
      <c r="J54" s="6">
        <f ca="1" t="shared" si="4"/>
        <v>0</v>
      </c>
      <c r="K54" s="23"/>
      <c r="M54" s="6"/>
      <c r="N54" s="6">
        <f ca="1" t="shared" si="5"/>
        <v>0</v>
      </c>
      <c r="O54" s="6">
        <f ca="1" t="shared" si="6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6"/>
      <c r="H55" s="6">
        <f ca="1" t="array" ref="H55">INDEX(成本核算表!J:J,MATCH(1,(成本核算表!D:D=E55)*(成本核算表!C:C=G55),0))</f>
        <v>0</v>
      </c>
      <c r="I55" s="6"/>
      <c r="J55" s="6">
        <f ca="1" t="shared" si="4"/>
        <v>0</v>
      </c>
      <c r="K55" s="23"/>
      <c r="M55" s="6"/>
      <c r="N55" s="6">
        <f ca="1" t="shared" si="5"/>
        <v>0</v>
      </c>
      <c r="O55" s="6">
        <f ca="1" t="shared" si="6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6"/>
      <c r="H56" s="6">
        <f ca="1" t="array" ref="H56">INDEX(成本核算表!J:J,MATCH(1,(成本核算表!D:D=E56)*(成本核算表!C:C=G56),0))</f>
        <v>0</v>
      </c>
      <c r="I56" s="6"/>
      <c r="J56" s="6">
        <f ca="1" t="shared" si="4"/>
        <v>0</v>
      </c>
      <c r="K56" s="23"/>
      <c r="M56" s="6"/>
      <c r="N56" s="6">
        <f ca="1" t="shared" si="5"/>
        <v>0</v>
      </c>
      <c r="O56" s="6">
        <f ca="1" t="shared" si="6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6"/>
      <c r="H57" s="6">
        <f ca="1" t="array" ref="H57">INDEX(成本核算表!J:J,MATCH(1,(成本核算表!D:D=E57)*(成本核算表!C:C=G57),0))</f>
        <v>0</v>
      </c>
      <c r="I57" s="6"/>
      <c r="J57" s="6">
        <f ca="1" t="shared" si="4"/>
        <v>0</v>
      </c>
      <c r="K57" s="23"/>
      <c r="M57" s="6"/>
      <c r="N57" s="6">
        <f ca="1" t="shared" si="5"/>
        <v>0</v>
      </c>
      <c r="O57" s="6">
        <f ca="1" t="shared" si="6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6"/>
      <c r="H58" s="6">
        <f ca="1" t="array" ref="H58">INDEX(成本核算表!J:J,MATCH(1,(成本核算表!D:D=E58)*(成本核算表!C:C=G58),0))</f>
        <v>0</v>
      </c>
      <c r="I58" s="6"/>
      <c r="J58" s="6">
        <f ca="1" t="shared" si="4"/>
        <v>0</v>
      </c>
      <c r="K58" s="23"/>
      <c r="M58" s="6"/>
      <c r="N58" s="6">
        <f ca="1" t="shared" si="5"/>
        <v>0</v>
      </c>
      <c r="O58" s="6">
        <f ca="1" t="shared" si="6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6"/>
      <c r="H59" s="6">
        <f ca="1" t="array" ref="H59">INDEX(成本核算表!J:J,MATCH(1,(成本核算表!D:D=E59)*(成本核算表!C:C=G59),0))</f>
        <v>0</v>
      </c>
      <c r="I59" s="6"/>
      <c r="J59" s="6">
        <f ca="1" t="shared" si="4"/>
        <v>0</v>
      </c>
      <c r="K59" s="23"/>
      <c r="M59" s="6"/>
      <c r="N59" s="6">
        <f ca="1" t="shared" si="5"/>
        <v>0</v>
      </c>
      <c r="O59" s="6">
        <f ca="1" t="shared" si="6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6"/>
      <c r="H60" s="6">
        <f ca="1" t="array" ref="H60">INDEX(成本核算表!J:J,MATCH(1,(成本核算表!D:D=E60)*(成本核算表!C:C=G60),0))</f>
        <v>0</v>
      </c>
      <c r="I60" s="6"/>
      <c r="J60" s="6">
        <f ca="1" t="shared" si="4"/>
        <v>0</v>
      </c>
      <c r="K60" s="23"/>
      <c r="M60" s="6"/>
      <c r="N60" s="6">
        <f ca="1" t="shared" si="5"/>
        <v>0</v>
      </c>
      <c r="O60" s="6">
        <f ca="1" t="shared" si="6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6"/>
      <c r="H61" s="6">
        <f ca="1" t="array" ref="H61">INDEX(成本核算表!J:J,MATCH(1,(成本核算表!D:D=E61)*(成本核算表!C:C=G61),0))</f>
        <v>0</v>
      </c>
      <c r="I61" s="6"/>
      <c r="J61" s="6">
        <f ca="1" t="shared" si="4"/>
        <v>0</v>
      </c>
      <c r="K61" s="23"/>
      <c r="M61" s="6"/>
      <c r="N61" s="6">
        <f ca="1" t="shared" si="5"/>
        <v>0</v>
      </c>
      <c r="O61" s="6">
        <f ca="1" t="shared" si="6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6"/>
      <c r="H62" s="6">
        <f ca="1" t="array" ref="H62">INDEX(成本核算表!J:J,MATCH(1,(成本核算表!D:D=E62)*(成本核算表!C:C=G62),0))</f>
        <v>0</v>
      </c>
      <c r="I62" s="6"/>
      <c r="J62" s="6">
        <f ca="1" t="shared" si="4"/>
        <v>0</v>
      </c>
      <c r="K62" s="23"/>
      <c r="M62" s="6"/>
      <c r="N62" s="6">
        <f ca="1" t="shared" si="5"/>
        <v>0</v>
      </c>
      <c r="O62" s="6">
        <f ca="1" t="shared" si="6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6"/>
      <c r="H63" s="6">
        <f ca="1" t="array" ref="H63">INDEX(成本核算表!J:J,MATCH(1,(成本核算表!D:D=E63)*(成本核算表!C:C=G63),0))</f>
        <v>0</v>
      </c>
      <c r="I63" s="6"/>
      <c r="J63" s="6">
        <f ca="1" t="shared" si="4"/>
        <v>0</v>
      </c>
      <c r="K63" s="23"/>
      <c r="M63" s="6"/>
      <c r="N63" s="6">
        <f ca="1" t="shared" si="5"/>
        <v>0</v>
      </c>
      <c r="O63" s="6">
        <f ca="1" t="shared" si="6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6"/>
      <c r="H64" s="6">
        <f ca="1" t="array" ref="H64">INDEX(成本核算表!J:J,MATCH(1,(成本核算表!D:D=E64)*(成本核算表!C:C=G64),0))</f>
        <v>0</v>
      </c>
      <c r="I64" s="6"/>
      <c r="J64" s="6">
        <f ca="1" t="shared" si="4"/>
        <v>0</v>
      </c>
      <c r="K64" s="23"/>
      <c r="M64" s="6"/>
      <c r="N64" s="6">
        <f ca="1" t="shared" si="5"/>
        <v>0</v>
      </c>
      <c r="O64" s="6">
        <f ca="1" t="shared" si="6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6"/>
      <c r="H65" s="6">
        <f ca="1" t="array" ref="H65">INDEX(成本核算表!J:J,MATCH(1,(成本核算表!D:D=E65)*(成本核算表!C:C=G65),0))</f>
        <v>0</v>
      </c>
      <c r="I65" s="6"/>
      <c r="J65" s="6">
        <f ca="1" t="shared" si="4"/>
        <v>0</v>
      </c>
      <c r="K65" s="23"/>
      <c r="M65" s="6"/>
      <c r="N65" s="6">
        <f ca="1" t="shared" si="5"/>
        <v>0</v>
      </c>
      <c r="O65" s="6">
        <f ca="1" t="shared" si="6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6"/>
      <c r="H66" s="6">
        <f ca="1" t="array" ref="H66">INDEX(成本核算表!J:J,MATCH(1,(成本核算表!D:D=E66)*(成本核算表!C:C=G66),0))</f>
        <v>0</v>
      </c>
      <c r="I66" s="6"/>
      <c r="J66" s="6">
        <f ca="1" t="shared" si="4"/>
        <v>0</v>
      </c>
      <c r="K66" s="23"/>
      <c r="M66" s="6"/>
      <c r="N66" s="6">
        <f ca="1" t="shared" si="5"/>
        <v>0</v>
      </c>
      <c r="O66" s="6">
        <f ca="1" t="shared" si="6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6"/>
      <c r="H67" s="6">
        <f ca="1" t="array" ref="H67">INDEX(成本核算表!J:J,MATCH(1,(成本核算表!D:D=E67)*(成本核算表!C:C=G67),0))</f>
        <v>0</v>
      </c>
      <c r="I67" s="6"/>
      <c r="J67" s="6">
        <f ca="1" t="shared" si="4"/>
        <v>0</v>
      </c>
      <c r="K67" s="23"/>
      <c r="M67" s="6"/>
      <c r="N67" s="6">
        <f ca="1" t="shared" si="5"/>
        <v>0</v>
      </c>
      <c r="O67" s="6">
        <f ca="1" t="shared" si="6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6"/>
      <c r="H68" s="6">
        <f ca="1" t="array" ref="H68">INDEX(成本核算表!J:J,MATCH(1,(成本核算表!D:D=E68)*(成本核算表!C:C=G68),0))</f>
        <v>0</v>
      </c>
      <c r="I68" s="6"/>
      <c r="J68" s="6">
        <f ca="1" t="shared" si="4"/>
        <v>0</v>
      </c>
      <c r="K68" s="23"/>
      <c r="M68" s="6"/>
      <c r="N68" s="6">
        <f ca="1" t="shared" si="5"/>
        <v>0</v>
      </c>
      <c r="O68" s="6">
        <f ca="1" t="shared" si="6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6"/>
      <c r="H69" s="6">
        <f ca="1" t="array" ref="H69">INDEX(成本核算表!J:J,MATCH(1,(成本核算表!D:D=E69)*(成本核算表!C:C=G69),0))</f>
        <v>0</v>
      </c>
      <c r="I69" s="6"/>
      <c r="J69" s="6">
        <f ca="1" t="shared" si="4"/>
        <v>0</v>
      </c>
      <c r="K69" s="23"/>
      <c r="M69" s="6"/>
      <c r="N69" s="6">
        <f ca="1" t="shared" si="5"/>
        <v>0</v>
      </c>
      <c r="O69" s="6">
        <f ca="1" t="shared" si="6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6"/>
      <c r="H70" s="6">
        <f ca="1" t="array" ref="H70">INDEX(成本核算表!J:J,MATCH(1,(成本核算表!D:D=E70)*(成本核算表!C:C=G70),0))</f>
        <v>0</v>
      </c>
      <c r="I70" s="6"/>
      <c r="J70" s="6">
        <f ca="1" t="shared" si="4"/>
        <v>0</v>
      </c>
      <c r="K70" s="23"/>
      <c r="M70" s="6"/>
      <c r="N70" s="6">
        <f ca="1" t="shared" si="5"/>
        <v>0</v>
      </c>
      <c r="O70" s="6">
        <f ca="1" t="shared" si="6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6"/>
      <c r="H71" s="6">
        <f ca="1" t="array" ref="H71">INDEX(成本核算表!J:J,MATCH(1,(成本核算表!D:D=E71)*(成本核算表!C:C=G71),0))</f>
        <v>0</v>
      </c>
      <c r="I71" s="6"/>
      <c r="J71" s="6">
        <f ca="1" t="shared" si="4"/>
        <v>0</v>
      </c>
      <c r="K71" s="23"/>
      <c r="M71" s="6"/>
      <c r="N71" s="6">
        <f ca="1" t="shared" si="5"/>
        <v>0</v>
      </c>
      <c r="O71" s="6">
        <f ca="1" t="shared" si="6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6"/>
      <c r="H72" s="6">
        <f ca="1" t="array" ref="H72">INDEX(成本核算表!J:J,MATCH(1,(成本核算表!D:D=E72)*(成本核算表!C:C=G72),0))</f>
        <v>0</v>
      </c>
      <c r="I72" s="6"/>
      <c r="J72" s="6">
        <f ca="1" t="shared" si="4"/>
        <v>0</v>
      </c>
      <c r="K72" s="23"/>
      <c r="M72" s="6"/>
      <c r="N72" s="6">
        <f ca="1" t="shared" si="5"/>
        <v>0</v>
      </c>
      <c r="O72" s="6">
        <f ca="1" t="shared" si="6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6"/>
      <c r="H73" s="6">
        <f ca="1" t="array" ref="H73">INDEX(成本核算表!J:J,MATCH(1,(成本核算表!D:D=E73)*(成本核算表!C:C=G73),0))</f>
        <v>0</v>
      </c>
      <c r="I73" s="6"/>
      <c r="J73" s="6">
        <f ca="1" t="shared" si="4"/>
        <v>0</v>
      </c>
      <c r="K73" s="23"/>
      <c r="M73" s="6"/>
      <c r="N73" s="6">
        <f ca="1" t="shared" si="5"/>
        <v>0</v>
      </c>
      <c r="O73" s="6">
        <f ca="1" t="shared" si="6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6"/>
      <c r="H74" s="6">
        <f ca="1" t="array" ref="H74">INDEX(成本核算表!J:J,MATCH(1,(成本核算表!D:D=E74)*(成本核算表!C:C=G74),0))</f>
        <v>0</v>
      </c>
      <c r="I74" s="6"/>
      <c r="J74" s="6">
        <f ca="1" t="shared" ref="J74:J108" si="7">H74*I74</f>
        <v>0</v>
      </c>
      <c r="K74" s="23"/>
      <c r="M74" s="6"/>
      <c r="N74" s="6">
        <f ca="1" t="shared" ref="N74:N108" si="8">J74-M74+L74</f>
        <v>0</v>
      </c>
      <c r="O74" s="6">
        <f ca="1" t="shared" ref="O74:O108" si="9">N74/3600</f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6"/>
      <c r="H75" s="6">
        <f ca="1" t="array" ref="H75">INDEX(成本核算表!J:J,MATCH(1,(成本核算表!D:D=E75)*(成本核算表!C:C=G75),0))</f>
        <v>0</v>
      </c>
      <c r="I75" s="6"/>
      <c r="J75" s="6">
        <f ca="1" t="shared" si="7"/>
        <v>0</v>
      </c>
      <c r="K75" s="23"/>
      <c r="M75" s="6"/>
      <c r="N75" s="6">
        <f ca="1" t="shared" si="8"/>
        <v>0</v>
      </c>
      <c r="O75" s="6">
        <f ca="1" t="shared" si="9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6"/>
      <c r="H76" s="6">
        <f ca="1" t="array" ref="H76">INDEX(成本核算表!J:J,MATCH(1,(成本核算表!D:D=E76)*(成本核算表!C:C=G76),0))</f>
        <v>0</v>
      </c>
      <c r="I76" s="6"/>
      <c r="J76" s="6">
        <f ca="1" t="shared" si="7"/>
        <v>0</v>
      </c>
      <c r="K76" s="23"/>
      <c r="M76" s="6"/>
      <c r="N76" s="6">
        <f ca="1" t="shared" si="8"/>
        <v>0</v>
      </c>
      <c r="O76" s="6">
        <f ca="1" t="shared" si="9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6"/>
      <c r="H77" s="6">
        <f ca="1" t="array" ref="H77">INDEX(成本核算表!J:J,MATCH(1,(成本核算表!D:D=E77)*(成本核算表!C:C=G77),0))</f>
        <v>0</v>
      </c>
      <c r="I77" s="6"/>
      <c r="J77" s="6">
        <f ca="1" t="shared" si="7"/>
        <v>0</v>
      </c>
      <c r="K77" s="23"/>
      <c r="M77" s="6"/>
      <c r="N77" s="6">
        <f ca="1" t="shared" si="8"/>
        <v>0</v>
      </c>
      <c r="O77" s="6">
        <f ca="1" t="shared" si="9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6"/>
      <c r="H78" s="6">
        <f ca="1" t="array" ref="H78">INDEX(成本核算表!J:J,MATCH(1,(成本核算表!D:D=E78)*(成本核算表!C:C=G78),0))</f>
        <v>0</v>
      </c>
      <c r="I78" s="6"/>
      <c r="J78" s="6">
        <f ca="1" t="shared" si="7"/>
        <v>0</v>
      </c>
      <c r="K78" s="23"/>
      <c r="M78" s="6"/>
      <c r="N78" s="6">
        <f ca="1" t="shared" si="8"/>
        <v>0</v>
      </c>
      <c r="O78" s="6">
        <f ca="1" t="shared" si="9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6"/>
      <c r="H79" s="6">
        <f ca="1" t="array" ref="H79">INDEX(成本核算表!J:J,MATCH(1,(成本核算表!D:D=E79)*(成本核算表!C:C=G79),0))</f>
        <v>0</v>
      </c>
      <c r="I79" s="6"/>
      <c r="J79" s="6">
        <f ca="1" t="shared" si="7"/>
        <v>0</v>
      </c>
      <c r="K79" s="23"/>
      <c r="M79" s="6"/>
      <c r="N79" s="6">
        <f ca="1" t="shared" si="8"/>
        <v>0</v>
      </c>
      <c r="O79" s="6">
        <f ca="1" t="shared" si="9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6"/>
      <c r="H80" s="6">
        <f ca="1" t="array" ref="H80">INDEX(成本核算表!J:J,MATCH(1,(成本核算表!D:D=E80)*(成本核算表!C:C=G80),0))</f>
        <v>0</v>
      </c>
      <c r="I80" s="6"/>
      <c r="J80" s="6">
        <f ca="1" t="shared" si="7"/>
        <v>0</v>
      </c>
      <c r="K80" s="23"/>
      <c r="M80" s="6"/>
      <c r="N80" s="6">
        <f ca="1" t="shared" si="8"/>
        <v>0</v>
      </c>
      <c r="O80" s="6">
        <f ca="1" t="shared" si="9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6"/>
      <c r="H81" s="6">
        <f ca="1" t="array" ref="H81">INDEX(成本核算表!J:J,MATCH(1,(成本核算表!D:D=E81)*(成本核算表!C:C=G81),0))</f>
        <v>0</v>
      </c>
      <c r="I81" s="6"/>
      <c r="J81" s="6">
        <f ca="1" t="shared" si="7"/>
        <v>0</v>
      </c>
      <c r="K81" s="23"/>
      <c r="M81" s="6"/>
      <c r="N81" s="6">
        <f ca="1" t="shared" si="8"/>
        <v>0</v>
      </c>
      <c r="O81" s="6">
        <f ca="1" t="shared" si="9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6"/>
      <c r="H82" s="6">
        <f ca="1" t="array" ref="H82">INDEX(成本核算表!J:J,MATCH(1,(成本核算表!D:D=E82)*(成本核算表!C:C=G82),0))</f>
        <v>0</v>
      </c>
      <c r="I82" s="6"/>
      <c r="J82" s="6">
        <f ca="1" t="shared" si="7"/>
        <v>0</v>
      </c>
      <c r="K82" s="23"/>
      <c r="M82" s="6"/>
      <c r="N82" s="6">
        <f ca="1" t="shared" si="8"/>
        <v>0</v>
      </c>
      <c r="O82" s="6">
        <f ca="1" t="shared" si="9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6"/>
      <c r="H83" s="6">
        <f ca="1" t="array" ref="H83">INDEX(成本核算表!J:J,MATCH(1,(成本核算表!D:D=E83)*(成本核算表!C:C=G83),0))</f>
        <v>0</v>
      </c>
      <c r="I83" s="6"/>
      <c r="J83" s="6">
        <f ca="1" t="shared" si="7"/>
        <v>0</v>
      </c>
      <c r="K83" s="23"/>
      <c r="M83" s="6"/>
      <c r="N83" s="6">
        <f ca="1" t="shared" si="8"/>
        <v>0</v>
      </c>
      <c r="O83" s="6">
        <f ca="1" t="shared" si="9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6"/>
      <c r="H84" s="6">
        <f ca="1" t="array" ref="H84">INDEX(成本核算表!J:J,MATCH(1,(成本核算表!D:D=E84)*(成本核算表!C:C=G84),0))</f>
        <v>0</v>
      </c>
      <c r="I84" s="6"/>
      <c r="J84" s="6">
        <f ca="1" t="shared" si="7"/>
        <v>0</v>
      </c>
      <c r="K84" s="23"/>
      <c r="M84" s="6"/>
      <c r="N84" s="6">
        <f ca="1" t="shared" si="8"/>
        <v>0</v>
      </c>
      <c r="O84" s="6">
        <f ca="1" t="shared" si="9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6"/>
      <c r="H85" s="6">
        <f ca="1" t="array" ref="H85">INDEX(成本核算表!J:J,MATCH(1,(成本核算表!D:D=E85)*(成本核算表!C:C=G85),0))</f>
        <v>0</v>
      </c>
      <c r="I85" s="6"/>
      <c r="J85" s="6">
        <f ca="1" t="shared" si="7"/>
        <v>0</v>
      </c>
      <c r="K85" s="23"/>
      <c r="M85" s="6"/>
      <c r="N85" s="6">
        <f ca="1" t="shared" si="8"/>
        <v>0</v>
      </c>
      <c r="O85" s="6">
        <f ca="1" t="shared" si="9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6"/>
      <c r="H86" s="6">
        <f ca="1" t="array" ref="H86">INDEX(成本核算表!J:J,MATCH(1,(成本核算表!D:D=E86)*(成本核算表!C:C=G86),0))</f>
        <v>0</v>
      </c>
      <c r="I86" s="6"/>
      <c r="J86" s="6">
        <f ca="1" t="shared" si="7"/>
        <v>0</v>
      </c>
      <c r="K86" s="23"/>
      <c r="M86" s="6"/>
      <c r="N86" s="6">
        <f ca="1" t="shared" si="8"/>
        <v>0</v>
      </c>
      <c r="O86" s="6">
        <f ca="1" t="shared" si="9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6"/>
      <c r="H87" s="6">
        <f ca="1" t="array" ref="H87">INDEX(成本核算表!J:J,MATCH(1,(成本核算表!D:D=E87)*(成本核算表!C:C=G87),0))</f>
        <v>0</v>
      </c>
      <c r="I87" s="6"/>
      <c r="J87" s="6">
        <f ca="1" t="shared" si="7"/>
        <v>0</v>
      </c>
      <c r="K87" s="23"/>
      <c r="M87" s="6"/>
      <c r="N87" s="6">
        <f ca="1" t="shared" si="8"/>
        <v>0</v>
      </c>
      <c r="O87" s="6">
        <f ca="1" t="shared" si="9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6"/>
      <c r="H88" s="6">
        <f ca="1" t="array" ref="H88">INDEX(成本核算表!J:J,MATCH(1,(成本核算表!D:D=E88)*(成本核算表!C:C=G88),0))</f>
        <v>0</v>
      </c>
      <c r="I88" s="6"/>
      <c r="J88" s="6">
        <f ca="1" t="shared" si="7"/>
        <v>0</v>
      </c>
      <c r="K88" s="23"/>
      <c r="M88" s="6"/>
      <c r="N88" s="6">
        <f ca="1" t="shared" si="8"/>
        <v>0</v>
      </c>
      <c r="O88" s="6">
        <f ca="1" t="shared" si="9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6"/>
      <c r="H89" s="6">
        <f ca="1" t="array" ref="H89">INDEX(成本核算表!J:J,MATCH(1,(成本核算表!D:D=E89)*(成本核算表!C:C=G89),0))</f>
        <v>0</v>
      </c>
      <c r="I89" s="6"/>
      <c r="J89" s="6">
        <f ca="1" t="shared" si="7"/>
        <v>0</v>
      </c>
      <c r="K89" s="23"/>
      <c r="M89" s="6"/>
      <c r="N89" s="6">
        <f ca="1" t="shared" si="8"/>
        <v>0</v>
      </c>
      <c r="O89" s="6">
        <f ca="1" t="shared" si="9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6"/>
      <c r="H90" s="6">
        <f ca="1" t="array" ref="H90">INDEX(成本核算表!J:J,MATCH(1,(成本核算表!D:D=E90)*(成本核算表!C:C=G90),0))</f>
        <v>0</v>
      </c>
      <c r="I90" s="6"/>
      <c r="J90" s="6">
        <f ca="1" t="shared" si="7"/>
        <v>0</v>
      </c>
      <c r="K90" s="23"/>
      <c r="M90" s="6"/>
      <c r="N90" s="6">
        <f ca="1" t="shared" si="8"/>
        <v>0</v>
      </c>
      <c r="O90" s="6">
        <f ca="1" t="shared" si="9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6"/>
      <c r="H91" s="6">
        <f ca="1" t="array" ref="H91">INDEX(成本核算表!J:J,MATCH(1,(成本核算表!D:D=E91)*(成本核算表!C:C=G91),0))</f>
        <v>0</v>
      </c>
      <c r="I91" s="6"/>
      <c r="J91" s="6">
        <f ca="1" t="shared" si="7"/>
        <v>0</v>
      </c>
      <c r="K91" s="23"/>
      <c r="M91" s="6"/>
      <c r="N91" s="6">
        <f ca="1" t="shared" si="8"/>
        <v>0</v>
      </c>
      <c r="O91" s="6">
        <f ca="1" t="shared" si="9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6"/>
      <c r="H92" s="6">
        <f ca="1" t="array" ref="H92">INDEX(成本核算表!J:J,MATCH(1,(成本核算表!D:D=E92)*(成本核算表!C:C=G92),0))</f>
        <v>0</v>
      </c>
      <c r="I92" s="6"/>
      <c r="J92" s="6">
        <f ca="1" t="shared" si="7"/>
        <v>0</v>
      </c>
      <c r="K92" s="23"/>
      <c r="M92" s="6"/>
      <c r="N92" s="6">
        <f ca="1" t="shared" si="8"/>
        <v>0</v>
      </c>
      <c r="O92" s="6">
        <f ca="1" t="shared" si="9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5"/>
      <c r="H93" s="25"/>
      <c r="I93" s="6"/>
      <c r="J93" s="6">
        <f t="shared" si="7"/>
        <v>0</v>
      </c>
      <c r="K93" s="23"/>
      <c r="M93" s="6"/>
      <c r="N93" s="6">
        <f t="shared" si="8"/>
        <v>0</v>
      </c>
      <c r="O93" s="6">
        <f t="shared" si="9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5"/>
      <c r="H94" s="25"/>
      <c r="I94" s="6"/>
      <c r="J94" s="6">
        <f t="shared" si="7"/>
        <v>0</v>
      </c>
      <c r="K94" s="23"/>
      <c r="M94" s="6"/>
      <c r="N94" s="6">
        <f t="shared" si="8"/>
        <v>0</v>
      </c>
      <c r="O94" s="6">
        <f t="shared" si="9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5"/>
      <c r="H95" s="25"/>
      <c r="I95" s="6"/>
      <c r="J95" s="6">
        <f t="shared" si="7"/>
        <v>0</v>
      </c>
      <c r="K95" s="23"/>
      <c r="M95" s="6"/>
      <c r="N95" s="6">
        <f t="shared" si="8"/>
        <v>0</v>
      </c>
      <c r="O95" s="6">
        <f t="shared" si="9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5"/>
      <c r="H96" s="25"/>
      <c r="I96" s="6"/>
      <c r="J96" s="6">
        <f t="shared" si="7"/>
        <v>0</v>
      </c>
      <c r="K96" s="23"/>
      <c r="M96" s="6"/>
      <c r="N96" s="6">
        <f t="shared" si="8"/>
        <v>0</v>
      </c>
      <c r="O96" s="6">
        <f t="shared" si="9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5"/>
      <c r="H97" s="25"/>
      <c r="I97" s="6"/>
      <c r="J97" s="6">
        <f t="shared" si="7"/>
        <v>0</v>
      </c>
      <c r="K97" s="23"/>
      <c r="M97" s="6"/>
      <c r="N97" s="6">
        <f t="shared" si="8"/>
        <v>0</v>
      </c>
      <c r="O97" s="6">
        <f t="shared" si="9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5"/>
      <c r="H98" s="25"/>
      <c r="I98" s="6"/>
      <c r="J98" s="6">
        <f t="shared" si="7"/>
        <v>0</v>
      </c>
      <c r="K98" s="23"/>
      <c r="M98" s="6"/>
      <c r="N98" s="6">
        <f t="shared" si="8"/>
        <v>0</v>
      </c>
      <c r="O98" s="6">
        <f t="shared" si="9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5"/>
      <c r="H99" s="25"/>
      <c r="I99" s="6"/>
      <c r="J99" s="6">
        <f t="shared" si="7"/>
        <v>0</v>
      </c>
      <c r="K99" s="23"/>
      <c r="M99" s="6"/>
      <c r="N99" s="6">
        <f t="shared" si="8"/>
        <v>0</v>
      </c>
      <c r="O99" s="6">
        <f t="shared" si="9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5"/>
      <c r="H100" s="25"/>
      <c r="I100" s="6"/>
      <c r="J100" s="6">
        <f t="shared" si="7"/>
        <v>0</v>
      </c>
      <c r="K100" s="23"/>
      <c r="M100" s="6"/>
      <c r="N100" s="6">
        <f t="shared" si="8"/>
        <v>0</v>
      </c>
      <c r="O100" s="6">
        <f t="shared" si="9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5"/>
      <c r="H101" s="25"/>
      <c r="I101" s="6"/>
      <c r="J101" s="6">
        <f t="shared" si="7"/>
        <v>0</v>
      </c>
      <c r="K101" s="23"/>
      <c r="M101" s="6"/>
      <c r="N101" s="6">
        <f t="shared" si="8"/>
        <v>0</v>
      </c>
      <c r="O101" s="6">
        <f t="shared" si="9"/>
        <v>0</v>
      </c>
    </row>
    <row r="102" s="21" customFormat="1" ht="20" customHeight="1" spans="1:15">
      <c r="A102" s="22"/>
      <c r="B102" s="23"/>
      <c r="C102" s="24"/>
      <c r="D102" s="23"/>
      <c r="E102" s="23"/>
      <c r="F102" s="23"/>
      <c r="G102" s="25"/>
      <c r="H102" s="25"/>
      <c r="I102" s="6"/>
      <c r="J102" s="6">
        <f t="shared" si="7"/>
        <v>0</v>
      </c>
      <c r="K102" s="23"/>
      <c r="M102" s="6"/>
      <c r="N102" s="6">
        <f t="shared" si="8"/>
        <v>0</v>
      </c>
      <c r="O102" s="6">
        <f t="shared" si="9"/>
        <v>0</v>
      </c>
    </row>
    <row r="103" s="21" customFormat="1" ht="20" customHeight="1" spans="1:15">
      <c r="A103" s="22"/>
      <c r="B103" s="23"/>
      <c r="C103" s="24"/>
      <c r="D103" s="23"/>
      <c r="E103" s="23"/>
      <c r="F103" s="23"/>
      <c r="G103" s="25"/>
      <c r="H103" s="25"/>
      <c r="I103" s="6"/>
      <c r="J103" s="6">
        <f t="shared" si="7"/>
        <v>0</v>
      </c>
      <c r="K103" s="23"/>
      <c r="M103" s="6"/>
      <c r="N103" s="6">
        <f t="shared" si="8"/>
        <v>0</v>
      </c>
      <c r="O103" s="6">
        <f t="shared" si="9"/>
        <v>0</v>
      </c>
    </row>
    <row r="104" s="21" customFormat="1" ht="20" customHeight="1" spans="1:15">
      <c r="A104" s="22"/>
      <c r="B104" s="23"/>
      <c r="C104" s="24"/>
      <c r="D104" s="23"/>
      <c r="E104" s="23"/>
      <c r="F104" s="23"/>
      <c r="G104" s="25"/>
      <c r="H104" s="25"/>
      <c r="I104" s="6"/>
      <c r="J104" s="6">
        <f t="shared" si="7"/>
        <v>0</v>
      </c>
      <c r="K104" s="23"/>
      <c r="M104" s="6"/>
      <c r="N104" s="6">
        <f t="shared" si="8"/>
        <v>0</v>
      </c>
      <c r="O104" s="6">
        <f t="shared" si="9"/>
        <v>0</v>
      </c>
    </row>
    <row r="105" s="21" customFormat="1" ht="20" customHeight="1" spans="1:15">
      <c r="A105" s="22"/>
      <c r="B105" s="23"/>
      <c r="C105" s="24"/>
      <c r="D105" s="23"/>
      <c r="E105" s="23"/>
      <c r="F105" s="23"/>
      <c r="G105" s="25"/>
      <c r="H105" s="25"/>
      <c r="I105" s="6"/>
      <c r="J105" s="6">
        <f t="shared" si="7"/>
        <v>0</v>
      </c>
      <c r="K105" s="23"/>
      <c r="M105" s="6"/>
      <c r="N105" s="6">
        <f t="shared" si="8"/>
        <v>0</v>
      </c>
      <c r="O105" s="6">
        <f t="shared" si="9"/>
        <v>0</v>
      </c>
    </row>
    <row r="106" s="21" customFormat="1" ht="20" customHeight="1" spans="1:15">
      <c r="A106" s="22"/>
      <c r="B106" s="23"/>
      <c r="C106" s="24"/>
      <c r="D106" s="23"/>
      <c r="E106" s="23"/>
      <c r="F106" s="23"/>
      <c r="G106" s="25"/>
      <c r="H106" s="25"/>
      <c r="I106" s="6"/>
      <c r="J106" s="6">
        <f t="shared" si="7"/>
        <v>0</v>
      </c>
      <c r="K106" s="23"/>
      <c r="M106" s="6"/>
      <c r="N106" s="6">
        <f t="shared" si="8"/>
        <v>0</v>
      </c>
      <c r="O106" s="6">
        <f t="shared" si="9"/>
        <v>0</v>
      </c>
    </row>
    <row r="107" s="21" customFormat="1" ht="20" customHeight="1" spans="1:15">
      <c r="A107" s="22"/>
      <c r="B107" s="23"/>
      <c r="C107" s="24"/>
      <c r="D107" s="23"/>
      <c r="E107" s="23"/>
      <c r="F107" s="23"/>
      <c r="G107" s="25"/>
      <c r="H107" s="25"/>
      <c r="I107" s="6"/>
      <c r="J107" s="6">
        <f t="shared" si="7"/>
        <v>0</v>
      </c>
      <c r="K107" s="23"/>
      <c r="M107" s="6"/>
      <c r="N107" s="6">
        <f t="shared" si="8"/>
        <v>0</v>
      </c>
      <c r="O107" s="6">
        <f t="shared" si="9"/>
        <v>0</v>
      </c>
    </row>
    <row r="108" s="21" customFormat="1" ht="20" customHeight="1" spans="1:15">
      <c r="A108" s="22"/>
      <c r="B108" s="23"/>
      <c r="C108" s="24"/>
      <c r="D108" s="23"/>
      <c r="E108" s="23"/>
      <c r="F108" s="23"/>
      <c r="G108" s="25"/>
      <c r="H108" s="25"/>
      <c r="I108" s="6"/>
      <c r="J108" s="6">
        <f t="shared" si="7"/>
        <v>0</v>
      </c>
      <c r="K108" s="23"/>
      <c r="M108" s="6"/>
      <c r="N108" s="6">
        <f t="shared" si="8"/>
        <v>0</v>
      </c>
      <c r="O108" s="6">
        <f t="shared" si="9"/>
        <v>0</v>
      </c>
    </row>
    <row r="109" s="21" customFormat="1" customHeight="1" spans="1:15">
      <c r="A109" s="22"/>
      <c r="B109" s="23"/>
      <c r="C109" s="24"/>
      <c r="D109" s="23"/>
      <c r="E109" s="23"/>
      <c r="F109" s="23"/>
      <c r="G109" s="25"/>
      <c r="H109" s="25"/>
      <c r="I109" s="23"/>
      <c r="J109" s="23"/>
      <c r="K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5"/>
      <c r="H110" s="25"/>
      <c r="I110" s="23"/>
      <c r="J110" s="23"/>
      <c r="K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5"/>
      <c r="H111" s="25"/>
      <c r="I111" s="23"/>
      <c r="J111" s="23"/>
      <c r="K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5"/>
      <c r="H112" s="25"/>
      <c r="I112" s="23"/>
      <c r="J112" s="23"/>
      <c r="K112" s="23"/>
    </row>
    <row r="113" s="21" customFormat="1" customHeight="1" spans="1:11">
      <c r="A113" s="22"/>
      <c r="B113" s="23"/>
      <c r="C113" s="24"/>
      <c r="D113" s="23"/>
      <c r="E113" s="23"/>
      <c r="F113" s="23"/>
      <c r="G113" s="25"/>
      <c r="H113" s="25"/>
      <c r="I113" s="23"/>
      <c r="J113" s="23"/>
      <c r="K113" s="23"/>
    </row>
    <row r="114" s="21" customFormat="1" customHeight="1" spans="1:11">
      <c r="A114" s="22"/>
      <c r="B114" s="23"/>
      <c r="C114" s="24"/>
      <c r="D114" s="23"/>
      <c r="E114" s="23"/>
      <c r="F114" s="23"/>
      <c r="G114" s="25"/>
      <c r="H114" s="25"/>
      <c r="I114" s="23"/>
      <c r="J114" s="23"/>
      <c r="K114" s="23"/>
    </row>
    <row r="115" s="21" customFormat="1" customHeight="1" spans="1:11">
      <c r="A115" s="22"/>
      <c r="B115" s="23"/>
      <c r="C115" s="24"/>
      <c r="D115" s="23"/>
      <c r="E115" s="23"/>
      <c r="F115" s="23"/>
      <c r="G115" s="25"/>
      <c r="H115" s="25"/>
      <c r="I115" s="23"/>
      <c r="J115" s="23"/>
      <c r="K115" s="23"/>
    </row>
    <row r="116" s="21" customFormat="1" customHeight="1" spans="1:11">
      <c r="A116" s="22"/>
      <c r="B116" s="23"/>
      <c r="C116" s="24"/>
      <c r="D116" s="23"/>
      <c r="E116" s="23"/>
      <c r="F116" s="23"/>
      <c r="G116" s="25"/>
      <c r="H116" s="25"/>
      <c r="I116" s="23"/>
      <c r="J116" s="23"/>
      <c r="K116" s="23"/>
    </row>
    <row r="117" s="21" customFormat="1" customHeight="1" spans="1:11">
      <c r="A117" s="22"/>
      <c r="B117" s="23"/>
      <c r="C117" s="24"/>
      <c r="D117" s="23"/>
      <c r="E117" s="23"/>
      <c r="F117" s="23"/>
      <c r="G117" s="25"/>
      <c r="H117" s="25"/>
      <c r="I117" s="23"/>
      <c r="J117" s="23"/>
      <c r="K117" s="23"/>
    </row>
    <row r="118" s="21" customFormat="1" customHeight="1" spans="1:11">
      <c r="A118" s="22"/>
      <c r="B118" s="23"/>
      <c r="C118" s="24"/>
      <c r="D118" s="23"/>
      <c r="E118" s="23"/>
      <c r="F118" s="23"/>
      <c r="G118" s="25"/>
      <c r="H118" s="25"/>
      <c r="I118" s="23"/>
      <c r="J118" s="23"/>
      <c r="K118" s="23"/>
    </row>
    <row r="119" s="21" customFormat="1" customHeight="1" spans="1:11">
      <c r="A119" s="22"/>
      <c r="B119" s="23"/>
      <c r="C119" s="24"/>
      <c r="D119" s="23"/>
      <c r="E119" s="23"/>
      <c r="F119" s="23"/>
      <c r="G119" s="25"/>
      <c r="H119" s="25"/>
      <c r="I119" s="23"/>
      <c r="J119" s="23"/>
      <c r="K119" s="23"/>
    </row>
    <row r="120" s="21" customFormat="1" customHeight="1" spans="1:11">
      <c r="A120" s="22"/>
      <c r="B120" s="23"/>
      <c r="C120" s="24"/>
      <c r="D120" s="23"/>
      <c r="E120" s="23"/>
      <c r="F120" s="23"/>
      <c r="G120" s="25"/>
      <c r="H120" s="25"/>
      <c r="I120" s="23"/>
      <c r="J120" s="23"/>
      <c r="K120" s="23"/>
    </row>
    <row r="121" s="21" customFormat="1" customHeight="1" spans="1:11">
      <c r="A121" s="22"/>
      <c r="B121" s="23"/>
      <c r="C121" s="24"/>
      <c r="D121" s="23"/>
      <c r="E121" s="23"/>
      <c r="F121" s="23"/>
      <c r="G121" s="25"/>
      <c r="H121" s="25"/>
      <c r="I121" s="23"/>
      <c r="J121" s="23"/>
      <c r="K121" s="23"/>
    </row>
    <row r="122" s="21" customFormat="1" customHeight="1" spans="1:11">
      <c r="A122" s="22"/>
      <c r="B122" s="23"/>
      <c r="C122" s="24"/>
      <c r="D122" s="23"/>
      <c r="E122" s="23"/>
      <c r="F122" s="23"/>
      <c r="G122" s="25"/>
      <c r="H122" s="25"/>
      <c r="I122" s="23"/>
      <c r="J122" s="23"/>
      <c r="K122" s="23"/>
    </row>
    <row r="123" s="21" customFormat="1" customHeight="1" spans="1:11">
      <c r="A123" s="22"/>
      <c r="B123" s="23"/>
      <c r="C123" s="24"/>
      <c r="D123" s="23"/>
      <c r="E123" s="23"/>
      <c r="F123" s="23"/>
      <c r="G123" s="25"/>
      <c r="H123" s="25"/>
      <c r="I123" s="23"/>
      <c r="J123" s="23"/>
      <c r="K123" s="23"/>
    </row>
    <row r="124" s="21" customFormat="1" customHeight="1" spans="1:11">
      <c r="A124" s="22"/>
      <c r="B124" s="23"/>
      <c r="C124" s="24"/>
      <c r="D124" s="23"/>
      <c r="E124" s="23"/>
      <c r="F124" s="23"/>
      <c r="G124" s="25"/>
      <c r="H124" s="25"/>
      <c r="I124" s="23"/>
      <c r="J124" s="23"/>
      <c r="K124" s="23"/>
    </row>
    <row r="125" s="21" customFormat="1" customHeight="1" spans="1:11">
      <c r="A125" s="22"/>
      <c r="B125" s="23"/>
      <c r="C125" s="24"/>
      <c r="D125" s="23"/>
      <c r="E125" s="23"/>
      <c r="F125" s="23"/>
      <c r="G125" s="25"/>
      <c r="H125" s="25"/>
      <c r="I125" s="23"/>
      <c r="J125" s="23"/>
      <c r="K125" s="23"/>
    </row>
    <row r="126" s="21" customFormat="1" customHeight="1" spans="1:11">
      <c r="A126" s="22"/>
      <c r="B126" s="23"/>
      <c r="C126" s="24"/>
      <c r="D126" s="23"/>
      <c r="E126" s="23"/>
      <c r="F126" s="23"/>
      <c r="G126" s="25"/>
      <c r="H126" s="25"/>
      <c r="I126" s="23"/>
      <c r="J126" s="23"/>
      <c r="K126" s="23"/>
    </row>
    <row r="127" s="21" customFormat="1" customHeight="1" spans="1:11">
      <c r="A127" s="22"/>
      <c r="B127" s="23"/>
      <c r="C127" s="24"/>
      <c r="D127" s="23"/>
      <c r="E127" s="23"/>
      <c r="F127" s="23"/>
      <c r="G127" s="25"/>
      <c r="H127" s="25"/>
      <c r="I127" s="23"/>
      <c r="J127" s="23"/>
      <c r="K127" s="23"/>
    </row>
    <row r="128" s="21" customFormat="1" customHeight="1" spans="1:11">
      <c r="A128" s="22"/>
      <c r="B128" s="23"/>
      <c r="C128" s="24"/>
      <c r="D128" s="23"/>
      <c r="E128" s="23"/>
      <c r="F128" s="23"/>
      <c r="G128" s="25"/>
      <c r="H128" s="25"/>
      <c r="I128" s="23"/>
      <c r="J128" s="23"/>
      <c r="K128" s="23"/>
    </row>
    <row r="129" s="21" customFormat="1" customHeight="1" spans="1:11">
      <c r="A129" s="22"/>
      <c r="B129" s="23"/>
      <c r="C129" s="24"/>
      <c r="D129" s="23"/>
      <c r="E129" s="23"/>
      <c r="F129" s="23"/>
      <c r="G129" s="25"/>
      <c r="H129" s="25"/>
      <c r="I129" s="23"/>
      <c r="J129" s="23"/>
      <c r="K129" s="23"/>
    </row>
    <row r="130" s="21" customFormat="1" customHeight="1" spans="1:11">
      <c r="A130" s="22"/>
      <c r="B130" s="23"/>
      <c r="C130" s="24"/>
      <c r="D130" s="23"/>
      <c r="E130" s="23"/>
      <c r="F130" s="23"/>
      <c r="G130" s="25"/>
      <c r="H130" s="25"/>
      <c r="I130" s="23"/>
      <c r="J130" s="23"/>
      <c r="K130" s="23"/>
    </row>
    <row r="131" s="21" customFormat="1" customHeight="1" spans="1:11">
      <c r="A131" s="22"/>
      <c r="B131" s="23"/>
      <c r="C131" s="24"/>
      <c r="D131" s="23"/>
      <c r="E131" s="23"/>
      <c r="F131" s="23"/>
      <c r="G131" s="25"/>
      <c r="H131" s="25"/>
      <c r="I131" s="23"/>
      <c r="J131" s="23"/>
      <c r="K131" s="23"/>
    </row>
    <row r="132" s="21" customFormat="1" customHeight="1" spans="1:11">
      <c r="A132" s="22"/>
      <c r="B132" s="23"/>
      <c r="C132" s="24"/>
      <c r="D132" s="23"/>
      <c r="E132" s="23"/>
      <c r="F132" s="23"/>
      <c r="G132" s="25"/>
      <c r="H132" s="25"/>
      <c r="I132" s="23"/>
      <c r="J132" s="23"/>
      <c r="K132" s="23"/>
    </row>
    <row r="133" s="21" customFormat="1" customHeight="1" spans="1:11">
      <c r="A133" s="22"/>
      <c r="B133" s="23"/>
      <c r="C133" s="24"/>
      <c r="D133" s="23"/>
      <c r="E133" s="23"/>
      <c r="F133" s="23"/>
      <c r="G133" s="25"/>
      <c r="H133" s="25"/>
      <c r="I133" s="23"/>
      <c r="J133" s="23"/>
      <c r="K133" s="23"/>
    </row>
    <row r="134" s="21" customFormat="1" customHeight="1" spans="1:11">
      <c r="A134" s="22"/>
      <c r="B134" s="23"/>
      <c r="C134" s="24"/>
      <c r="D134" s="23"/>
      <c r="E134" s="23"/>
      <c r="F134" s="23"/>
      <c r="G134" s="25"/>
      <c r="H134" s="25"/>
      <c r="I134" s="23"/>
      <c r="J134" s="23"/>
      <c r="K134" s="23"/>
    </row>
    <row r="135" s="21" customFormat="1" customHeight="1" spans="1:11">
      <c r="A135" s="22"/>
      <c r="B135" s="23"/>
      <c r="C135" s="24"/>
      <c r="D135" s="23"/>
      <c r="E135" s="23"/>
      <c r="F135" s="23"/>
      <c r="G135" s="25"/>
      <c r="H135" s="25"/>
      <c r="I135" s="23"/>
      <c r="J135" s="23"/>
      <c r="K135" s="23"/>
    </row>
    <row r="136" s="21" customFormat="1" customHeight="1" spans="1:11">
      <c r="A136" s="22"/>
      <c r="B136" s="23"/>
      <c r="C136" s="24"/>
      <c r="D136" s="23"/>
      <c r="E136" s="23"/>
      <c r="F136" s="23"/>
      <c r="G136" s="25"/>
      <c r="H136" s="25"/>
      <c r="I136" s="23"/>
      <c r="J136" s="23"/>
      <c r="K136" s="23"/>
    </row>
    <row r="137" s="21" customFormat="1" customHeight="1" spans="1:11">
      <c r="A137" s="22"/>
      <c r="B137" s="23"/>
      <c r="C137" s="24"/>
      <c r="D137" s="23"/>
      <c r="E137" s="23"/>
      <c r="F137" s="23"/>
      <c r="G137" s="25"/>
      <c r="H137" s="25"/>
      <c r="I137" s="23"/>
      <c r="J137" s="23"/>
      <c r="K137" s="23"/>
    </row>
    <row r="138" s="21" customFormat="1" customHeight="1" spans="1:11">
      <c r="A138" s="22"/>
      <c r="B138" s="23"/>
      <c r="C138" s="24"/>
      <c r="D138" s="23"/>
      <c r="E138" s="23"/>
      <c r="F138" s="23"/>
      <c r="G138" s="25"/>
      <c r="H138" s="25"/>
      <c r="I138" s="23"/>
      <c r="J138" s="23"/>
      <c r="K138" s="23"/>
    </row>
    <row r="139" s="21" customFormat="1" customHeight="1" spans="1:11">
      <c r="A139" s="22"/>
      <c r="B139" s="23"/>
      <c r="C139" s="24"/>
      <c r="D139" s="23"/>
      <c r="E139" s="23"/>
      <c r="F139" s="23"/>
      <c r="G139" s="25"/>
      <c r="H139" s="25"/>
      <c r="I139" s="23"/>
      <c r="J139" s="23"/>
      <c r="K139" s="23"/>
    </row>
    <row r="140" s="21" customFormat="1" customHeight="1" spans="1:11">
      <c r="A140" s="22"/>
      <c r="B140" s="23"/>
      <c r="C140" s="24"/>
      <c r="D140" s="23"/>
      <c r="E140" s="23"/>
      <c r="F140" s="23"/>
      <c r="G140" s="25"/>
      <c r="H140" s="25"/>
      <c r="I140" s="23"/>
      <c r="J140" s="23"/>
      <c r="K140" s="23"/>
    </row>
    <row r="141" s="21" customFormat="1" customHeight="1" spans="1:11">
      <c r="A141" s="22"/>
      <c r="B141" s="23"/>
      <c r="C141" s="24"/>
      <c r="D141" s="23"/>
      <c r="E141" s="23"/>
      <c r="F141" s="23"/>
      <c r="G141" s="25"/>
      <c r="H141" s="25"/>
      <c r="I141" s="23"/>
      <c r="J141" s="23"/>
      <c r="K141" s="23"/>
    </row>
    <row r="142" s="21" customFormat="1" customHeight="1" spans="1:11">
      <c r="A142" s="22"/>
      <c r="B142" s="23"/>
      <c r="C142" s="24"/>
      <c r="D142" s="23"/>
      <c r="E142" s="23"/>
      <c r="F142" s="23"/>
      <c r="G142" s="25"/>
      <c r="H142" s="25"/>
      <c r="I142" s="23"/>
      <c r="J142" s="23"/>
      <c r="K142" s="23"/>
    </row>
    <row r="143" s="21" customFormat="1" customHeight="1" spans="1:11">
      <c r="A143" s="22"/>
      <c r="B143" s="23"/>
      <c r="C143" s="24"/>
      <c r="D143" s="23"/>
      <c r="E143" s="23"/>
      <c r="F143" s="23"/>
      <c r="G143" s="25"/>
      <c r="H143" s="25"/>
      <c r="I143" s="23"/>
      <c r="J143" s="23"/>
      <c r="K143" s="23"/>
    </row>
    <row r="144" s="21" customFormat="1" customHeight="1" spans="1:11">
      <c r="A144" s="22"/>
      <c r="B144" s="23"/>
      <c r="C144" s="24"/>
      <c r="D144" s="23"/>
      <c r="E144" s="23"/>
      <c r="F144" s="23"/>
      <c r="G144" s="25"/>
      <c r="H144" s="25"/>
      <c r="I144" s="23"/>
      <c r="J144" s="23"/>
      <c r="K144" s="23"/>
    </row>
    <row r="145" s="21" customFormat="1" customHeight="1" spans="1:11">
      <c r="A145" s="22"/>
      <c r="B145" s="23"/>
      <c r="C145" s="24"/>
      <c r="D145" s="23"/>
      <c r="E145" s="23"/>
      <c r="F145" s="23"/>
      <c r="G145" s="25"/>
      <c r="H145" s="25"/>
      <c r="I145" s="23"/>
      <c r="J145" s="23"/>
      <c r="K145" s="23"/>
    </row>
    <row r="146" s="21" customFormat="1" customHeight="1" spans="1:11">
      <c r="A146" s="22"/>
      <c r="B146" s="23"/>
      <c r="C146" s="24"/>
      <c r="D146" s="23"/>
      <c r="E146" s="23"/>
      <c r="F146" s="23"/>
      <c r="G146" s="25"/>
      <c r="H146" s="25"/>
      <c r="I146" s="23"/>
      <c r="J146" s="23"/>
      <c r="K146" s="23"/>
    </row>
    <row r="147" s="21" customFormat="1" customHeight="1" spans="1:11">
      <c r="A147" s="22"/>
      <c r="B147" s="23"/>
      <c r="C147" s="24"/>
      <c r="D147" s="23"/>
      <c r="E147" s="23"/>
      <c r="F147" s="23"/>
      <c r="G147" s="25"/>
      <c r="H147" s="25"/>
      <c r="I147" s="23"/>
      <c r="J147" s="23"/>
      <c r="K147" s="23"/>
    </row>
    <row r="148" s="21" customFormat="1" customHeight="1" spans="1:11">
      <c r="A148" s="22"/>
      <c r="B148" s="23"/>
      <c r="C148" s="24"/>
      <c r="D148" s="23"/>
      <c r="E148" s="23"/>
      <c r="F148" s="23"/>
      <c r="G148" s="25"/>
      <c r="H148" s="25"/>
      <c r="I148" s="23"/>
      <c r="J148" s="23"/>
      <c r="K148" s="23"/>
    </row>
    <row r="149" s="21" customFormat="1" customHeight="1" spans="1:11">
      <c r="A149" s="22"/>
      <c r="B149" s="23"/>
      <c r="C149" s="24"/>
      <c r="D149" s="23"/>
      <c r="E149" s="23"/>
      <c r="F149" s="23"/>
      <c r="G149" s="25"/>
      <c r="H149" s="25"/>
      <c r="I149" s="23"/>
      <c r="J149" s="23"/>
      <c r="K149" s="23"/>
    </row>
    <row r="150" s="21" customFormat="1" customHeight="1" spans="1:11">
      <c r="A150" s="22"/>
      <c r="B150" s="23"/>
      <c r="C150" s="24"/>
      <c r="D150" s="23"/>
      <c r="E150" s="23"/>
      <c r="F150" s="23"/>
      <c r="G150" s="25"/>
      <c r="H150" s="25"/>
      <c r="I150" s="23"/>
      <c r="J150" s="23"/>
      <c r="K150" s="23"/>
    </row>
    <row r="151" s="21" customFormat="1" customHeight="1" spans="1:11">
      <c r="A151" s="22"/>
      <c r="B151" s="23"/>
      <c r="C151" s="24"/>
      <c r="D151" s="23"/>
      <c r="E151" s="23"/>
      <c r="F151" s="23"/>
      <c r="G151" s="25"/>
      <c r="H151" s="25"/>
      <c r="I151" s="23"/>
      <c r="J151" s="23"/>
      <c r="K151" s="23"/>
    </row>
    <row r="152" s="21" customFormat="1" customHeight="1" spans="1:11">
      <c r="A152" s="22"/>
      <c r="B152" s="23"/>
      <c r="C152" s="24"/>
      <c r="D152" s="23"/>
      <c r="E152" s="23"/>
      <c r="F152" s="23"/>
      <c r="G152" s="25"/>
      <c r="H152" s="25"/>
      <c r="I152" s="23"/>
      <c r="J152" s="23"/>
      <c r="K152" s="23"/>
    </row>
    <row r="153" s="21" customFormat="1" customHeight="1" spans="1:11">
      <c r="A153" s="22"/>
      <c r="B153" s="23"/>
      <c r="C153" s="24"/>
      <c r="D153" s="23"/>
      <c r="E153" s="23"/>
      <c r="F153" s="23"/>
      <c r="G153" s="25"/>
      <c r="H153" s="25"/>
      <c r="I153" s="23"/>
      <c r="J153" s="23"/>
      <c r="K153" s="23"/>
    </row>
    <row r="154" s="21" customFormat="1" customHeight="1" spans="1:11">
      <c r="A154" s="22"/>
      <c r="B154" s="23"/>
      <c r="C154" s="24"/>
      <c r="D154" s="23"/>
      <c r="E154" s="23"/>
      <c r="F154" s="23"/>
      <c r="G154" s="25"/>
      <c r="H154" s="25"/>
      <c r="I154" s="23"/>
      <c r="J154" s="23"/>
      <c r="K154" s="23"/>
    </row>
    <row r="155" s="21" customFormat="1" customHeight="1" spans="1:11">
      <c r="A155" s="22"/>
      <c r="B155" s="23"/>
      <c r="C155" s="24"/>
      <c r="D155" s="23"/>
      <c r="E155" s="23"/>
      <c r="F155" s="23"/>
      <c r="G155" s="25"/>
      <c r="H155" s="25"/>
      <c r="I155" s="23"/>
      <c r="J155" s="23"/>
      <c r="K155" s="23"/>
    </row>
    <row r="156" s="21" customFormat="1" customHeight="1" spans="1:11">
      <c r="A156" s="22"/>
      <c r="B156" s="23"/>
      <c r="C156" s="24"/>
      <c r="D156" s="23"/>
      <c r="E156" s="23"/>
      <c r="F156" s="23"/>
      <c r="G156" s="25"/>
      <c r="H156" s="25"/>
      <c r="I156" s="23"/>
      <c r="J156" s="23"/>
      <c r="K156" s="23"/>
    </row>
    <row r="157" s="21" customFormat="1" customHeight="1" spans="1:11">
      <c r="A157" s="22"/>
      <c r="B157" s="23"/>
      <c r="C157" s="24"/>
      <c r="D157" s="23"/>
      <c r="E157" s="23"/>
      <c r="F157" s="23"/>
      <c r="G157" s="25"/>
      <c r="H157" s="25"/>
      <c r="I157" s="23"/>
      <c r="J157" s="23"/>
      <c r="K157" s="23"/>
    </row>
    <row r="158" s="21" customFormat="1" customHeight="1" spans="1:11">
      <c r="A158" s="22"/>
      <c r="B158" s="23"/>
      <c r="C158" s="24"/>
      <c r="D158" s="23"/>
      <c r="E158" s="23"/>
      <c r="F158" s="23"/>
      <c r="G158" s="25"/>
      <c r="H158" s="25"/>
      <c r="I158" s="23"/>
      <c r="J158" s="23"/>
      <c r="K158" s="23"/>
    </row>
    <row r="159" s="21" customFormat="1" customHeight="1" spans="1:11">
      <c r="A159" s="22"/>
      <c r="B159" s="23"/>
      <c r="C159" s="24"/>
      <c r="D159" s="23"/>
      <c r="E159" s="23"/>
      <c r="F159" s="23"/>
      <c r="G159" s="25"/>
      <c r="H159" s="25"/>
      <c r="I159" s="23"/>
      <c r="J159" s="23"/>
      <c r="K159" s="23"/>
    </row>
    <row r="160" s="21" customFormat="1" customHeight="1" spans="1:11">
      <c r="A160" s="22"/>
      <c r="B160" s="23"/>
      <c r="C160" s="24"/>
      <c r="D160" s="23"/>
      <c r="E160" s="23"/>
      <c r="F160" s="23"/>
      <c r="G160" s="25"/>
      <c r="H160" s="25"/>
      <c r="I160" s="23"/>
      <c r="J160" s="23"/>
      <c r="K160" s="23"/>
    </row>
    <row r="161" s="21" customFormat="1" customHeight="1" spans="1:11">
      <c r="A161" s="22"/>
      <c r="B161" s="23"/>
      <c r="C161" s="24"/>
      <c r="D161" s="23"/>
      <c r="E161" s="23"/>
      <c r="F161" s="23"/>
      <c r="G161" s="25"/>
      <c r="H161" s="25"/>
      <c r="I161" s="23"/>
      <c r="J161" s="23"/>
      <c r="K161" s="23"/>
    </row>
    <row r="162" s="21" customFormat="1" customHeight="1" spans="1:11">
      <c r="A162" s="22"/>
      <c r="B162" s="23"/>
      <c r="C162" s="24"/>
      <c r="D162" s="23"/>
      <c r="E162" s="23"/>
      <c r="F162" s="23"/>
      <c r="G162" s="25"/>
      <c r="H162" s="25"/>
      <c r="I162" s="23"/>
      <c r="J162" s="23"/>
      <c r="K162" s="23"/>
    </row>
    <row r="163" s="21" customFormat="1" customHeight="1" spans="1:11">
      <c r="A163" s="22"/>
      <c r="B163" s="23"/>
      <c r="C163" s="24"/>
      <c r="D163" s="23"/>
      <c r="E163" s="23"/>
      <c r="F163" s="23"/>
      <c r="G163" s="25"/>
      <c r="H163" s="25"/>
      <c r="I163" s="23"/>
      <c r="J163" s="23"/>
      <c r="K163" s="23"/>
    </row>
    <row r="164" s="21" customFormat="1" customHeight="1" spans="1:11">
      <c r="A164" s="22"/>
      <c r="B164" s="23"/>
      <c r="C164" s="24"/>
      <c r="D164" s="23"/>
      <c r="E164" s="23"/>
      <c r="F164" s="23"/>
      <c r="G164" s="25"/>
      <c r="H164" s="25"/>
      <c r="I164" s="23"/>
      <c r="J164" s="23"/>
      <c r="K164" s="23"/>
    </row>
    <row r="165" s="21" customFormat="1" customHeight="1" spans="1:11">
      <c r="A165" s="22"/>
      <c r="B165" s="23"/>
      <c r="C165" s="24"/>
      <c r="D165" s="23"/>
      <c r="E165" s="23"/>
      <c r="F165" s="23"/>
      <c r="G165" s="25"/>
      <c r="H165" s="25"/>
      <c r="I165" s="23"/>
      <c r="J165" s="23"/>
      <c r="K165" s="23"/>
    </row>
    <row r="166" s="21" customFormat="1" customHeight="1" spans="1:11">
      <c r="A166" s="22"/>
      <c r="B166" s="23"/>
      <c r="C166" s="24"/>
      <c r="D166" s="23"/>
      <c r="E166" s="23"/>
      <c r="F166" s="23"/>
      <c r="G166" s="25"/>
      <c r="H166" s="25"/>
      <c r="I166" s="23"/>
      <c r="J166" s="23"/>
      <c r="K166" s="23"/>
    </row>
    <row r="167" s="21" customFormat="1" customHeight="1" spans="1:11">
      <c r="A167" s="22"/>
      <c r="B167" s="23"/>
      <c r="C167" s="24"/>
      <c r="D167" s="23"/>
      <c r="E167" s="23"/>
      <c r="F167" s="23"/>
      <c r="G167" s="25"/>
      <c r="H167" s="25"/>
      <c r="I167" s="23"/>
      <c r="J167" s="23"/>
      <c r="K167" s="23"/>
    </row>
    <row r="168" s="21" customFormat="1" customHeight="1" spans="1:11">
      <c r="A168" s="22"/>
      <c r="B168" s="23"/>
      <c r="C168" s="24"/>
      <c r="D168" s="23"/>
      <c r="E168" s="23"/>
      <c r="F168" s="23"/>
      <c r="G168" s="25"/>
      <c r="H168" s="25"/>
      <c r="I168" s="23"/>
      <c r="J168" s="23"/>
      <c r="K168" s="23"/>
    </row>
    <row r="169" s="21" customFormat="1" customHeight="1" spans="1:11">
      <c r="A169" s="22"/>
      <c r="B169" s="23"/>
      <c r="C169" s="24"/>
      <c r="D169" s="23"/>
      <c r="E169" s="23"/>
      <c r="F169" s="23"/>
      <c r="G169" s="25"/>
      <c r="H169" s="25"/>
      <c r="I169" s="23"/>
      <c r="J169" s="23"/>
      <c r="K169" s="23"/>
    </row>
    <row r="170" s="21" customFormat="1" customHeight="1" spans="1:11">
      <c r="A170" s="22"/>
      <c r="B170" s="23"/>
      <c r="C170" s="24"/>
      <c r="D170" s="23"/>
      <c r="E170" s="23"/>
      <c r="F170" s="23"/>
      <c r="G170" s="25"/>
      <c r="H170" s="25"/>
      <c r="I170" s="23"/>
      <c r="J170" s="23"/>
      <c r="K170" s="23"/>
    </row>
    <row r="171" s="21" customFormat="1" customHeight="1" spans="1:11">
      <c r="A171" s="22"/>
      <c r="B171" s="23"/>
      <c r="C171" s="24"/>
      <c r="D171" s="23"/>
      <c r="E171" s="23"/>
      <c r="F171" s="23"/>
      <c r="G171" s="25"/>
      <c r="H171" s="25"/>
      <c r="I171" s="23"/>
      <c r="J171" s="23"/>
      <c r="K171" s="23"/>
    </row>
    <row r="172" s="21" customFormat="1" customHeight="1" spans="1:11">
      <c r="A172" s="22"/>
      <c r="B172" s="23"/>
      <c r="C172" s="24"/>
      <c r="D172" s="23"/>
      <c r="E172" s="23"/>
      <c r="F172" s="23"/>
      <c r="G172" s="25"/>
      <c r="H172" s="25"/>
      <c r="I172" s="23"/>
      <c r="J172" s="23"/>
      <c r="K172" s="23"/>
    </row>
    <row r="173" s="21" customFormat="1" customHeight="1" spans="1:11">
      <c r="A173" s="22"/>
      <c r="B173" s="23"/>
      <c r="C173" s="24"/>
      <c r="D173" s="23"/>
      <c r="E173" s="23"/>
      <c r="F173" s="23"/>
      <c r="G173" s="25"/>
      <c r="H173" s="25"/>
      <c r="I173" s="23"/>
      <c r="J173" s="23"/>
      <c r="K173" s="23"/>
    </row>
    <row r="174" s="21" customFormat="1" customHeight="1" spans="1:11">
      <c r="A174" s="22"/>
      <c r="B174" s="23"/>
      <c r="C174" s="24"/>
      <c r="D174" s="23"/>
      <c r="E174" s="23"/>
      <c r="F174" s="23"/>
      <c r="G174" s="25"/>
      <c r="H174" s="25"/>
      <c r="I174" s="23"/>
      <c r="J174" s="23"/>
      <c r="K174" s="23"/>
    </row>
    <row r="175" s="21" customFormat="1" customHeight="1" spans="1:11">
      <c r="A175" s="22"/>
      <c r="B175" s="23"/>
      <c r="C175" s="24"/>
      <c r="D175" s="23"/>
      <c r="E175" s="23"/>
      <c r="F175" s="23"/>
      <c r="G175" s="25"/>
      <c r="H175" s="25"/>
      <c r="I175" s="23"/>
      <c r="J175" s="23"/>
      <c r="K175" s="23"/>
    </row>
    <row r="176" s="21" customFormat="1" customHeight="1" spans="1:11">
      <c r="A176" s="22"/>
      <c r="B176" s="23"/>
      <c r="C176" s="24"/>
      <c r="D176" s="23"/>
      <c r="E176" s="23"/>
      <c r="F176" s="23"/>
      <c r="G176" s="25"/>
      <c r="H176" s="25"/>
      <c r="I176" s="23"/>
      <c r="J176" s="23"/>
      <c r="K176" s="23"/>
    </row>
    <row r="177" s="21" customFormat="1" customHeight="1" spans="1:11">
      <c r="A177" s="22"/>
      <c r="B177" s="23"/>
      <c r="C177" s="24"/>
      <c r="D177" s="23"/>
      <c r="E177" s="23"/>
      <c r="F177" s="23"/>
      <c r="G177" s="25"/>
      <c r="H177" s="25"/>
      <c r="I177" s="23"/>
      <c r="J177" s="23"/>
      <c r="K177" s="23"/>
    </row>
    <row r="178" s="21" customFormat="1" customHeight="1" spans="1:11">
      <c r="A178" s="22"/>
      <c r="B178" s="23"/>
      <c r="C178" s="24"/>
      <c r="D178" s="23"/>
      <c r="E178" s="23"/>
      <c r="F178" s="23"/>
      <c r="G178" s="25"/>
      <c r="H178" s="25"/>
      <c r="I178" s="23"/>
      <c r="J178" s="23"/>
      <c r="K178" s="23"/>
    </row>
    <row r="179" s="21" customFormat="1" customHeight="1" spans="1:11">
      <c r="A179" s="22"/>
      <c r="B179" s="23"/>
      <c r="C179" s="24"/>
      <c r="D179" s="23"/>
      <c r="E179" s="23"/>
      <c r="F179" s="23"/>
      <c r="G179" s="25"/>
      <c r="H179" s="25"/>
      <c r="I179" s="23"/>
      <c r="J179" s="23"/>
      <c r="K179" s="23"/>
    </row>
    <row r="180" s="21" customFormat="1" customHeight="1" spans="1:11">
      <c r="A180" s="22"/>
      <c r="B180" s="23"/>
      <c r="C180" s="24"/>
      <c r="D180" s="23"/>
      <c r="E180" s="23"/>
      <c r="F180" s="23"/>
      <c r="G180" s="25"/>
      <c r="H180" s="25"/>
      <c r="I180" s="23"/>
      <c r="J180" s="23"/>
      <c r="K180" s="23"/>
    </row>
    <row r="181" s="21" customFormat="1" customHeight="1" spans="1:11">
      <c r="A181" s="22"/>
      <c r="B181" s="23"/>
      <c r="C181" s="24"/>
      <c r="D181" s="23"/>
      <c r="E181" s="23"/>
      <c r="F181" s="23"/>
      <c r="G181" s="25"/>
      <c r="H181" s="25"/>
      <c r="I181" s="23"/>
      <c r="J181" s="23"/>
      <c r="K181" s="23"/>
    </row>
    <row r="182" s="21" customFormat="1" customHeight="1" spans="1:11">
      <c r="A182" s="22"/>
      <c r="B182" s="23"/>
      <c r="C182" s="24"/>
      <c r="D182" s="23"/>
      <c r="E182" s="23"/>
      <c r="F182" s="23"/>
      <c r="G182" s="25"/>
      <c r="H182" s="25"/>
      <c r="I182" s="23"/>
      <c r="J182" s="23"/>
      <c r="K182" s="23"/>
    </row>
    <row r="183" s="21" customFormat="1" customHeight="1" spans="1:11">
      <c r="A183" s="22"/>
      <c r="B183" s="23"/>
      <c r="C183" s="24"/>
      <c r="D183" s="23"/>
      <c r="E183" s="23"/>
      <c r="F183" s="23"/>
      <c r="G183" s="25"/>
      <c r="H183" s="25"/>
      <c r="I183" s="23"/>
      <c r="J183" s="23"/>
      <c r="K183" s="23"/>
    </row>
    <row r="184" s="21" customFormat="1" customHeight="1" spans="1:11">
      <c r="A184" s="22"/>
      <c r="B184" s="23"/>
      <c r="C184" s="24"/>
      <c r="D184" s="23"/>
      <c r="E184" s="23"/>
      <c r="F184" s="23"/>
      <c r="G184" s="25"/>
      <c r="H184" s="25"/>
      <c r="I184" s="23"/>
      <c r="J184" s="23"/>
      <c r="K184" s="23"/>
    </row>
    <row r="185" s="21" customFormat="1" customHeight="1" spans="1:11">
      <c r="A185" s="22"/>
      <c r="B185" s="23"/>
      <c r="C185" s="24"/>
      <c r="D185" s="23"/>
      <c r="E185" s="23"/>
      <c r="F185" s="23"/>
      <c r="G185" s="25"/>
      <c r="H185" s="25"/>
      <c r="I185" s="23"/>
      <c r="J185" s="23"/>
      <c r="K185" s="23"/>
    </row>
    <row r="186" s="21" customFormat="1" customHeight="1" spans="1:11">
      <c r="A186" s="22"/>
      <c r="B186" s="23"/>
      <c r="C186" s="24"/>
      <c r="D186" s="23"/>
      <c r="E186" s="23"/>
      <c r="F186" s="23"/>
      <c r="G186" s="25"/>
      <c r="H186" s="25"/>
      <c r="I186" s="23"/>
      <c r="J186" s="23"/>
      <c r="K186" s="23"/>
    </row>
    <row r="187" s="21" customFormat="1" customHeight="1" spans="1:11">
      <c r="A187" s="22"/>
      <c r="B187" s="23"/>
      <c r="C187" s="24"/>
      <c r="D187" s="23"/>
      <c r="E187" s="23"/>
      <c r="F187" s="23"/>
      <c r="G187" s="25"/>
      <c r="H187" s="25"/>
      <c r="I187" s="23"/>
      <c r="J187" s="23"/>
      <c r="K187" s="23"/>
    </row>
    <row r="188" s="21" customFormat="1" customHeight="1" spans="1:11">
      <c r="A188" s="22"/>
      <c r="B188" s="23"/>
      <c r="C188" s="24"/>
      <c r="D188" s="23"/>
      <c r="E188" s="23"/>
      <c r="F188" s="23"/>
      <c r="G188" s="25"/>
      <c r="H188" s="25"/>
      <c r="I188" s="23"/>
      <c r="J188" s="23"/>
      <c r="K188" s="23"/>
    </row>
    <row r="189" s="21" customFormat="1" customHeight="1" spans="1:11">
      <c r="A189" s="22"/>
      <c r="B189" s="23"/>
      <c r="C189" s="24"/>
      <c r="D189" s="23"/>
      <c r="E189" s="23"/>
      <c r="F189" s="23"/>
      <c r="G189" s="25"/>
      <c r="H189" s="25"/>
      <c r="I189" s="23"/>
      <c r="J189" s="23"/>
      <c r="K189" s="23"/>
    </row>
    <row r="190" s="21" customFormat="1" customHeight="1" spans="1:11">
      <c r="A190" s="22"/>
      <c r="B190" s="23"/>
      <c r="C190" s="24"/>
      <c r="D190" s="23"/>
      <c r="E190" s="23"/>
      <c r="F190" s="23"/>
      <c r="G190" s="25"/>
      <c r="H190" s="25"/>
      <c r="I190" s="23"/>
      <c r="J190" s="23"/>
      <c r="K190" s="23"/>
    </row>
    <row r="191" s="21" customFormat="1" customHeight="1" spans="1:11">
      <c r="A191" s="22"/>
      <c r="B191" s="23"/>
      <c r="C191" s="24"/>
      <c r="D191" s="23"/>
      <c r="E191" s="23"/>
      <c r="F191" s="23"/>
      <c r="G191" s="25"/>
      <c r="H191" s="25"/>
      <c r="I191" s="23"/>
      <c r="J191" s="23"/>
      <c r="K191" s="23"/>
    </row>
    <row r="192" s="21" customFormat="1" customHeight="1" spans="1:11">
      <c r="A192" s="22"/>
      <c r="B192" s="23"/>
      <c r="C192" s="24"/>
      <c r="D192" s="23"/>
      <c r="E192" s="23"/>
      <c r="F192" s="23"/>
      <c r="G192" s="25"/>
      <c r="H192" s="25"/>
      <c r="I192" s="23"/>
      <c r="J192" s="23"/>
      <c r="K192" s="23"/>
    </row>
    <row r="193" s="21" customFormat="1" customHeight="1" spans="1:11">
      <c r="A193" s="22"/>
      <c r="B193" s="23"/>
      <c r="C193" s="24"/>
      <c r="D193" s="23"/>
      <c r="E193" s="23"/>
      <c r="F193" s="23"/>
      <c r="G193" s="25"/>
      <c r="H193" s="25"/>
      <c r="I193" s="23"/>
      <c r="J193" s="23"/>
      <c r="K193" s="23"/>
    </row>
    <row r="194" s="21" customFormat="1" customHeight="1" spans="1:11">
      <c r="A194" s="22"/>
      <c r="B194" s="23"/>
      <c r="C194" s="24"/>
      <c r="D194" s="23"/>
      <c r="E194" s="23"/>
      <c r="F194" s="23"/>
      <c r="G194" s="25"/>
      <c r="H194" s="25"/>
      <c r="I194" s="23"/>
      <c r="J194" s="23"/>
      <c r="K194" s="23"/>
    </row>
    <row r="195" s="21" customFormat="1" customHeight="1" spans="1:11">
      <c r="A195" s="22"/>
      <c r="B195" s="23"/>
      <c r="C195" s="24"/>
      <c r="D195" s="23"/>
      <c r="E195" s="23"/>
      <c r="F195" s="23"/>
      <c r="G195" s="25"/>
      <c r="H195" s="25"/>
      <c r="I195" s="23"/>
      <c r="J195" s="23"/>
      <c r="K195" s="23"/>
    </row>
    <row r="196" s="21" customFormat="1" customHeight="1" spans="1:11">
      <c r="A196" s="22"/>
      <c r="B196" s="23"/>
      <c r="C196" s="24"/>
      <c r="D196" s="23"/>
      <c r="E196" s="23"/>
      <c r="F196" s="23"/>
      <c r="G196" s="25"/>
      <c r="H196" s="25"/>
      <c r="I196" s="23"/>
      <c r="J196" s="23"/>
      <c r="K196" s="23"/>
    </row>
  </sheetData>
  <sheetCalcPr fullCalcOnLoad="1"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6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4.25" customHeight="1"/>
  <cols>
    <col min="1" max="1" width="9" style="22"/>
    <col min="2" max="2" width="15.625" style="23" customWidth="1"/>
    <col min="3" max="3" width="12.625" style="24" customWidth="1"/>
    <col min="4" max="5" width="14.125" style="23"/>
    <col min="6" max="6" width="9" style="23"/>
    <col min="7" max="7" width="14.125" style="25"/>
    <col min="8" max="8" width="11" style="25" customWidth="1"/>
    <col min="9" max="9" width="9.875" style="32" customWidth="1"/>
    <col min="10" max="11" width="9" style="23"/>
    <col min="12" max="14" width="9" style="21"/>
    <col min="15" max="15" width="12.625" style="21"/>
    <col min="16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35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13.5" spans="1:17">
      <c r="A2" s="11"/>
      <c r="B2" s="11"/>
      <c r="C2" s="26"/>
      <c r="D2" s="11"/>
      <c r="E2" s="11"/>
      <c r="F2" s="11"/>
      <c r="G2" s="11"/>
      <c r="H2" s="11"/>
      <c r="I2" s="45"/>
      <c r="J2" s="11"/>
      <c r="K2" s="11"/>
      <c r="L2" s="11"/>
      <c r="M2" s="11"/>
      <c r="N2" s="11"/>
      <c r="O2" s="11"/>
      <c r="P2" s="11"/>
      <c r="Q2" s="11"/>
    </row>
    <row r="3" s="21" customFormat="1" ht="13.5" spans="1:17">
      <c r="A3" s="11"/>
      <c r="B3" s="11"/>
      <c r="C3" s="26"/>
      <c r="D3" s="11"/>
      <c r="E3" s="11"/>
      <c r="F3" s="11"/>
      <c r="G3" s="11"/>
      <c r="H3" s="11"/>
      <c r="I3" s="45"/>
      <c r="J3" s="11"/>
      <c r="K3" s="11"/>
      <c r="L3" s="11"/>
      <c r="M3" s="11"/>
      <c r="N3" s="11"/>
      <c r="O3" s="11"/>
      <c r="P3" s="11"/>
      <c r="Q3" s="11"/>
    </row>
    <row r="4" s="21" customFormat="1" ht="13.5" spans="1:17">
      <c r="A4" s="11"/>
      <c r="B4" s="11"/>
      <c r="C4" s="26"/>
      <c r="D4" s="11"/>
      <c r="E4" s="11"/>
      <c r="F4" s="11"/>
      <c r="G4" s="11"/>
      <c r="H4" s="11"/>
      <c r="I4" s="45"/>
      <c r="J4" s="11"/>
      <c r="K4" s="11"/>
      <c r="L4" s="11"/>
      <c r="M4" s="11"/>
      <c r="N4" s="11"/>
      <c r="O4" s="11"/>
      <c r="P4" s="11"/>
      <c r="Q4" s="11"/>
    </row>
    <row r="5" s="21" customFormat="1" ht="13.5" spans="1:17">
      <c r="A5" s="11"/>
      <c r="B5" s="11"/>
      <c r="C5" s="26"/>
      <c r="D5" s="11"/>
      <c r="E5" s="11"/>
      <c r="F5" s="11"/>
      <c r="G5" s="11"/>
      <c r="H5" s="11"/>
      <c r="I5" s="45"/>
      <c r="J5" s="11"/>
      <c r="K5" s="11"/>
      <c r="L5" s="11"/>
      <c r="M5" s="11"/>
      <c r="N5" s="11"/>
      <c r="O5" s="11"/>
      <c r="P5" s="11"/>
      <c r="Q5" s="11"/>
    </row>
    <row r="6" s="21" customFormat="1" ht="13.5" spans="1:17">
      <c r="A6" s="11"/>
      <c r="B6" s="11"/>
      <c r="C6" s="26"/>
      <c r="D6" s="11"/>
      <c r="E6" s="11"/>
      <c r="F6" s="11"/>
      <c r="G6" s="11"/>
      <c r="H6" s="11"/>
      <c r="I6" s="45"/>
      <c r="J6" s="11"/>
      <c r="K6" s="11"/>
      <c r="L6" s="11"/>
      <c r="M6" s="11"/>
      <c r="N6" s="11"/>
      <c r="O6" s="11"/>
      <c r="P6" s="11"/>
      <c r="Q6" s="11"/>
    </row>
    <row r="7" s="21" customFormat="1" ht="13.5" spans="1:17">
      <c r="A7" s="11"/>
      <c r="B7" s="11"/>
      <c r="C7" s="26"/>
      <c r="D7" s="11"/>
      <c r="E7" s="11"/>
      <c r="F7" s="11"/>
      <c r="G7" s="11"/>
      <c r="H7" s="11"/>
      <c r="I7" s="45"/>
      <c r="J7" s="11"/>
      <c r="K7" s="11"/>
      <c r="L7" s="11"/>
      <c r="M7" s="11"/>
      <c r="N7" s="11"/>
      <c r="O7" s="11"/>
      <c r="P7" s="11"/>
      <c r="Q7" s="11"/>
    </row>
    <row r="8" s="21" customFormat="1" ht="13.5" spans="1:17">
      <c r="A8" s="11"/>
      <c r="B8" s="11"/>
      <c r="C8" s="26"/>
      <c r="D8" s="11"/>
      <c r="E8" s="11"/>
      <c r="F8" s="11"/>
      <c r="G8" s="11"/>
      <c r="H8" s="11"/>
      <c r="I8" s="45"/>
      <c r="J8" s="11"/>
      <c r="K8" s="11"/>
      <c r="L8" s="11"/>
      <c r="M8" s="11"/>
      <c r="N8" s="11"/>
      <c r="O8" s="11"/>
      <c r="P8" s="11"/>
      <c r="Q8" s="11"/>
    </row>
    <row r="9" s="21" customFormat="1" ht="20" customHeight="1" spans="1:17">
      <c r="A9" s="27">
        <v>46089</v>
      </c>
      <c r="B9" s="6">
        <v>12</v>
      </c>
      <c r="C9" s="28">
        <f ca="1">O9/B9</f>
        <v>0.611111111111111</v>
      </c>
      <c r="D9" s="5" t="s">
        <v>40</v>
      </c>
      <c r="E9" s="5" t="s">
        <v>36</v>
      </c>
      <c r="F9" s="6">
        <v>119.5</v>
      </c>
      <c r="G9" s="5" t="s">
        <v>37</v>
      </c>
      <c r="H9" s="6">
        <f ca="1" t="array" ref="H9">INDEX(成本核算表!J:J,MATCH(1,(成本核算表!D:D=E9)*(成本核算表!C:C=G9),0))</f>
        <v>15</v>
      </c>
      <c r="I9" s="37">
        <v>1760</v>
      </c>
      <c r="J9" s="6">
        <f ca="1">H9*I9</f>
        <v>26400</v>
      </c>
      <c r="K9" s="6"/>
      <c r="L9" s="6"/>
      <c r="M9" s="6"/>
      <c r="N9" s="6">
        <f ca="1">J9-M9+L9</f>
        <v>26400</v>
      </c>
      <c r="O9" s="6">
        <f ca="1">N9/3600</f>
        <v>7.33333333333333</v>
      </c>
      <c r="P9" s="6"/>
      <c r="Q9" s="6"/>
    </row>
    <row r="10" s="21" customFormat="1" ht="20" customHeight="1" spans="1:17">
      <c r="A10" s="27">
        <v>46090</v>
      </c>
      <c r="B10" s="6">
        <v>12</v>
      </c>
      <c r="C10" s="28">
        <f ca="1">SUM(O10:O11)/B10</f>
        <v>0.99212962962963</v>
      </c>
      <c r="D10" s="6"/>
      <c r="E10" s="5" t="s">
        <v>34</v>
      </c>
      <c r="F10" s="6"/>
      <c r="G10" s="5" t="s">
        <v>126</v>
      </c>
      <c r="H10" s="6">
        <f ca="1" t="array" ref="H10">INDEX(成本核算表!J:J,MATCH(1,(成本核算表!D:D=E10)*(成本核算表!C:C=G10),0))</f>
        <v>120</v>
      </c>
      <c r="I10" s="30">
        <f>84+69+16+14</f>
        <v>183</v>
      </c>
      <c r="J10" s="6">
        <f ca="1">H10*I10</f>
        <v>21960</v>
      </c>
      <c r="K10" s="6"/>
      <c r="L10" s="6"/>
      <c r="M10" s="6"/>
      <c r="N10" s="6">
        <f ca="1" t="shared" ref="N10:N41" si="0">J10-M10+L10</f>
        <v>21960</v>
      </c>
      <c r="O10" s="6">
        <f ca="1">N10/3600</f>
        <v>6.1</v>
      </c>
      <c r="P10" s="6"/>
    </row>
    <row r="11" s="21" customFormat="1" ht="20" customHeight="1" spans="1:17">
      <c r="A11" s="27">
        <v>46090</v>
      </c>
      <c r="B11" s="6"/>
      <c r="C11" s="28"/>
      <c r="D11" s="6"/>
      <c r="E11" s="5" t="s">
        <v>34</v>
      </c>
      <c r="F11" s="6"/>
      <c r="G11" s="5" t="s">
        <v>33</v>
      </c>
      <c r="H11" s="6">
        <f ca="1" t="array" ref="H11">INDEX(成本核算表!J:J,MATCH(1,(成本核算表!D:D=E11)*(成本核算表!C:C=G11),0))</f>
        <v>100</v>
      </c>
      <c r="I11" s="30">
        <f>84+69+56</f>
        <v>209</v>
      </c>
      <c r="J11" s="6">
        <f ca="1" t="shared" ref="J11:J42" si="1">H11*I11</f>
        <v>20900</v>
      </c>
      <c r="K11" s="6"/>
      <c r="L11" s="6"/>
      <c r="M11" s="6"/>
      <c r="N11" s="6">
        <f ca="1" t="shared" si="0"/>
        <v>20900</v>
      </c>
      <c r="O11" s="6">
        <f ca="1" t="shared" ref="O10:O41" si="2">N11/3600</f>
        <v>5.80555555555556</v>
      </c>
      <c r="P11" s="6"/>
    </row>
    <row r="12" s="21" customFormat="1" ht="20" customHeight="1" spans="1:17">
      <c r="A12" s="27">
        <v>46091</v>
      </c>
      <c r="B12" s="6">
        <v>12</v>
      </c>
      <c r="C12" s="28">
        <f ca="1">SUM(O12:O17)/B12</f>
        <v>0.808912037037037</v>
      </c>
      <c r="D12" s="6"/>
      <c r="E12" s="5" t="s">
        <v>217</v>
      </c>
      <c r="F12" s="6"/>
      <c r="G12" s="5" t="s">
        <v>24</v>
      </c>
      <c r="H12" s="6">
        <f ca="1" t="array" ref="H12">INDEX(成本核算表!J:J,MATCH(1,(成本核算表!D:D=E12)*(成本核算表!C:C=G12),0))</f>
        <v>210</v>
      </c>
      <c r="I12" s="30">
        <f>6+6+10+8+4</f>
        <v>34</v>
      </c>
      <c r="J12" s="6">
        <f ca="1" t="shared" si="1"/>
        <v>7140</v>
      </c>
      <c r="K12" s="6"/>
      <c r="L12" s="6">
        <v>14400</v>
      </c>
      <c r="M12" s="6"/>
      <c r="N12" s="6">
        <f ca="1" t="shared" si="0"/>
        <v>21540</v>
      </c>
      <c r="O12" s="6">
        <f ca="1" t="shared" si="2"/>
        <v>5.98333333333333</v>
      </c>
      <c r="P12" s="6"/>
    </row>
    <row r="13" s="21" customFormat="1" ht="20" customHeight="1" spans="1:17">
      <c r="A13" s="27">
        <v>46091</v>
      </c>
      <c r="B13" s="6"/>
      <c r="C13" s="28"/>
      <c r="D13" s="6"/>
      <c r="E13" s="5" t="s">
        <v>217</v>
      </c>
      <c r="F13" s="6"/>
      <c r="G13" s="5" t="s">
        <v>25</v>
      </c>
      <c r="H13" s="6">
        <f ca="1" t="array" ref="H13">INDEX(成本核算表!J:J,MATCH(1,(成本核算表!D:D=E13)*(成本核算表!C:C=G13),0))</f>
        <v>25</v>
      </c>
      <c r="I13" s="30">
        <f>6+6+10+8+4</f>
        <v>34</v>
      </c>
      <c r="J13" s="6">
        <f ca="1" t="shared" si="1"/>
        <v>850</v>
      </c>
      <c r="K13" s="6"/>
      <c r="L13" s="6"/>
      <c r="M13" s="6"/>
      <c r="N13" s="6">
        <f ca="1" t="shared" si="0"/>
        <v>850</v>
      </c>
      <c r="O13" s="6">
        <f ca="1" t="shared" si="2"/>
        <v>0.236111111111111</v>
      </c>
      <c r="P13" s="6"/>
    </row>
    <row r="14" s="21" customFormat="1" ht="20" customHeight="1" spans="1:17">
      <c r="A14" s="27">
        <v>46091</v>
      </c>
      <c r="B14" s="6"/>
      <c r="C14" s="28"/>
      <c r="D14" s="6"/>
      <c r="E14" s="5" t="s">
        <v>219</v>
      </c>
      <c r="F14" s="6"/>
      <c r="G14" s="5" t="s">
        <v>24</v>
      </c>
      <c r="H14" s="6">
        <f ca="1" t="array" ref="H14">INDEX(成本核算表!J:J,MATCH(1,(成本核算表!D:D=E14)*(成本核算表!C:C=G14),0))</f>
        <v>260</v>
      </c>
      <c r="I14" s="30">
        <f>6+6+10+7+4</f>
        <v>33</v>
      </c>
      <c r="J14" s="6">
        <f ca="1" t="shared" si="1"/>
        <v>8580</v>
      </c>
      <c r="K14" s="6"/>
      <c r="L14" s="6"/>
      <c r="M14" s="6"/>
      <c r="N14" s="6">
        <f ca="1" t="shared" si="0"/>
        <v>8580</v>
      </c>
      <c r="O14" s="6">
        <f ca="1" t="shared" si="2"/>
        <v>2.38333333333333</v>
      </c>
      <c r="P14" s="6"/>
    </row>
    <row r="15" s="21" customFormat="1" ht="20" customHeight="1" spans="1:17">
      <c r="A15" s="27">
        <v>46091</v>
      </c>
      <c r="B15" s="6"/>
      <c r="C15" s="28"/>
      <c r="D15" s="6"/>
      <c r="E15" s="5" t="s">
        <v>218</v>
      </c>
      <c r="F15" s="6"/>
      <c r="G15" s="5" t="s">
        <v>126</v>
      </c>
      <c r="H15" s="6">
        <f ca="1" t="array" ref="H15">INDEX(成本核算表!J:J,MATCH(1,(成本核算表!D:D=E15)*(成本核算表!C:C=G15),0))</f>
        <v>45</v>
      </c>
      <c r="I15" s="30">
        <v>34</v>
      </c>
      <c r="J15" s="6">
        <f ca="1" t="shared" si="1"/>
        <v>1530</v>
      </c>
      <c r="K15" s="6"/>
      <c r="L15" s="6"/>
      <c r="M15" s="6"/>
      <c r="N15" s="6">
        <f ca="1" t="shared" si="0"/>
        <v>1530</v>
      </c>
      <c r="O15" s="6">
        <f ca="1" t="shared" si="2"/>
        <v>0.425</v>
      </c>
      <c r="P15" s="6"/>
    </row>
    <row r="16" s="21" customFormat="1" ht="20" customHeight="1" spans="1:17">
      <c r="A16" s="27">
        <v>46091</v>
      </c>
      <c r="B16" s="6"/>
      <c r="C16" s="28"/>
      <c r="D16" s="6"/>
      <c r="E16" s="5" t="s">
        <v>218</v>
      </c>
      <c r="F16" s="6"/>
      <c r="G16" s="5" t="s">
        <v>126</v>
      </c>
      <c r="H16" s="6">
        <f ca="1" t="array" ref="H16">INDEX(成本核算表!J:J,MATCH(1,(成本核算表!D:D=E16)*(成本核算表!C:C=G16),0))</f>
        <v>45</v>
      </c>
      <c r="I16" s="30">
        <v>33</v>
      </c>
      <c r="J16" s="6">
        <f ca="1" t="shared" si="1"/>
        <v>1485</v>
      </c>
      <c r="K16" s="6"/>
      <c r="L16" s="6"/>
      <c r="M16" s="6"/>
      <c r="N16" s="6">
        <f ca="1" t="shared" si="0"/>
        <v>1485</v>
      </c>
      <c r="O16" s="6">
        <f ca="1" t="shared" si="2"/>
        <v>0.4125</v>
      </c>
      <c r="P16" s="6"/>
    </row>
    <row r="17" s="21" customFormat="1" ht="20" customHeight="1" spans="1:16">
      <c r="A17" s="27">
        <v>46091</v>
      </c>
      <c r="B17" s="6"/>
      <c r="C17" s="28"/>
      <c r="D17" s="6"/>
      <c r="E17" s="5" t="s">
        <v>34</v>
      </c>
      <c r="F17" s="6"/>
      <c r="G17" s="5" t="s">
        <v>126</v>
      </c>
      <c r="H17" s="6">
        <f ca="1" t="array" ref="H17">INDEX(成本核算表!J:J,MATCH(1,(成本核算表!D:D=E17)*(成本核算表!C:C=G17),0))</f>
        <v>120</v>
      </c>
      <c r="I17" s="30">
        <v>8</v>
      </c>
      <c r="J17" s="6">
        <f ca="1" t="shared" si="1"/>
        <v>960</v>
      </c>
      <c r="K17" s="6"/>
      <c r="L17" s="6"/>
      <c r="M17" s="6"/>
      <c r="N17" s="6">
        <f ca="1" t="shared" si="0"/>
        <v>960</v>
      </c>
      <c r="O17" s="6">
        <f ca="1" t="shared" si="2"/>
        <v>0.266666666666667</v>
      </c>
      <c r="P17" s="6"/>
    </row>
    <row r="18" s="21" customFormat="1" ht="20" customHeight="1" spans="1:16">
      <c r="A18" s="6"/>
      <c r="B18" s="6"/>
      <c r="C18" s="28"/>
      <c r="D18" s="6"/>
      <c r="E18" s="6"/>
      <c r="F18" s="6"/>
      <c r="G18" s="6"/>
      <c r="H18" s="6">
        <f ca="1" t="array" ref="H18">INDEX(成本核算表!J:J,MATCH(1,(成本核算表!D:D=E18)*(成本核算表!C:C=G18),0))</f>
        <v>0</v>
      </c>
      <c r="I18" s="30"/>
      <c r="J18" s="6">
        <f ca="1" t="shared" si="1"/>
        <v>0</v>
      </c>
      <c r="K18" s="6"/>
      <c r="L18" s="6"/>
      <c r="M18" s="6"/>
      <c r="N18" s="6">
        <f ca="1" t="shared" si="0"/>
        <v>0</v>
      </c>
      <c r="O18" s="6">
        <f ca="1" t="shared" si="2"/>
        <v>0</v>
      </c>
      <c r="P18" s="6"/>
    </row>
    <row r="19" s="21" customFormat="1" ht="20" customHeight="1" spans="1:16">
      <c r="A19" s="6"/>
      <c r="B19" s="6"/>
      <c r="C19" s="28"/>
      <c r="D19" s="6"/>
      <c r="E19" s="6"/>
      <c r="F19" s="6"/>
      <c r="G19" s="6"/>
      <c r="H19" s="6">
        <f ca="1" t="array" ref="H19">INDEX(成本核算表!J:J,MATCH(1,(成本核算表!D:D=E19)*(成本核算表!C:C=G19),0))</f>
        <v>0</v>
      </c>
      <c r="I19" s="30"/>
      <c r="J19" s="6">
        <f ca="1" t="shared" si="1"/>
        <v>0</v>
      </c>
      <c r="K19" s="6"/>
      <c r="L19" s="6"/>
      <c r="M19" s="6"/>
      <c r="N19" s="6">
        <f ca="1" t="shared" si="0"/>
        <v>0</v>
      </c>
      <c r="O19" s="6">
        <f ca="1" t="shared" si="2"/>
        <v>0</v>
      </c>
      <c r="P19" s="6"/>
    </row>
    <row r="20" s="21" customFormat="1" ht="20" customHeight="1" spans="1:16">
      <c r="A20" s="6"/>
      <c r="B20" s="6"/>
      <c r="C20" s="28"/>
      <c r="D20" s="6"/>
      <c r="E20" s="6"/>
      <c r="F20" s="6"/>
      <c r="G20" s="6"/>
      <c r="H20" s="6">
        <f ca="1" t="array" ref="H20">INDEX(成本核算表!J:J,MATCH(1,(成本核算表!D:D=E20)*(成本核算表!C:C=G20),0))</f>
        <v>0</v>
      </c>
      <c r="I20" s="30"/>
      <c r="J20" s="6">
        <f ca="1" t="shared" si="1"/>
        <v>0</v>
      </c>
      <c r="K20" s="6"/>
      <c r="L20" s="6"/>
      <c r="M20" s="6"/>
      <c r="N20" s="6">
        <f ca="1" t="shared" si="0"/>
        <v>0</v>
      </c>
      <c r="O20" s="6">
        <f ca="1" t="shared" si="2"/>
        <v>0</v>
      </c>
      <c r="P20" s="6"/>
    </row>
    <row r="21" s="21" customFormat="1" ht="20" customHeight="1" spans="1:16">
      <c r="A21" s="6"/>
      <c r="B21" s="6"/>
      <c r="C21" s="28"/>
      <c r="D21" s="6"/>
      <c r="E21" s="6"/>
      <c r="F21" s="6"/>
      <c r="G21" s="6"/>
      <c r="H21" s="6">
        <f ca="1" t="array" ref="H21">INDEX(成本核算表!J:J,MATCH(1,(成本核算表!D:D=E21)*(成本核算表!C:C=G21),0))</f>
        <v>0</v>
      </c>
      <c r="I21" s="30"/>
      <c r="J21" s="6">
        <f ca="1" t="shared" si="1"/>
        <v>0</v>
      </c>
      <c r="K21" s="6"/>
      <c r="L21" s="6"/>
      <c r="M21" s="6"/>
      <c r="N21" s="6">
        <f ca="1" t="shared" si="0"/>
        <v>0</v>
      </c>
      <c r="O21" s="6">
        <f ca="1" t="shared" si="2"/>
        <v>0</v>
      </c>
      <c r="P21" s="6"/>
    </row>
    <row r="22" s="21" customFormat="1" ht="20" customHeight="1" spans="1:16">
      <c r="A22" s="6"/>
      <c r="B22" s="6"/>
      <c r="C22" s="28"/>
      <c r="D22" s="6"/>
      <c r="E22" s="6"/>
      <c r="F22" s="6"/>
      <c r="G22" s="6"/>
      <c r="H22" s="6">
        <f ca="1" t="array" ref="H22">INDEX(成本核算表!J:J,MATCH(1,(成本核算表!D:D=E22)*(成本核算表!C:C=G22),0))</f>
        <v>0</v>
      </c>
      <c r="I22" s="30"/>
      <c r="J22" s="6">
        <f ca="1" t="shared" si="1"/>
        <v>0</v>
      </c>
      <c r="K22" s="6"/>
      <c r="L22" s="6"/>
      <c r="M22" s="6"/>
      <c r="N22" s="6">
        <f ca="1" t="shared" si="0"/>
        <v>0</v>
      </c>
      <c r="O22" s="6">
        <f ca="1" t="shared" si="2"/>
        <v>0</v>
      </c>
      <c r="P22" s="6"/>
    </row>
    <row r="23" s="21" customFormat="1" ht="20" customHeight="1" spans="1:16">
      <c r="A23" s="6"/>
      <c r="B23" s="6"/>
      <c r="C23" s="28"/>
      <c r="D23" s="6"/>
      <c r="E23" s="6"/>
      <c r="F23" s="6"/>
      <c r="G23" s="6"/>
      <c r="H23" s="6">
        <f ca="1" t="array" ref="H23">INDEX(成本核算表!J:J,MATCH(1,(成本核算表!D:D=E23)*(成本核算表!C:C=G23),0))</f>
        <v>0</v>
      </c>
      <c r="I23" s="30"/>
      <c r="J23" s="6">
        <f ca="1" t="shared" si="1"/>
        <v>0</v>
      </c>
      <c r="K23" s="6"/>
      <c r="L23" s="6"/>
      <c r="M23" s="6"/>
      <c r="N23" s="6">
        <f ca="1" t="shared" si="0"/>
        <v>0</v>
      </c>
      <c r="O23" s="6">
        <f ca="1" t="shared" si="2"/>
        <v>0</v>
      </c>
      <c r="P23" s="6"/>
    </row>
    <row r="24" s="21" customFormat="1" ht="20" customHeight="1" spans="1:16">
      <c r="A24" s="6"/>
      <c r="B24" s="6"/>
      <c r="C24" s="28"/>
      <c r="D24" s="6"/>
      <c r="E24" s="6"/>
      <c r="F24" s="6"/>
      <c r="G24" s="6"/>
      <c r="H24" s="6">
        <f ca="1" t="array" ref="H24">INDEX(成本核算表!J:J,MATCH(1,(成本核算表!D:D=E24)*(成本核算表!C:C=G24),0))</f>
        <v>0</v>
      </c>
      <c r="I24" s="30"/>
      <c r="J24" s="6">
        <f ca="1" t="shared" si="1"/>
        <v>0</v>
      </c>
      <c r="K24" s="6"/>
      <c r="L24" s="6"/>
      <c r="M24" s="6"/>
      <c r="N24" s="6">
        <f ca="1" t="shared" si="0"/>
        <v>0</v>
      </c>
      <c r="O24" s="6">
        <f ca="1" t="shared" si="2"/>
        <v>0</v>
      </c>
      <c r="P24" s="6"/>
    </row>
    <row r="25" s="21" customFormat="1" ht="20" customHeight="1" spans="1:16">
      <c r="A25" s="6"/>
      <c r="B25" s="6"/>
      <c r="C25" s="28"/>
      <c r="D25" s="6"/>
      <c r="E25" s="6"/>
      <c r="F25" s="6"/>
      <c r="G25" s="6"/>
      <c r="H25" s="6">
        <f ca="1" t="array" ref="H25">INDEX(成本核算表!J:J,MATCH(1,(成本核算表!D:D=E25)*(成本核算表!C:C=G25),0))</f>
        <v>0</v>
      </c>
      <c r="I25" s="30"/>
      <c r="J25" s="6">
        <f ca="1" t="shared" si="1"/>
        <v>0</v>
      </c>
      <c r="K25" s="6"/>
      <c r="L25" s="6"/>
      <c r="M25" s="6"/>
      <c r="N25" s="6">
        <f ca="1" t="shared" si="0"/>
        <v>0</v>
      </c>
      <c r="O25" s="6">
        <f ca="1" t="shared" si="2"/>
        <v>0</v>
      </c>
      <c r="P25" s="6"/>
    </row>
    <row r="26" s="21" customFormat="1" ht="20" customHeight="1" spans="1:16">
      <c r="A26" s="6"/>
      <c r="B26" s="6"/>
      <c r="C26" s="28"/>
      <c r="D26" s="6"/>
      <c r="E26" s="6"/>
      <c r="F26" s="6"/>
      <c r="G26" s="6"/>
      <c r="H26" s="6">
        <f ca="1" t="array" ref="H26">INDEX(成本核算表!J:J,MATCH(1,(成本核算表!D:D=E26)*(成本核算表!C:C=G26),0))</f>
        <v>0</v>
      </c>
      <c r="I26" s="30"/>
      <c r="J26" s="6">
        <f ca="1" t="shared" si="1"/>
        <v>0</v>
      </c>
      <c r="K26" s="6"/>
      <c r="L26" s="6"/>
      <c r="M26" s="6"/>
      <c r="N26" s="6">
        <f ca="1" t="shared" si="0"/>
        <v>0</v>
      </c>
      <c r="O26" s="6">
        <f ca="1" t="shared" si="2"/>
        <v>0</v>
      </c>
      <c r="P26" s="6"/>
    </row>
    <row r="27" s="21" customFormat="1" ht="20" customHeight="1" spans="1:16">
      <c r="A27" s="6"/>
      <c r="B27" s="6"/>
      <c r="C27" s="28"/>
      <c r="D27" s="6"/>
      <c r="E27" s="6"/>
      <c r="F27" s="6"/>
      <c r="G27" s="6"/>
      <c r="H27" s="6">
        <f ca="1" t="array" ref="H27">INDEX(成本核算表!J:J,MATCH(1,(成本核算表!D:D=E27)*(成本核算表!C:C=G27),0))</f>
        <v>0</v>
      </c>
      <c r="I27" s="30"/>
      <c r="J27" s="6">
        <f ca="1" t="shared" si="1"/>
        <v>0</v>
      </c>
      <c r="K27" s="6"/>
      <c r="L27" s="6"/>
      <c r="M27" s="6"/>
      <c r="N27" s="6">
        <f ca="1" t="shared" si="0"/>
        <v>0</v>
      </c>
      <c r="O27" s="6">
        <f ca="1" t="shared" si="2"/>
        <v>0</v>
      </c>
      <c r="P27" s="6"/>
    </row>
    <row r="28" s="21" customFormat="1" ht="20" customHeight="1" spans="1:16">
      <c r="A28" s="6"/>
      <c r="B28" s="6"/>
      <c r="C28" s="28"/>
      <c r="D28" s="6"/>
      <c r="E28" s="6"/>
      <c r="F28" s="6"/>
      <c r="G28" s="6"/>
      <c r="H28" s="6">
        <f ca="1" t="array" ref="H28">INDEX(成本核算表!J:J,MATCH(1,(成本核算表!D:D=E28)*(成本核算表!C:C=G28),0))</f>
        <v>0</v>
      </c>
      <c r="I28" s="30"/>
      <c r="J28" s="6">
        <f ca="1" t="shared" si="1"/>
        <v>0</v>
      </c>
      <c r="K28" s="6"/>
      <c r="L28" s="6"/>
      <c r="M28" s="6"/>
      <c r="N28" s="6">
        <f ca="1" t="shared" si="0"/>
        <v>0</v>
      </c>
      <c r="O28" s="6">
        <f ca="1" t="shared" si="2"/>
        <v>0</v>
      </c>
      <c r="P28" s="6"/>
    </row>
    <row r="29" s="21" customFormat="1" ht="20" customHeight="1" spans="1:16">
      <c r="A29" s="6"/>
      <c r="B29" s="6"/>
      <c r="C29" s="28"/>
      <c r="D29" s="6"/>
      <c r="E29" s="6"/>
      <c r="F29" s="6"/>
      <c r="G29" s="6"/>
      <c r="H29" s="6">
        <f ca="1" t="array" ref="H29">INDEX(成本核算表!J:J,MATCH(1,(成本核算表!D:D=E29)*(成本核算表!C:C=G29),0))</f>
        <v>0</v>
      </c>
      <c r="I29" s="30"/>
      <c r="J29" s="6">
        <f ca="1" t="shared" si="1"/>
        <v>0</v>
      </c>
      <c r="K29" s="6"/>
      <c r="L29" s="6"/>
      <c r="M29" s="6"/>
      <c r="N29" s="6">
        <f ca="1" t="shared" si="0"/>
        <v>0</v>
      </c>
      <c r="O29" s="6">
        <f ca="1" t="shared" si="2"/>
        <v>0</v>
      </c>
      <c r="P29" s="6"/>
    </row>
    <row r="30" s="21" customFormat="1" ht="20" customHeight="1" spans="1:16">
      <c r="A30" s="6"/>
      <c r="B30" s="6"/>
      <c r="C30" s="28"/>
      <c r="D30" s="6"/>
      <c r="E30" s="6"/>
      <c r="F30" s="6"/>
      <c r="G30" s="6"/>
      <c r="H30" s="6">
        <f ca="1" t="array" ref="H30">INDEX(成本核算表!J:J,MATCH(1,(成本核算表!D:D=E30)*(成本核算表!C:C=G30),0))</f>
        <v>0</v>
      </c>
      <c r="I30" s="30"/>
      <c r="J30" s="6">
        <f ca="1" t="shared" si="1"/>
        <v>0</v>
      </c>
      <c r="K30" s="6"/>
      <c r="L30" s="6"/>
      <c r="M30" s="6"/>
      <c r="N30" s="6">
        <f ca="1" t="shared" si="0"/>
        <v>0</v>
      </c>
      <c r="O30" s="6">
        <f ca="1" t="shared" si="2"/>
        <v>0</v>
      </c>
      <c r="P30" s="6"/>
    </row>
    <row r="31" s="21" customFormat="1" ht="20" customHeight="1" spans="1:16">
      <c r="A31" s="6"/>
      <c r="B31" s="6"/>
      <c r="C31" s="28"/>
      <c r="D31" s="6"/>
      <c r="E31" s="6"/>
      <c r="F31" s="6"/>
      <c r="G31" s="6"/>
      <c r="H31" s="6">
        <f ca="1" t="array" ref="H31">INDEX(成本核算表!J:J,MATCH(1,(成本核算表!D:D=E31)*(成本核算表!C:C=G31),0))</f>
        <v>0</v>
      </c>
      <c r="I31" s="30"/>
      <c r="J31" s="6">
        <f ca="1" t="shared" si="1"/>
        <v>0</v>
      </c>
      <c r="K31" s="6"/>
      <c r="L31" s="6"/>
      <c r="M31" s="6"/>
      <c r="N31" s="6">
        <f ca="1" t="shared" si="0"/>
        <v>0</v>
      </c>
      <c r="O31" s="6">
        <f ca="1" t="shared" si="2"/>
        <v>0</v>
      </c>
      <c r="P31" s="6"/>
    </row>
    <row r="32" s="21" customFormat="1" ht="20" customHeight="1" spans="1:16">
      <c r="A32" s="6"/>
      <c r="B32" s="6"/>
      <c r="C32" s="28"/>
      <c r="D32" s="6"/>
      <c r="E32" s="6"/>
      <c r="F32" s="6"/>
      <c r="G32" s="6"/>
      <c r="H32" s="6">
        <f ca="1" t="array" ref="H32">INDEX(成本核算表!J:J,MATCH(1,(成本核算表!D:D=E32)*(成本核算表!C:C=G32),0))</f>
        <v>0</v>
      </c>
      <c r="I32" s="30"/>
      <c r="J32" s="6">
        <f ca="1" t="shared" si="1"/>
        <v>0</v>
      </c>
      <c r="K32" s="6"/>
      <c r="L32" s="6"/>
      <c r="M32" s="6"/>
      <c r="N32" s="6">
        <f ca="1" t="shared" si="0"/>
        <v>0</v>
      </c>
      <c r="O32" s="6">
        <f ca="1" t="shared" si="2"/>
        <v>0</v>
      </c>
      <c r="P32" s="6"/>
    </row>
    <row r="33" s="21" customFormat="1" ht="20" customHeight="1" spans="1:16">
      <c r="A33" s="6"/>
      <c r="B33" s="6"/>
      <c r="C33" s="28"/>
      <c r="D33" s="6"/>
      <c r="E33" s="6"/>
      <c r="F33" s="6"/>
      <c r="G33" s="6"/>
      <c r="H33" s="6">
        <f ca="1" t="array" ref="H33">INDEX(成本核算表!J:J,MATCH(1,(成本核算表!D:D=E33)*(成本核算表!C:C=G33),0))</f>
        <v>0</v>
      </c>
      <c r="I33" s="30"/>
      <c r="J33" s="6">
        <f ca="1" t="shared" si="1"/>
        <v>0</v>
      </c>
      <c r="K33" s="6"/>
      <c r="L33" s="6"/>
      <c r="M33" s="6"/>
      <c r="N33" s="6">
        <f ca="1" t="shared" si="0"/>
        <v>0</v>
      </c>
      <c r="O33" s="6">
        <f ca="1" t="shared" si="2"/>
        <v>0</v>
      </c>
      <c r="P33" s="6"/>
    </row>
    <row r="34" s="21" customFormat="1" ht="20" customHeight="1" spans="1:16">
      <c r="A34" s="6"/>
      <c r="B34" s="6"/>
      <c r="C34" s="28"/>
      <c r="D34" s="6"/>
      <c r="E34" s="6"/>
      <c r="F34" s="6"/>
      <c r="G34" s="6"/>
      <c r="H34" s="6">
        <f ca="1" t="array" ref="H34">INDEX(成本核算表!J:J,MATCH(1,(成本核算表!D:D=E34)*(成本核算表!C:C=G34),0))</f>
        <v>0</v>
      </c>
      <c r="I34" s="30"/>
      <c r="J34" s="6">
        <f ca="1" t="shared" si="1"/>
        <v>0</v>
      </c>
      <c r="K34" s="6"/>
      <c r="L34" s="6"/>
      <c r="M34" s="6"/>
      <c r="N34" s="6">
        <f ca="1" t="shared" si="0"/>
        <v>0</v>
      </c>
      <c r="O34" s="6">
        <f ca="1" t="shared" si="2"/>
        <v>0</v>
      </c>
      <c r="P34" s="6"/>
    </row>
    <row r="35" s="21" customFormat="1" ht="20" customHeight="1" spans="1:16">
      <c r="A35" s="6"/>
      <c r="B35" s="6"/>
      <c r="C35" s="28"/>
      <c r="D35" s="6"/>
      <c r="E35" s="6"/>
      <c r="F35" s="6"/>
      <c r="G35" s="6"/>
      <c r="H35" s="6">
        <f ca="1" t="array" ref="H35">INDEX(成本核算表!J:J,MATCH(1,(成本核算表!D:D=E35)*(成本核算表!C:C=G35),0))</f>
        <v>0</v>
      </c>
      <c r="I35" s="30"/>
      <c r="J35" s="6">
        <f ca="1" t="shared" si="1"/>
        <v>0</v>
      </c>
      <c r="K35" s="6"/>
      <c r="L35" s="6"/>
      <c r="M35" s="6"/>
      <c r="N35" s="6">
        <f ca="1" t="shared" si="0"/>
        <v>0</v>
      </c>
      <c r="O35" s="6">
        <f ca="1" t="shared" si="2"/>
        <v>0</v>
      </c>
      <c r="P35" s="6"/>
    </row>
    <row r="36" s="21" customFormat="1" ht="20" customHeight="1" spans="1:16">
      <c r="A36" s="6"/>
      <c r="B36" s="6"/>
      <c r="C36" s="28"/>
      <c r="D36" s="6"/>
      <c r="E36" s="6"/>
      <c r="F36" s="6"/>
      <c r="G36" s="6"/>
      <c r="H36" s="6">
        <f ca="1" t="array" ref="H36">INDEX(成本核算表!J:J,MATCH(1,(成本核算表!D:D=E36)*(成本核算表!C:C=G36),0))</f>
        <v>0</v>
      </c>
      <c r="I36" s="30"/>
      <c r="J36" s="6">
        <f ca="1" t="shared" si="1"/>
        <v>0</v>
      </c>
      <c r="K36" s="6"/>
      <c r="L36" s="6"/>
      <c r="M36" s="6"/>
      <c r="N36" s="6">
        <f ca="1" t="shared" si="0"/>
        <v>0</v>
      </c>
      <c r="O36" s="6">
        <f ca="1" t="shared" si="2"/>
        <v>0</v>
      </c>
      <c r="P36" s="6"/>
    </row>
    <row r="37" s="21" customFormat="1" ht="20" customHeight="1" spans="1:16">
      <c r="A37" s="6"/>
      <c r="B37" s="6"/>
      <c r="C37" s="28"/>
      <c r="D37" s="6"/>
      <c r="E37" s="6"/>
      <c r="F37" s="6"/>
      <c r="G37" s="6"/>
      <c r="H37" s="6">
        <f ca="1" t="array" ref="H37">INDEX(成本核算表!J:J,MATCH(1,(成本核算表!D:D=E37)*(成本核算表!C:C=G37),0))</f>
        <v>0</v>
      </c>
      <c r="I37" s="30"/>
      <c r="J37" s="6">
        <f ca="1" t="shared" si="1"/>
        <v>0</v>
      </c>
      <c r="K37" s="6"/>
      <c r="L37" s="6"/>
      <c r="M37" s="6"/>
      <c r="N37" s="6">
        <f ca="1" t="shared" si="0"/>
        <v>0</v>
      </c>
      <c r="O37" s="6">
        <f ca="1" t="shared" si="2"/>
        <v>0</v>
      </c>
      <c r="P37" s="6"/>
    </row>
    <row r="38" s="21" customFormat="1" ht="20" customHeight="1" spans="1:16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30"/>
      <c r="J38" s="6">
        <f ca="1" t="shared" si="1"/>
        <v>0</v>
      </c>
      <c r="K38" s="6"/>
      <c r="L38" s="6"/>
      <c r="M38" s="6"/>
      <c r="N38" s="6">
        <f ca="1" t="shared" si="0"/>
        <v>0</v>
      </c>
      <c r="O38" s="6">
        <f ca="1" t="shared" si="2"/>
        <v>0</v>
      </c>
      <c r="P38" s="6"/>
    </row>
    <row r="39" s="21" customFormat="1" ht="20" customHeight="1" spans="1:16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30"/>
      <c r="J39" s="6">
        <f ca="1" t="shared" si="1"/>
        <v>0</v>
      </c>
      <c r="K39" s="6"/>
      <c r="L39" s="6"/>
      <c r="M39" s="6"/>
      <c r="N39" s="6">
        <f ca="1" t="shared" si="0"/>
        <v>0</v>
      </c>
      <c r="O39" s="6">
        <f ca="1" t="shared" si="2"/>
        <v>0</v>
      </c>
      <c r="P39" s="6"/>
    </row>
    <row r="40" s="21" customFormat="1" ht="20" customHeight="1" spans="1:16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30"/>
      <c r="J40" s="6">
        <f ca="1" t="shared" si="1"/>
        <v>0</v>
      </c>
      <c r="K40" s="6"/>
      <c r="L40" s="6"/>
      <c r="M40" s="6"/>
      <c r="N40" s="6">
        <f ca="1" t="shared" si="0"/>
        <v>0</v>
      </c>
      <c r="O40" s="6">
        <f ca="1" t="shared" si="2"/>
        <v>0</v>
      </c>
      <c r="P40" s="6"/>
    </row>
    <row r="41" s="21" customFormat="1" ht="20" customHeight="1" spans="1:16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30"/>
      <c r="J41" s="6">
        <f ca="1" t="shared" si="1"/>
        <v>0</v>
      </c>
      <c r="K41" s="6"/>
      <c r="L41" s="6"/>
      <c r="M41" s="6"/>
      <c r="N41" s="6">
        <f ca="1" t="shared" si="0"/>
        <v>0</v>
      </c>
      <c r="O41" s="6">
        <f ca="1" t="shared" si="2"/>
        <v>0</v>
      </c>
      <c r="P41" s="6"/>
    </row>
    <row r="42" s="21" customFormat="1" ht="20" customHeight="1" spans="1:16">
      <c r="A42" s="6"/>
      <c r="B42" s="6"/>
      <c r="C42" s="28"/>
      <c r="D42" s="6"/>
      <c r="E42" s="6"/>
      <c r="F42" s="6"/>
      <c r="G42" s="6"/>
      <c r="H42" s="6">
        <f ca="1" t="array" ref="H42">INDEX(成本核算表!J:J,MATCH(1,(成本核算表!D:D=E42)*(成本核算表!C:C=G42),0))</f>
        <v>0</v>
      </c>
      <c r="I42" s="30"/>
      <c r="J42" s="6">
        <f ca="1" t="shared" si="1"/>
        <v>0</v>
      </c>
      <c r="K42" s="6"/>
      <c r="L42" s="6"/>
      <c r="M42" s="6"/>
      <c r="N42" s="6">
        <f ca="1" t="shared" ref="N42:N73" si="3">J42-M42+L42</f>
        <v>0</v>
      </c>
      <c r="O42" s="6">
        <f ca="1" t="shared" ref="O42:O73" si="4">N42/3600</f>
        <v>0</v>
      </c>
      <c r="P42" s="6"/>
    </row>
    <row r="43" s="21" customFormat="1" ht="20" customHeight="1" spans="1:16">
      <c r="A43" s="6"/>
      <c r="B43" s="6"/>
      <c r="C43" s="28"/>
      <c r="D43" s="6"/>
      <c r="E43" s="6"/>
      <c r="F43" s="6"/>
      <c r="G43" s="6"/>
      <c r="H43" s="6">
        <f ca="1" t="array" ref="H43">INDEX(成本核算表!J:J,MATCH(1,(成本核算表!D:D=E43)*(成本核算表!C:C=G43),0))</f>
        <v>0</v>
      </c>
      <c r="I43" s="30"/>
      <c r="J43" s="6">
        <f ca="1" t="shared" ref="J43:J74" si="5">H43*I43</f>
        <v>0</v>
      </c>
      <c r="K43" s="6"/>
      <c r="L43" s="6"/>
      <c r="M43" s="6"/>
      <c r="N43" s="6">
        <f ca="1" t="shared" si="3"/>
        <v>0</v>
      </c>
      <c r="O43" s="6">
        <f ca="1" t="shared" si="4"/>
        <v>0</v>
      </c>
      <c r="P43" s="6"/>
    </row>
    <row r="44" s="21" customFormat="1" ht="20" customHeight="1" spans="1:16">
      <c r="A44" s="6"/>
      <c r="B44" s="6"/>
      <c r="C44" s="28"/>
      <c r="D44" s="6"/>
      <c r="E44" s="6"/>
      <c r="F44" s="6"/>
      <c r="G44" s="6"/>
      <c r="H44" s="6">
        <f ca="1" t="array" ref="H44">INDEX(成本核算表!J:J,MATCH(1,(成本核算表!D:D=E44)*(成本核算表!C:C=G44),0))</f>
        <v>0</v>
      </c>
      <c r="I44" s="30"/>
      <c r="J44" s="6">
        <f ca="1" t="shared" si="5"/>
        <v>0</v>
      </c>
      <c r="K44" s="6"/>
      <c r="L44" s="6"/>
      <c r="M44" s="6"/>
      <c r="N44" s="6">
        <f ca="1" t="shared" si="3"/>
        <v>0</v>
      </c>
      <c r="O44" s="6">
        <f ca="1" t="shared" si="4"/>
        <v>0</v>
      </c>
      <c r="P44" s="6"/>
    </row>
    <row r="45" s="21" customFormat="1" ht="20" customHeight="1" spans="1:16">
      <c r="A45" s="6"/>
      <c r="B45" s="6"/>
      <c r="C45" s="28"/>
      <c r="D45" s="6"/>
      <c r="E45" s="6"/>
      <c r="F45" s="6"/>
      <c r="G45" s="6"/>
      <c r="H45" s="6">
        <f ca="1" t="array" ref="H45">INDEX(成本核算表!J:J,MATCH(1,(成本核算表!D:D=E45)*(成本核算表!C:C=G45),0))</f>
        <v>0</v>
      </c>
      <c r="I45" s="30"/>
      <c r="J45" s="6">
        <f ca="1" t="shared" si="5"/>
        <v>0</v>
      </c>
      <c r="K45" s="6"/>
      <c r="L45" s="6"/>
      <c r="M45" s="6"/>
      <c r="N45" s="6">
        <f ca="1" t="shared" si="3"/>
        <v>0</v>
      </c>
      <c r="O45" s="6">
        <f ca="1" t="shared" si="4"/>
        <v>0</v>
      </c>
      <c r="P45" s="6"/>
    </row>
    <row r="46" s="21" customFormat="1" ht="20" customHeight="1" spans="1:16">
      <c r="A46" s="6"/>
      <c r="B46" s="6"/>
      <c r="C46" s="28"/>
      <c r="D46" s="6"/>
      <c r="E46" s="6"/>
      <c r="F46" s="6"/>
      <c r="G46" s="6"/>
      <c r="H46" s="6">
        <f ca="1" t="array" ref="H46">INDEX(成本核算表!J:J,MATCH(1,(成本核算表!D:D=E46)*(成本核算表!C:C=G46),0))</f>
        <v>0</v>
      </c>
      <c r="I46" s="30"/>
      <c r="J46" s="6">
        <f ca="1" t="shared" si="5"/>
        <v>0</v>
      </c>
      <c r="K46" s="6"/>
      <c r="L46" s="6"/>
      <c r="M46" s="6"/>
      <c r="N46" s="6">
        <f ca="1" t="shared" si="3"/>
        <v>0</v>
      </c>
      <c r="O46" s="6">
        <f ca="1" t="shared" si="4"/>
        <v>0</v>
      </c>
      <c r="P46" s="6"/>
    </row>
    <row r="47" s="21" customFormat="1" ht="20" customHeight="1" spans="1:16">
      <c r="A47" s="6"/>
      <c r="B47" s="6"/>
      <c r="C47" s="28"/>
      <c r="D47" s="6"/>
      <c r="E47" s="6"/>
      <c r="F47" s="6"/>
      <c r="G47" s="6"/>
      <c r="H47" s="6">
        <f ca="1" t="array" ref="H47">INDEX(成本核算表!J:J,MATCH(1,(成本核算表!D:D=E47)*(成本核算表!C:C=G47),0))</f>
        <v>0</v>
      </c>
      <c r="I47" s="30"/>
      <c r="J47" s="6">
        <f ca="1" t="shared" si="5"/>
        <v>0</v>
      </c>
      <c r="K47" s="6"/>
      <c r="L47" s="6"/>
      <c r="M47" s="6"/>
      <c r="N47" s="6">
        <f ca="1" t="shared" si="3"/>
        <v>0</v>
      </c>
      <c r="O47" s="6">
        <f ca="1" t="shared" si="4"/>
        <v>0</v>
      </c>
      <c r="P47" s="6"/>
    </row>
    <row r="48" s="21" customFormat="1" ht="20" customHeight="1" spans="1:16">
      <c r="A48" s="6"/>
      <c r="B48" s="6"/>
      <c r="C48" s="28"/>
      <c r="D48" s="6"/>
      <c r="E48" s="6"/>
      <c r="F48" s="6"/>
      <c r="G48" s="6"/>
      <c r="H48" s="6">
        <f ca="1" t="array" ref="H48">INDEX(成本核算表!J:J,MATCH(1,(成本核算表!D:D=E48)*(成本核算表!C:C=G48),0))</f>
        <v>0</v>
      </c>
      <c r="I48" s="30"/>
      <c r="J48" s="6">
        <f ca="1" t="shared" si="5"/>
        <v>0</v>
      </c>
      <c r="K48" s="6"/>
      <c r="L48" s="6"/>
      <c r="M48" s="6"/>
      <c r="N48" s="6">
        <f ca="1" t="shared" si="3"/>
        <v>0</v>
      </c>
      <c r="O48" s="6">
        <f ca="1" t="shared" si="4"/>
        <v>0</v>
      </c>
      <c r="P48" s="6"/>
    </row>
    <row r="49" s="21" customFormat="1" ht="20" customHeight="1" spans="1:15">
      <c r="A49" s="22"/>
      <c r="B49" s="23"/>
      <c r="C49" s="24"/>
      <c r="D49" s="23"/>
      <c r="E49" s="23"/>
      <c r="F49" s="23"/>
      <c r="G49" s="25"/>
      <c r="H49" s="6">
        <f ca="1" t="array" ref="H49">INDEX(成本核算表!J:J,MATCH(1,(成本核算表!D:D=E49)*(成本核算表!C:C=G49),0))</f>
        <v>0</v>
      </c>
      <c r="I49" s="30"/>
      <c r="J49" s="6">
        <f ca="1" t="shared" si="5"/>
        <v>0</v>
      </c>
      <c r="K49" s="23"/>
      <c r="M49" s="6"/>
      <c r="N49" s="6">
        <f ca="1" t="shared" si="3"/>
        <v>0</v>
      </c>
      <c r="O49" s="6">
        <f ca="1" t="shared" si="4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5"/>
      <c r="H50" s="6">
        <f ca="1" t="array" ref="H50">INDEX(成本核算表!J:J,MATCH(1,(成本核算表!D:D=E50)*(成本核算表!C:C=G50),0))</f>
        <v>0</v>
      </c>
      <c r="I50" s="30"/>
      <c r="J50" s="6">
        <f ca="1" t="shared" si="5"/>
        <v>0</v>
      </c>
      <c r="K50" s="23"/>
      <c r="M50" s="6"/>
      <c r="N50" s="6">
        <f ca="1" t="shared" si="3"/>
        <v>0</v>
      </c>
      <c r="O50" s="6">
        <f ca="1" t="shared" si="4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5"/>
      <c r="H51" s="6">
        <f ca="1" t="array" ref="H51">INDEX(成本核算表!J:J,MATCH(1,(成本核算表!D:D=E51)*(成本核算表!C:C=G51),0))</f>
        <v>0</v>
      </c>
      <c r="I51" s="30"/>
      <c r="J51" s="6">
        <f ca="1" t="shared" si="5"/>
        <v>0</v>
      </c>
      <c r="K51" s="23"/>
      <c r="M51" s="6"/>
      <c r="N51" s="6">
        <f ca="1" t="shared" si="3"/>
        <v>0</v>
      </c>
      <c r="O51" s="6">
        <f ca="1" t="shared" si="4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5"/>
      <c r="H52" s="6">
        <f ca="1" t="array" ref="H52">INDEX(成本核算表!J:J,MATCH(1,(成本核算表!D:D=E52)*(成本核算表!C:C=G52),0))</f>
        <v>0</v>
      </c>
      <c r="I52" s="30"/>
      <c r="J52" s="6">
        <f ca="1" t="shared" si="5"/>
        <v>0</v>
      </c>
      <c r="K52" s="23"/>
      <c r="M52" s="6"/>
      <c r="N52" s="6">
        <f ca="1" t="shared" si="3"/>
        <v>0</v>
      </c>
      <c r="O52" s="6">
        <f ca="1" t="shared" si="4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5"/>
      <c r="H53" s="6">
        <f ca="1" t="array" ref="H53">INDEX(成本核算表!J:J,MATCH(1,(成本核算表!D:D=E53)*(成本核算表!C:C=G53),0))</f>
        <v>0</v>
      </c>
      <c r="I53" s="30"/>
      <c r="J53" s="6">
        <f ca="1" t="shared" si="5"/>
        <v>0</v>
      </c>
      <c r="K53" s="23"/>
      <c r="M53" s="6"/>
      <c r="N53" s="6">
        <f ca="1" t="shared" si="3"/>
        <v>0</v>
      </c>
      <c r="O53" s="6">
        <f ca="1" t="shared" si="4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5"/>
      <c r="H54" s="6">
        <f ca="1" t="array" ref="H54">INDEX(成本核算表!J:J,MATCH(1,(成本核算表!D:D=E54)*(成本核算表!C:C=G54),0))</f>
        <v>0</v>
      </c>
      <c r="I54" s="30"/>
      <c r="J54" s="6">
        <f ca="1" t="shared" si="5"/>
        <v>0</v>
      </c>
      <c r="K54" s="23"/>
      <c r="M54" s="6"/>
      <c r="N54" s="6">
        <f ca="1" t="shared" si="3"/>
        <v>0</v>
      </c>
      <c r="O54" s="6">
        <f ca="1" t="shared" si="4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5"/>
      <c r="H55" s="6">
        <f ca="1" t="array" ref="H55">INDEX(成本核算表!J:J,MATCH(1,(成本核算表!D:D=E55)*(成本核算表!C:C=G55),0))</f>
        <v>0</v>
      </c>
      <c r="I55" s="30"/>
      <c r="J55" s="6">
        <f ca="1" t="shared" si="5"/>
        <v>0</v>
      </c>
      <c r="K55" s="23"/>
      <c r="M55" s="6"/>
      <c r="N55" s="6">
        <f ca="1" t="shared" si="3"/>
        <v>0</v>
      </c>
      <c r="O55" s="6">
        <f ca="1" t="shared" si="4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5"/>
      <c r="H56" s="6">
        <f ca="1" t="array" ref="H56">INDEX(成本核算表!J:J,MATCH(1,(成本核算表!D:D=E56)*(成本核算表!C:C=G56),0))</f>
        <v>0</v>
      </c>
      <c r="I56" s="30"/>
      <c r="J56" s="6">
        <f ca="1" t="shared" si="5"/>
        <v>0</v>
      </c>
      <c r="K56" s="23"/>
      <c r="M56" s="6"/>
      <c r="N56" s="6">
        <f ca="1" t="shared" si="3"/>
        <v>0</v>
      </c>
      <c r="O56" s="6">
        <f ca="1" t="shared" si="4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5"/>
      <c r="H57" s="6">
        <f ca="1" t="array" ref="H57">INDEX(成本核算表!J:J,MATCH(1,(成本核算表!D:D=E57)*(成本核算表!C:C=G57),0))</f>
        <v>0</v>
      </c>
      <c r="I57" s="30"/>
      <c r="J57" s="6">
        <f ca="1" t="shared" si="5"/>
        <v>0</v>
      </c>
      <c r="K57" s="23"/>
      <c r="M57" s="6"/>
      <c r="N57" s="6">
        <f ca="1" t="shared" si="3"/>
        <v>0</v>
      </c>
      <c r="O57" s="6">
        <f ca="1" t="shared" si="4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5"/>
      <c r="H58" s="6">
        <f ca="1" t="array" ref="H58">INDEX(成本核算表!J:J,MATCH(1,(成本核算表!D:D=E58)*(成本核算表!C:C=G58),0))</f>
        <v>0</v>
      </c>
      <c r="I58" s="30"/>
      <c r="J58" s="6">
        <f ca="1" t="shared" si="5"/>
        <v>0</v>
      </c>
      <c r="K58" s="23"/>
      <c r="M58" s="6"/>
      <c r="N58" s="6">
        <f ca="1" t="shared" si="3"/>
        <v>0</v>
      </c>
      <c r="O58" s="6">
        <f ca="1" t="shared" si="4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5"/>
      <c r="H59" s="6">
        <f ca="1" t="array" ref="H59">INDEX(成本核算表!J:J,MATCH(1,(成本核算表!D:D=E59)*(成本核算表!C:C=G59),0))</f>
        <v>0</v>
      </c>
      <c r="I59" s="30"/>
      <c r="J59" s="6">
        <f ca="1" t="shared" si="5"/>
        <v>0</v>
      </c>
      <c r="K59" s="23"/>
      <c r="M59" s="6"/>
      <c r="N59" s="6">
        <f ca="1" t="shared" si="3"/>
        <v>0</v>
      </c>
      <c r="O59" s="6">
        <f ca="1" t="shared" si="4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5"/>
      <c r="H60" s="6">
        <f ca="1" t="array" ref="H60">INDEX(成本核算表!J:J,MATCH(1,(成本核算表!D:D=E60)*(成本核算表!C:C=G60),0))</f>
        <v>0</v>
      </c>
      <c r="I60" s="30"/>
      <c r="J60" s="6">
        <f ca="1" t="shared" si="5"/>
        <v>0</v>
      </c>
      <c r="K60" s="23"/>
      <c r="M60" s="6"/>
      <c r="N60" s="6">
        <f ca="1" t="shared" si="3"/>
        <v>0</v>
      </c>
      <c r="O60" s="6">
        <f ca="1" t="shared" si="4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5"/>
      <c r="H61" s="6">
        <f ca="1" t="array" ref="H61">INDEX(成本核算表!J:J,MATCH(1,(成本核算表!D:D=E61)*(成本核算表!C:C=G61),0))</f>
        <v>0</v>
      </c>
      <c r="I61" s="30"/>
      <c r="J61" s="6">
        <f ca="1" t="shared" si="5"/>
        <v>0</v>
      </c>
      <c r="K61" s="23"/>
      <c r="M61" s="6"/>
      <c r="N61" s="6">
        <f ca="1" t="shared" si="3"/>
        <v>0</v>
      </c>
      <c r="O61" s="6">
        <f ca="1" t="shared" si="4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5"/>
      <c r="H62" s="6">
        <f ca="1" t="array" ref="H62">INDEX(成本核算表!J:J,MATCH(1,(成本核算表!D:D=E62)*(成本核算表!C:C=G62),0))</f>
        <v>0</v>
      </c>
      <c r="I62" s="30"/>
      <c r="J62" s="6">
        <f ca="1" t="shared" si="5"/>
        <v>0</v>
      </c>
      <c r="K62" s="23"/>
      <c r="M62" s="6"/>
      <c r="N62" s="6">
        <f ca="1" t="shared" si="3"/>
        <v>0</v>
      </c>
      <c r="O62" s="6">
        <f ca="1" t="shared" si="4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5"/>
      <c r="H63" s="6">
        <f ca="1" t="array" ref="H63">INDEX(成本核算表!J:J,MATCH(1,(成本核算表!D:D=E63)*(成本核算表!C:C=G63),0))</f>
        <v>0</v>
      </c>
      <c r="I63" s="30"/>
      <c r="J63" s="6">
        <f ca="1" t="shared" si="5"/>
        <v>0</v>
      </c>
      <c r="K63" s="23"/>
      <c r="M63" s="6"/>
      <c r="N63" s="6">
        <f ca="1" t="shared" si="3"/>
        <v>0</v>
      </c>
      <c r="O63" s="6">
        <f ca="1" t="shared" si="4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5"/>
      <c r="H64" s="6">
        <f ca="1" t="array" ref="H64">INDEX(成本核算表!J:J,MATCH(1,(成本核算表!D:D=E64)*(成本核算表!C:C=G64),0))</f>
        <v>0</v>
      </c>
      <c r="I64" s="30"/>
      <c r="J64" s="6">
        <f ca="1" t="shared" si="5"/>
        <v>0</v>
      </c>
      <c r="K64" s="23"/>
      <c r="M64" s="6"/>
      <c r="N64" s="6">
        <f ca="1" t="shared" si="3"/>
        <v>0</v>
      </c>
      <c r="O64" s="6">
        <f ca="1" t="shared" si="4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5"/>
      <c r="H65" s="6">
        <f ca="1" t="array" ref="H65">INDEX(成本核算表!J:J,MATCH(1,(成本核算表!D:D=E65)*(成本核算表!C:C=G65),0))</f>
        <v>0</v>
      </c>
      <c r="I65" s="30"/>
      <c r="J65" s="6">
        <f ca="1" t="shared" si="5"/>
        <v>0</v>
      </c>
      <c r="K65" s="23"/>
      <c r="M65" s="6"/>
      <c r="N65" s="6">
        <f ca="1" t="shared" si="3"/>
        <v>0</v>
      </c>
      <c r="O65" s="6">
        <f ca="1" t="shared" si="4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5"/>
      <c r="H66" s="6">
        <f ca="1" t="array" ref="H66">INDEX(成本核算表!J:J,MATCH(1,(成本核算表!D:D=E66)*(成本核算表!C:C=G66),0))</f>
        <v>0</v>
      </c>
      <c r="I66" s="30"/>
      <c r="J66" s="6">
        <f ca="1" t="shared" si="5"/>
        <v>0</v>
      </c>
      <c r="K66" s="23"/>
      <c r="M66" s="6"/>
      <c r="N66" s="6">
        <f ca="1" t="shared" si="3"/>
        <v>0</v>
      </c>
      <c r="O66" s="6">
        <f ca="1" t="shared" si="4"/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5"/>
      <c r="H67" s="6">
        <f ca="1" t="array" ref="H67">INDEX(成本核算表!J:J,MATCH(1,(成本核算表!D:D=E67)*(成本核算表!C:C=G67),0))</f>
        <v>0</v>
      </c>
      <c r="I67" s="30"/>
      <c r="J67" s="6">
        <f ca="1" t="shared" si="5"/>
        <v>0</v>
      </c>
      <c r="K67" s="23"/>
      <c r="M67" s="6"/>
      <c r="N67" s="6">
        <f ca="1" t="shared" si="3"/>
        <v>0</v>
      </c>
      <c r="O67" s="6">
        <f ca="1" t="shared" si="4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5"/>
      <c r="H68" s="6">
        <f ca="1" t="array" ref="H68">INDEX(成本核算表!J:J,MATCH(1,(成本核算表!D:D=E68)*(成本核算表!C:C=G68),0))</f>
        <v>0</v>
      </c>
      <c r="I68" s="30"/>
      <c r="J68" s="6">
        <f ca="1" t="shared" si="5"/>
        <v>0</v>
      </c>
      <c r="K68" s="23"/>
      <c r="M68" s="6"/>
      <c r="N68" s="6">
        <f ca="1" t="shared" si="3"/>
        <v>0</v>
      </c>
      <c r="O68" s="6">
        <f ca="1" t="shared" si="4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5"/>
      <c r="H69" s="6">
        <f ca="1" t="array" ref="H69">INDEX(成本核算表!J:J,MATCH(1,(成本核算表!D:D=E69)*(成本核算表!C:C=G69),0))</f>
        <v>0</v>
      </c>
      <c r="I69" s="30"/>
      <c r="J69" s="6">
        <f ca="1" t="shared" si="5"/>
        <v>0</v>
      </c>
      <c r="K69" s="23"/>
      <c r="M69" s="6"/>
      <c r="N69" s="6">
        <f ca="1" t="shared" si="3"/>
        <v>0</v>
      </c>
      <c r="O69" s="6">
        <f ca="1" t="shared" si="4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5"/>
      <c r="H70" s="6">
        <f ca="1" t="array" ref="H70">INDEX(成本核算表!J:J,MATCH(1,(成本核算表!D:D=E70)*(成本核算表!C:C=G70),0))</f>
        <v>0</v>
      </c>
      <c r="I70" s="30"/>
      <c r="J70" s="6">
        <f ca="1" t="shared" si="5"/>
        <v>0</v>
      </c>
      <c r="K70" s="23"/>
      <c r="M70" s="6"/>
      <c r="N70" s="6">
        <f ca="1" t="shared" si="3"/>
        <v>0</v>
      </c>
      <c r="O70" s="6">
        <f ca="1" t="shared" si="4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5"/>
      <c r="H71" s="6">
        <f ca="1" t="array" ref="H71">INDEX(成本核算表!J:J,MATCH(1,(成本核算表!D:D=E71)*(成本核算表!C:C=G71),0))</f>
        <v>0</v>
      </c>
      <c r="I71" s="30"/>
      <c r="J71" s="6">
        <f ca="1" t="shared" si="5"/>
        <v>0</v>
      </c>
      <c r="K71" s="23"/>
      <c r="M71" s="6"/>
      <c r="N71" s="6">
        <f ca="1" t="shared" si="3"/>
        <v>0</v>
      </c>
      <c r="O71" s="6">
        <f ca="1" t="shared" si="4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5"/>
      <c r="H72" s="6">
        <f ca="1" t="array" ref="H72">INDEX(成本核算表!J:J,MATCH(1,(成本核算表!D:D=E72)*(成本核算表!C:C=G72),0))</f>
        <v>0</v>
      </c>
      <c r="I72" s="30"/>
      <c r="J72" s="6">
        <f ca="1" t="shared" si="5"/>
        <v>0</v>
      </c>
      <c r="K72" s="23"/>
      <c r="M72" s="6"/>
      <c r="N72" s="6">
        <f ca="1" t="shared" si="3"/>
        <v>0</v>
      </c>
      <c r="O72" s="6">
        <f ca="1" t="shared" si="4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5"/>
      <c r="H73" s="6">
        <f ca="1" t="array" ref="H73">INDEX(成本核算表!J:J,MATCH(1,(成本核算表!D:D=E73)*(成本核算表!C:C=G73),0))</f>
        <v>0</v>
      </c>
      <c r="I73" s="30"/>
      <c r="J73" s="6">
        <f ca="1" t="shared" si="5"/>
        <v>0</v>
      </c>
      <c r="K73" s="23"/>
      <c r="M73" s="6"/>
      <c r="N73" s="6">
        <f ca="1" t="shared" si="3"/>
        <v>0</v>
      </c>
      <c r="O73" s="6">
        <f ca="1" t="shared" si="4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5"/>
      <c r="H74" s="6">
        <f ca="1" t="array" ref="H74">INDEX(成本核算表!J:J,MATCH(1,(成本核算表!D:D=E74)*(成本核算表!C:C=G74),0))</f>
        <v>0</v>
      </c>
      <c r="I74" s="30"/>
      <c r="J74" s="6">
        <f ca="1" t="shared" si="5"/>
        <v>0</v>
      </c>
      <c r="K74" s="23"/>
      <c r="M74" s="6"/>
      <c r="N74" s="6">
        <f ca="1" t="shared" ref="N74:N108" si="6">J74-M74+L74</f>
        <v>0</v>
      </c>
      <c r="O74" s="6">
        <f ca="1" t="shared" ref="O74:O108" si="7">N74/3600</f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5"/>
      <c r="H75" s="6">
        <f ca="1" t="array" ref="H75">INDEX(成本核算表!J:J,MATCH(1,(成本核算表!D:D=E75)*(成本核算表!C:C=G75),0))</f>
        <v>0</v>
      </c>
      <c r="I75" s="30"/>
      <c r="J75" s="6">
        <f ca="1" t="shared" ref="J75:J108" si="8">H75*I75</f>
        <v>0</v>
      </c>
      <c r="K75" s="23"/>
      <c r="M75" s="6"/>
      <c r="N75" s="6">
        <f ca="1" t="shared" si="6"/>
        <v>0</v>
      </c>
      <c r="O75" s="6">
        <f ca="1" t="shared" si="7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5"/>
      <c r="H76" s="6">
        <f ca="1" t="array" ref="H76">INDEX(成本核算表!J:J,MATCH(1,(成本核算表!D:D=E76)*(成本核算表!C:C=G76),0))</f>
        <v>0</v>
      </c>
      <c r="I76" s="30"/>
      <c r="J76" s="6">
        <f ca="1" t="shared" si="8"/>
        <v>0</v>
      </c>
      <c r="K76" s="23"/>
      <c r="M76" s="6"/>
      <c r="N76" s="6">
        <f ca="1" t="shared" si="6"/>
        <v>0</v>
      </c>
      <c r="O76" s="6">
        <f ca="1" t="shared" si="7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5"/>
      <c r="H77" s="6">
        <f ca="1" t="array" ref="H77">INDEX(成本核算表!J:J,MATCH(1,(成本核算表!D:D=E77)*(成本核算表!C:C=G77),0))</f>
        <v>0</v>
      </c>
      <c r="I77" s="30"/>
      <c r="J77" s="6">
        <f ca="1" t="shared" si="8"/>
        <v>0</v>
      </c>
      <c r="K77" s="23"/>
      <c r="M77" s="6"/>
      <c r="N77" s="6">
        <f ca="1" t="shared" si="6"/>
        <v>0</v>
      </c>
      <c r="O77" s="6">
        <f ca="1" t="shared" si="7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5"/>
      <c r="H78" s="6">
        <f ca="1" t="array" ref="H78">INDEX(成本核算表!J:J,MATCH(1,(成本核算表!D:D=E78)*(成本核算表!C:C=G78),0))</f>
        <v>0</v>
      </c>
      <c r="I78" s="30"/>
      <c r="J78" s="6">
        <f ca="1" t="shared" si="8"/>
        <v>0</v>
      </c>
      <c r="K78" s="23"/>
      <c r="M78" s="6"/>
      <c r="N78" s="6">
        <f ca="1" t="shared" si="6"/>
        <v>0</v>
      </c>
      <c r="O78" s="6">
        <f ca="1" t="shared" si="7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5"/>
      <c r="H79" s="6">
        <f ca="1" t="array" ref="H79">INDEX(成本核算表!J:J,MATCH(1,(成本核算表!D:D=E79)*(成本核算表!C:C=G79),0))</f>
        <v>0</v>
      </c>
      <c r="I79" s="30"/>
      <c r="J79" s="6">
        <f ca="1" t="shared" si="8"/>
        <v>0</v>
      </c>
      <c r="K79" s="23"/>
      <c r="M79" s="6"/>
      <c r="N79" s="6">
        <f ca="1" t="shared" si="6"/>
        <v>0</v>
      </c>
      <c r="O79" s="6">
        <f ca="1" t="shared" si="7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5"/>
      <c r="H80" s="6">
        <f ca="1" t="array" ref="H80">INDEX(成本核算表!J:J,MATCH(1,(成本核算表!D:D=E80)*(成本核算表!C:C=G80),0))</f>
        <v>0</v>
      </c>
      <c r="I80" s="30"/>
      <c r="J80" s="6">
        <f ca="1" t="shared" si="8"/>
        <v>0</v>
      </c>
      <c r="K80" s="23"/>
      <c r="M80" s="6"/>
      <c r="N80" s="6">
        <f ca="1" t="shared" si="6"/>
        <v>0</v>
      </c>
      <c r="O80" s="6">
        <f ca="1" t="shared" si="7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5"/>
      <c r="H81" s="6">
        <f ca="1" t="array" ref="H81">INDEX(成本核算表!J:J,MATCH(1,(成本核算表!D:D=E81)*(成本核算表!C:C=G81),0))</f>
        <v>0</v>
      </c>
      <c r="I81" s="30"/>
      <c r="J81" s="6">
        <f ca="1" t="shared" si="8"/>
        <v>0</v>
      </c>
      <c r="K81" s="23"/>
      <c r="M81" s="6"/>
      <c r="N81" s="6">
        <f ca="1" t="shared" si="6"/>
        <v>0</v>
      </c>
      <c r="O81" s="6">
        <f ca="1" t="shared" si="7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5"/>
      <c r="H82" s="6">
        <f ca="1" t="array" ref="H82">INDEX(成本核算表!J:J,MATCH(1,(成本核算表!D:D=E82)*(成本核算表!C:C=G82),0))</f>
        <v>0</v>
      </c>
      <c r="I82" s="30"/>
      <c r="J82" s="6">
        <f ca="1" t="shared" si="8"/>
        <v>0</v>
      </c>
      <c r="K82" s="23"/>
      <c r="M82" s="6"/>
      <c r="N82" s="6">
        <f ca="1" t="shared" si="6"/>
        <v>0</v>
      </c>
      <c r="O82" s="6">
        <f ca="1" t="shared" si="7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5"/>
      <c r="H83" s="6">
        <f ca="1" t="array" ref="H83">INDEX(成本核算表!J:J,MATCH(1,(成本核算表!D:D=E83)*(成本核算表!C:C=G83),0))</f>
        <v>0</v>
      </c>
      <c r="I83" s="30"/>
      <c r="J83" s="6">
        <f ca="1" t="shared" si="8"/>
        <v>0</v>
      </c>
      <c r="K83" s="23"/>
      <c r="M83" s="6"/>
      <c r="N83" s="6">
        <f ca="1" t="shared" si="6"/>
        <v>0</v>
      </c>
      <c r="O83" s="6">
        <f ca="1" t="shared" si="7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5"/>
      <c r="H84" s="6">
        <f ca="1" t="array" ref="H84">INDEX(成本核算表!J:J,MATCH(1,(成本核算表!D:D=E84)*(成本核算表!C:C=G84),0))</f>
        <v>0</v>
      </c>
      <c r="I84" s="30"/>
      <c r="J84" s="6">
        <f ca="1" t="shared" si="8"/>
        <v>0</v>
      </c>
      <c r="K84" s="23"/>
      <c r="M84" s="6"/>
      <c r="N84" s="6">
        <f ca="1" t="shared" si="6"/>
        <v>0</v>
      </c>
      <c r="O84" s="6">
        <f ca="1" t="shared" si="7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5"/>
      <c r="H85" s="6">
        <f ca="1" t="array" ref="H85">INDEX(成本核算表!J:J,MATCH(1,(成本核算表!D:D=E85)*(成本核算表!C:C=G85),0))</f>
        <v>0</v>
      </c>
      <c r="I85" s="30"/>
      <c r="J85" s="6">
        <f ca="1" t="shared" si="8"/>
        <v>0</v>
      </c>
      <c r="K85" s="23"/>
      <c r="M85" s="6"/>
      <c r="N85" s="6">
        <f ca="1" t="shared" si="6"/>
        <v>0</v>
      </c>
      <c r="O85" s="6">
        <f ca="1" t="shared" si="7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5"/>
      <c r="H86" s="6">
        <f ca="1" t="array" ref="H86">INDEX(成本核算表!J:J,MATCH(1,(成本核算表!D:D=E86)*(成本核算表!C:C=G86),0))</f>
        <v>0</v>
      </c>
      <c r="I86" s="30"/>
      <c r="J86" s="6">
        <f ca="1" t="shared" si="8"/>
        <v>0</v>
      </c>
      <c r="K86" s="23"/>
      <c r="M86" s="6"/>
      <c r="N86" s="6">
        <f ca="1" t="shared" si="6"/>
        <v>0</v>
      </c>
      <c r="O86" s="6">
        <f ca="1" t="shared" si="7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5"/>
      <c r="H87" s="6">
        <f ca="1" t="array" ref="H87">INDEX(成本核算表!J:J,MATCH(1,(成本核算表!D:D=E87)*(成本核算表!C:C=G87),0))</f>
        <v>0</v>
      </c>
      <c r="I87" s="30"/>
      <c r="J87" s="6">
        <f ca="1" t="shared" si="8"/>
        <v>0</v>
      </c>
      <c r="K87" s="23"/>
      <c r="M87" s="6"/>
      <c r="N87" s="6">
        <f ca="1" t="shared" si="6"/>
        <v>0</v>
      </c>
      <c r="O87" s="6">
        <f ca="1" t="shared" si="7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5"/>
      <c r="H88" s="6">
        <f ca="1" t="array" ref="H88">INDEX(成本核算表!J:J,MATCH(1,(成本核算表!D:D=E88)*(成本核算表!C:C=G88),0))</f>
        <v>0</v>
      </c>
      <c r="I88" s="30"/>
      <c r="J88" s="6">
        <f ca="1" t="shared" si="8"/>
        <v>0</v>
      </c>
      <c r="K88" s="23"/>
      <c r="M88" s="6"/>
      <c r="N88" s="6">
        <f ca="1" t="shared" si="6"/>
        <v>0</v>
      </c>
      <c r="O88" s="6">
        <f ca="1" t="shared" si="7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5"/>
      <c r="H89" s="6">
        <f ca="1" t="array" ref="H89">INDEX(成本核算表!J:J,MATCH(1,(成本核算表!D:D=E89)*(成本核算表!C:C=G89),0))</f>
        <v>0</v>
      </c>
      <c r="I89" s="30"/>
      <c r="J89" s="6">
        <f ca="1" t="shared" si="8"/>
        <v>0</v>
      </c>
      <c r="K89" s="23"/>
      <c r="M89" s="6"/>
      <c r="N89" s="6">
        <f ca="1" t="shared" si="6"/>
        <v>0</v>
      </c>
      <c r="O89" s="6">
        <f ca="1" t="shared" si="7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5"/>
      <c r="H90" s="6">
        <f ca="1" t="array" ref="H90">INDEX(成本核算表!J:J,MATCH(1,(成本核算表!D:D=E90)*(成本核算表!C:C=G90),0))</f>
        <v>0</v>
      </c>
      <c r="I90" s="30"/>
      <c r="J90" s="6">
        <f ca="1" t="shared" si="8"/>
        <v>0</v>
      </c>
      <c r="K90" s="23"/>
      <c r="M90" s="6"/>
      <c r="N90" s="6">
        <f ca="1" t="shared" si="6"/>
        <v>0</v>
      </c>
      <c r="O90" s="6">
        <f ca="1" t="shared" si="7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5"/>
      <c r="H91" s="6">
        <f ca="1" t="array" ref="H91">INDEX(成本核算表!J:J,MATCH(1,(成本核算表!D:D=E91)*(成本核算表!C:C=G91),0))</f>
        <v>0</v>
      </c>
      <c r="I91" s="30"/>
      <c r="J91" s="6">
        <f ca="1" t="shared" si="8"/>
        <v>0</v>
      </c>
      <c r="K91" s="23"/>
      <c r="M91" s="6"/>
      <c r="N91" s="6">
        <f ca="1" t="shared" si="6"/>
        <v>0</v>
      </c>
      <c r="O91" s="6">
        <f ca="1" t="shared" si="7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5"/>
      <c r="H92" s="6">
        <f ca="1" t="array" ref="H92">INDEX(成本核算表!J:J,MATCH(1,(成本核算表!D:D=E92)*(成本核算表!C:C=G92),0))</f>
        <v>0</v>
      </c>
      <c r="I92" s="30"/>
      <c r="J92" s="6">
        <f ca="1" t="shared" si="8"/>
        <v>0</v>
      </c>
      <c r="K92" s="23"/>
      <c r="M92" s="6"/>
      <c r="N92" s="6">
        <f ca="1" t="shared" si="6"/>
        <v>0</v>
      </c>
      <c r="O92" s="6">
        <f ca="1" t="shared" si="7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5"/>
      <c r="H93" s="6">
        <f ca="1" t="array" ref="H93">INDEX(成本核算表!J:J,MATCH(1,(成本核算表!D:D=E93)*(成本核算表!C:C=G93),0))</f>
        <v>0</v>
      </c>
      <c r="I93" s="30"/>
      <c r="J93" s="6">
        <f ca="1" t="shared" si="8"/>
        <v>0</v>
      </c>
      <c r="K93" s="23"/>
      <c r="M93" s="6"/>
      <c r="N93" s="6">
        <f ca="1" t="shared" si="6"/>
        <v>0</v>
      </c>
      <c r="O93" s="6">
        <f ca="1" t="shared" si="7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5"/>
      <c r="H94" s="6">
        <f ca="1" t="array" ref="H94">INDEX(成本核算表!J:J,MATCH(1,(成本核算表!D:D=E94)*(成本核算表!C:C=G94),0))</f>
        <v>0</v>
      </c>
      <c r="I94" s="30"/>
      <c r="J94" s="6">
        <f ca="1" t="shared" si="8"/>
        <v>0</v>
      </c>
      <c r="K94" s="23"/>
      <c r="M94" s="6"/>
      <c r="N94" s="6">
        <f ca="1" t="shared" si="6"/>
        <v>0</v>
      </c>
      <c r="O94" s="6">
        <f ca="1" t="shared" si="7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5"/>
      <c r="H95" s="6">
        <f ca="1" t="array" ref="H95">INDEX(成本核算表!J:J,MATCH(1,(成本核算表!D:D=E95)*(成本核算表!C:C=G95),0))</f>
        <v>0</v>
      </c>
      <c r="I95" s="30"/>
      <c r="J95" s="6">
        <f ca="1" t="shared" si="8"/>
        <v>0</v>
      </c>
      <c r="K95" s="23"/>
      <c r="M95" s="6"/>
      <c r="N95" s="6">
        <f ca="1" t="shared" si="6"/>
        <v>0</v>
      </c>
      <c r="O95" s="6">
        <f ca="1" t="shared" si="7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5"/>
      <c r="H96" s="6">
        <f ca="1" t="array" ref="H96">INDEX(成本核算表!J:J,MATCH(1,(成本核算表!D:D=E96)*(成本核算表!C:C=G96),0))</f>
        <v>0</v>
      </c>
      <c r="I96" s="30"/>
      <c r="J96" s="6">
        <f ca="1" t="shared" si="8"/>
        <v>0</v>
      </c>
      <c r="K96" s="23"/>
      <c r="M96" s="6"/>
      <c r="N96" s="6">
        <f ca="1" t="shared" si="6"/>
        <v>0</v>
      </c>
      <c r="O96" s="6">
        <f ca="1" t="shared" si="7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5"/>
      <c r="H97" s="6">
        <f ca="1" t="array" ref="H97">INDEX(成本核算表!J:J,MATCH(1,(成本核算表!D:D=E97)*(成本核算表!C:C=G97),0))</f>
        <v>0</v>
      </c>
      <c r="I97" s="30"/>
      <c r="J97" s="6">
        <f ca="1" t="shared" si="8"/>
        <v>0</v>
      </c>
      <c r="K97" s="23"/>
      <c r="M97" s="6"/>
      <c r="N97" s="6">
        <f ca="1" t="shared" si="6"/>
        <v>0</v>
      </c>
      <c r="O97" s="6">
        <f ca="1" t="shared" si="7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5"/>
      <c r="H98" s="6">
        <f ca="1" t="array" ref="H98">INDEX(成本核算表!J:J,MATCH(1,(成本核算表!D:D=E98)*(成本核算表!C:C=G98),0))</f>
        <v>0</v>
      </c>
      <c r="I98" s="30"/>
      <c r="J98" s="6">
        <f ca="1" t="shared" si="8"/>
        <v>0</v>
      </c>
      <c r="K98" s="23"/>
      <c r="M98" s="6"/>
      <c r="N98" s="6">
        <f ca="1" t="shared" si="6"/>
        <v>0</v>
      </c>
      <c r="O98" s="6">
        <f ca="1" t="shared" si="7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5"/>
      <c r="H99" s="6">
        <f ca="1" t="array" ref="H99">INDEX(成本核算表!J:J,MATCH(1,(成本核算表!D:D=E99)*(成本核算表!C:C=G99),0))</f>
        <v>0</v>
      </c>
      <c r="I99" s="30"/>
      <c r="J99" s="6">
        <f ca="1" t="shared" si="8"/>
        <v>0</v>
      </c>
      <c r="K99" s="23"/>
      <c r="M99" s="6"/>
      <c r="N99" s="6">
        <f ca="1" t="shared" si="6"/>
        <v>0</v>
      </c>
      <c r="O99" s="6">
        <f ca="1" t="shared" si="7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5"/>
      <c r="H100" s="6">
        <f ca="1" t="array" ref="H100">INDEX(成本核算表!J:J,MATCH(1,(成本核算表!D:D=E100)*(成本核算表!C:C=G100),0))</f>
        <v>0</v>
      </c>
      <c r="I100" s="30"/>
      <c r="J100" s="6">
        <f ca="1" t="shared" si="8"/>
        <v>0</v>
      </c>
      <c r="K100" s="23"/>
      <c r="M100" s="6"/>
      <c r="N100" s="6">
        <f ca="1" t="shared" si="6"/>
        <v>0</v>
      </c>
      <c r="O100" s="6">
        <f ca="1" t="shared" si="7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5"/>
      <c r="H101" s="6">
        <f ca="1" t="array" ref="H101">INDEX(成本核算表!J:J,MATCH(1,(成本核算表!D:D=E101)*(成本核算表!C:C=G101),0))</f>
        <v>0</v>
      </c>
      <c r="I101" s="30"/>
      <c r="J101" s="6">
        <f ca="1" t="shared" si="8"/>
        <v>0</v>
      </c>
      <c r="K101" s="23"/>
      <c r="M101" s="6"/>
      <c r="N101" s="6">
        <f ca="1" t="shared" si="6"/>
        <v>0</v>
      </c>
      <c r="O101" s="6">
        <f ca="1" t="shared" si="7"/>
        <v>0</v>
      </c>
    </row>
    <row r="102" s="21" customFormat="1" ht="20" customHeight="1" spans="1:15">
      <c r="A102" s="22"/>
      <c r="B102" s="23"/>
      <c r="C102" s="24"/>
      <c r="D102" s="23"/>
      <c r="E102" s="23"/>
      <c r="F102" s="23"/>
      <c r="G102" s="25"/>
      <c r="H102" s="6">
        <f ca="1" t="array" ref="H102">INDEX(成本核算表!J:J,MATCH(1,(成本核算表!D:D=E102)*(成本核算表!C:C=G102),0))</f>
        <v>0</v>
      </c>
      <c r="I102" s="30"/>
      <c r="J102" s="6">
        <f ca="1" t="shared" si="8"/>
        <v>0</v>
      </c>
      <c r="K102" s="23"/>
      <c r="M102" s="6"/>
      <c r="N102" s="6">
        <f ca="1" t="shared" si="6"/>
        <v>0</v>
      </c>
      <c r="O102" s="6">
        <f ca="1" t="shared" si="7"/>
        <v>0</v>
      </c>
    </row>
    <row r="103" s="21" customFormat="1" ht="20" customHeight="1" spans="1:15">
      <c r="A103" s="22"/>
      <c r="B103" s="23"/>
      <c r="C103" s="24"/>
      <c r="D103" s="23"/>
      <c r="E103" s="23"/>
      <c r="F103" s="23"/>
      <c r="G103" s="25"/>
      <c r="H103" s="6">
        <f ca="1" t="array" ref="H103">INDEX(成本核算表!J:J,MATCH(1,(成本核算表!D:D=E103)*(成本核算表!C:C=G103),0))</f>
        <v>0</v>
      </c>
      <c r="I103" s="30"/>
      <c r="J103" s="6">
        <f ca="1" t="shared" si="8"/>
        <v>0</v>
      </c>
      <c r="K103" s="23"/>
      <c r="M103" s="6"/>
      <c r="N103" s="6">
        <f ca="1" t="shared" si="6"/>
        <v>0</v>
      </c>
      <c r="O103" s="6">
        <f ca="1" t="shared" si="7"/>
        <v>0</v>
      </c>
    </row>
    <row r="104" s="21" customFormat="1" ht="20" customHeight="1" spans="1:15">
      <c r="A104" s="22"/>
      <c r="B104" s="23"/>
      <c r="C104" s="24"/>
      <c r="D104" s="23"/>
      <c r="E104" s="23"/>
      <c r="F104" s="23"/>
      <c r="G104" s="25"/>
      <c r="H104" s="6">
        <f ca="1" t="array" ref="H104">INDEX(成本核算表!J:J,MATCH(1,(成本核算表!D:D=E104)*(成本核算表!C:C=G104),0))</f>
        <v>0</v>
      </c>
      <c r="I104" s="30"/>
      <c r="J104" s="6">
        <f ca="1" t="shared" si="8"/>
        <v>0</v>
      </c>
      <c r="K104" s="23"/>
      <c r="M104" s="6"/>
      <c r="N104" s="6">
        <f ca="1" t="shared" si="6"/>
        <v>0</v>
      </c>
      <c r="O104" s="6">
        <f ca="1" t="shared" si="7"/>
        <v>0</v>
      </c>
    </row>
    <row r="105" s="21" customFormat="1" ht="20" customHeight="1" spans="1:15">
      <c r="A105" s="22"/>
      <c r="B105" s="23"/>
      <c r="C105" s="24"/>
      <c r="D105" s="23"/>
      <c r="E105" s="23"/>
      <c r="F105" s="23"/>
      <c r="G105" s="25"/>
      <c r="H105" s="6">
        <f ca="1" t="array" ref="H105">INDEX(成本核算表!J:J,MATCH(1,(成本核算表!D:D=E105)*(成本核算表!C:C=G105),0))</f>
        <v>0</v>
      </c>
      <c r="I105" s="30"/>
      <c r="J105" s="6">
        <f ca="1" t="shared" si="8"/>
        <v>0</v>
      </c>
      <c r="K105" s="23"/>
      <c r="M105" s="6"/>
      <c r="N105" s="6">
        <f ca="1" t="shared" si="6"/>
        <v>0</v>
      </c>
      <c r="O105" s="6">
        <f ca="1" t="shared" si="7"/>
        <v>0</v>
      </c>
    </row>
    <row r="106" s="21" customFormat="1" ht="20" customHeight="1" spans="1:15">
      <c r="A106" s="22"/>
      <c r="B106" s="23"/>
      <c r="C106" s="24"/>
      <c r="D106" s="23"/>
      <c r="E106" s="23"/>
      <c r="F106" s="23"/>
      <c r="G106" s="25"/>
      <c r="H106" s="6">
        <f ca="1" t="array" ref="H106">INDEX(成本核算表!J:J,MATCH(1,(成本核算表!D:D=E106)*(成本核算表!C:C=G106),0))</f>
        <v>0</v>
      </c>
      <c r="I106" s="30"/>
      <c r="J106" s="6">
        <f ca="1" t="shared" si="8"/>
        <v>0</v>
      </c>
      <c r="K106" s="23"/>
      <c r="M106" s="6"/>
      <c r="N106" s="6">
        <f ca="1" t="shared" si="6"/>
        <v>0</v>
      </c>
      <c r="O106" s="6">
        <f ca="1" t="shared" si="7"/>
        <v>0</v>
      </c>
    </row>
    <row r="107" s="21" customFormat="1" ht="20" customHeight="1" spans="1:15">
      <c r="A107" s="22"/>
      <c r="B107" s="23"/>
      <c r="C107" s="24"/>
      <c r="D107" s="23"/>
      <c r="E107" s="23"/>
      <c r="F107" s="23"/>
      <c r="G107" s="25"/>
      <c r="H107" s="6">
        <f ca="1" t="array" ref="H107">INDEX(成本核算表!J:J,MATCH(1,(成本核算表!D:D=E107)*(成本核算表!C:C=G107),0))</f>
        <v>0</v>
      </c>
      <c r="I107" s="30"/>
      <c r="J107" s="6">
        <f ca="1" t="shared" si="8"/>
        <v>0</v>
      </c>
      <c r="K107" s="23"/>
      <c r="M107" s="6"/>
      <c r="N107" s="6">
        <f ca="1" t="shared" si="6"/>
        <v>0</v>
      </c>
      <c r="O107" s="6">
        <f ca="1" t="shared" si="7"/>
        <v>0</v>
      </c>
    </row>
    <row r="108" s="21" customFormat="1" ht="20" customHeight="1" spans="1:15">
      <c r="A108" s="22"/>
      <c r="B108" s="23"/>
      <c r="C108" s="24"/>
      <c r="D108" s="23"/>
      <c r="E108" s="23"/>
      <c r="F108" s="23"/>
      <c r="G108" s="25"/>
      <c r="H108" s="6">
        <f ca="1" t="array" ref="H108">INDEX(成本核算表!J:J,MATCH(1,(成本核算表!D:D=E108)*(成本核算表!C:C=G108),0))</f>
        <v>0</v>
      </c>
      <c r="I108" s="30"/>
      <c r="J108" s="6">
        <f ca="1" t="shared" si="8"/>
        <v>0</v>
      </c>
      <c r="K108" s="23"/>
      <c r="M108" s="6"/>
      <c r="N108" s="6">
        <f ca="1" t="shared" si="6"/>
        <v>0</v>
      </c>
      <c r="O108" s="6">
        <f ca="1" t="shared" si="7"/>
        <v>0</v>
      </c>
    </row>
    <row r="109" s="21" customFormat="1" customHeight="1" spans="1:15">
      <c r="A109" s="22"/>
      <c r="B109" s="23"/>
      <c r="C109" s="24"/>
      <c r="D109" s="23"/>
      <c r="E109" s="23"/>
      <c r="F109" s="23"/>
      <c r="G109" s="25"/>
      <c r="H109" s="25"/>
      <c r="I109" s="32"/>
      <c r="J109" s="23"/>
      <c r="K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5"/>
      <c r="H110" s="25"/>
      <c r="I110" s="32"/>
      <c r="J110" s="23"/>
      <c r="K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5"/>
      <c r="H111" s="25"/>
      <c r="I111" s="32"/>
      <c r="J111" s="23"/>
      <c r="K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5"/>
      <c r="H112" s="25"/>
      <c r="I112" s="32"/>
      <c r="J112" s="23"/>
      <c r="K112" s="23"/>
    </row>
    <row r="113" s="21" customFormat="1" customHeight="1" spans="1:11">
      <c r="A113" s="22"/>
      <c r="B113" s="23"/>
      <c r="C113" s="24"/>
      <c r="D113" s="23"/>
      <c r="E113" s="23"/>
      <c r="F113" s="23"/>
      <c r="G113" s="25"/>
      <c r="H113" s="25"/>
      <c r="I113" s="32"/>
      <c r="J113" s="23"/>
      <c r="K113" s="23"/>
    </row>
    <row r="114" s="21" customFormat="1" customHeight="1" spans="1:11">
      <c r="A114" s="22"/>
      <c r="B114" s="23"/>
      <c r="C114" s="24"/>
      <c r="D114" s="23"/>
      <c r="E114" s="23"/>
      <c r="F114" s="23"/>
      <c r="G114" s="25"/>
      <c r="H114" s="25"/>
      <c r="I114" s="32"/>
      <c r="J114" s="23"/>
      <c r="K114" s="23"/>
    </row>
    <row r="115" s="21" customFormat="1" customHeight="1" spans="1:11">
      <c r="A115" s="22"/>
      <c r="B115" s="23"/>
      <c r="C115" s="24"/>
      <c r="D115" s="23"/>
      <c r="E115" s="23"/>
      <c r="F115" s="23"/>
      <c r="G115" s="25"/>
      <c r="H115" s="25"/>
      <c r="I115" s="32"/>
      <c r="J115" s="23"/>
      <c r="K115" s="23"/>
    </row>
    <row r="116" s="21" customFormat="1" customHeight="1" spans="1:11">
      <c r="A116" s="22"/>
      <c r="B116" s="23"/>
      <c r="C116" s="24"/>
      <c r="D116" s="23"/>
      <c r="E116" s="23"/>
      <c r="F116" s="23"/>
      <c r="G116" s="25"/>
      <c r="H116" s="25"/>
      <c r="I116" s="32"/>
      <c r="J116" s="23"/>
      <c r="K116" s="23"/>
    </row>
    <row r="117" s="21" customFormat="1" customHeight="1" spans="1:11">
      <c r="A117" s="22"/>
      <c r="B117" s="23"/>
      <c r="C117" s="24"/>
      <c r="D117" s="23"/>
      <c r="E117" s="23"/>
      <c r="F117" s="23"/>
      <c r="G117" s="25"/>
      <c r="H117" s="25"/>
      <c r="I117" s="32"/>
      <c r="J117" s="23"/>
      <c r="K117" s="23"/>
    </row>
    <row r="118" s="21" customFormat="1" customHeight="1" spans="1:11">
      <c r="A118" s="22"/>
      <c r="B118" s="23"/>
      <c r="C118" s="24"/>
      <c r="D118" s="23"/>
      <c r="E118" s="23"/>
      <c r="F118" s="23"/>
      <c r="G118" s="25"/>
      <c r="H118" s="25"/>
      <c r="I118" s="32"/>
      <c r="J118" s="23"/>
      <c r="K118" s="23"/>
    </row>
    <row r="119" s="21" customFormat="1" customHeight="1" spans="1:11">
      <c r="A119" s="22"/>
      <c r="B119" s="23"/>
      <c r="C119" s="24"/>
      <c r="D119" s="23"/>
      <c r="E119" s="23"/>
      <c r="F119" s="23"/>
      <c r="G119" s="25"/>
      <c r="H119" s="25"/>
      <c r="I119" s="32"/>
      <c r="J119" s="23"/>
      <c r="K119" s="23"/>
    </row>
    <row r="120" s="21" customFormat="1" customHeight="1" spans="1:11">
      <c r="A120" s="22"/>
      <c r="B120" s="23"/>
      <c r="C120" s="24"/>
      <c r="D120" s="23"/>
      <c r="E120" s="23"/>
      <c r="F120" s="23"/>
      <c r="G120" s="25"/>
      <c r="H120" s="25"/>
      <c r="I120" s="32"/>
      <c r="J120" s="23"/>
      <c r="K120" s="23"/>
    </row>
    <row r="121" s="21" customFormat="1" customHeight="1" spans="1:11">
      <c r="A121" s="22"/>
      <c r="B121" s="23"/>
      <c r="C121" s="24"/>
      <c r="D121" s="23"/>
      <c r="E121" s="23"/>
      <c r="F121" s="23"/>
      <c r="G121" s="25"/>
      <c r="H121" s="25"/>
      <c r="I121" s="32"/>
      <c r="J121" s="23"/>
      <c r="K121" s="23"/>
    </row>
    <row r="122" s="21" customFormat="1" customHeight="1" spans="1:11">
      <c r="A122" s="22"/>
      <c r="B122" s="23"/>
      <c r="C122" s="24"/>
      <c r="D122" s="23"/>
      <c r="E122" s="23"/>
      <c r="F122" s="23"/>
      <c r="G122" s="25"/>
      <c r="H122" s="25"/>
      <c r="I122" s="32"/>
      <c r="J122" s="23"/>
      <c r="K122" s="23"/>
    </row>
    <row r="123" s="21" customFormat="1" customHeight="1" spans="1:11">
      <c r="A123" s="22"/>
      <c r="B123" s="23"/>
      <c r="C123" s="24"/>
      <c r="D123" s="23"/>
      <c r="E123" s="23"/>
      <c r="F123" s="23"/>
      <c r="G123" s="25"/>
      <c r="H123" s="25"/>
      <c r="I123" s="32"/>
      <c r="J123" s="23"/>
      <c r="K123" s="23"/>
    </row>
    <row r="124" s="21" customFormat="1" customHeight="1" spans="1:11">
      <c r="A124" s="22"/>
      <c r="B124" s="23"/>
      <c r="C124" s="24"/>
      <c r="D124" s="23"/>
      <c r="E124" s="23"/>
      <c r="F124" s="23"/>
      <c r="G124" s="25"/>
      <c r="H124" s="25"/>
      <c r="I124" s="32"/>
      <c r="J124" s="23"/>
      <c r="K124" s="23"/>
    </row>
    <row r="125" s="21" customFormat="1" customHeight="1" spans="1:11">
      <c r="A125" s="22"/>
      <c r="B125" s="23"/>
      <c r="C125" s="24"/>
      <c r="D125" s="23"/>
      <c r="E125" s="23"/>
      <c r="F125" s="23"/>
      <c r="G125" s="25"/>
      <c r="H125" s="25"/>
      <c r="I125" s="32"/>
      <c r="J125" s="23"/>
      <c r="K125" s="23"/>
    </row>
    <row r="126" s="21" customFormat="1" customHeight="1" spans="1:11">
      <c r="A126" s="22"/>
      <c r="B126" s="23"/>
      <c r="C126" s="24"/>
      <c r="D126" s="23"/>
      <c r="E126" s="23"/>
      <c r="F126" s="23"/>
      <c r="G126" s="25"/>
      <c r="H126" s="25"/>
      <c r="I126" s="32"/>
      <c r="J126" s="23"/>
      <c r="K126" s="23"/>
    </row>
    <row r="127" s="21" customFormat="1" customHeight="1" spans="1:11">
      <c r="A127" s="22"/>
      <c r="B127" s="23"/>
      <c r="C127" s="24"/>
      <c r="D127" s="23"/>
      <c r="E127" s="23"/>
      <c r="F127" s="23"/>
      <c r="G127" s="25"/>
      <c r="H127" s="25"/>
      <c r="I127" s="32"/>
      <c r="J127" s="23"/>
      <c r="K127" s="23"/>
    </row>
    <row r="128" s="21" customFormat="1" customHeight="1" spans="1:11">
      <c r="A128" s="22"/>
      <c r="B128" s="23"/>
      <c r="C128" s="24"/>
      <c r="D128" s="23"/>
      <c r="E128" s="23"/>
      <c r="F128" s="23"/>
      <c r="G128" s="25"/>
      <c r="H128" s="25"/>
      <c r="I128" s="32"/>
      <c r="J128" s="23"/>
      <c r="K128" s="23"/>
    </row>
    <row r="129" s="21" customFormat="1" customHeight="1" spans="1:11">
      <c r="A129" s="22"/>
      <c r="B129" s="23"/>
      <c r="C129" s="24"/>
      <c r="D129" s="23"/>
      <c r="E129" s="23"/>
      <c r="F129" s="23"/>
      <c r="G129" s="25"/>
      <c r="H129" s="25"/>
      <c r="I129" s="32"/>
      <c r="J129" s="23"/>
      <c r="K129" s="23"/>
    </row>
    <row r="130" s="21" customFormat="1" customHeight="1" spans="1:11">
      <c r="A130" s="22"/>
      <c r="B130" s="23"/>
      <c r="C130" s="24"/>
      <c r="D130" s="23"/>
      <c r="E130" s="23"/>
      <c r="F130" s="23"/>
      <c r="G130" s="25"/>
      <c r="H130" s="25"/>
      <c r="I130" s="32"/>
      <c r="J130" s="23"/>
      <c r="K130" s="23"/>
    </row>
    <row r="131" s="21" customFormat="1" customHeight="1" spans="1:11">
      <c r="A131" s="22"/>
      <c r="B131" s="23"/>
      <c r="C131" s="24"/>
      <c r="D131" s="23"/>
      <c r="E131" s="23"/>
      <c r="F131" s="23"/>
      <c r="G131" s="25"/>
      <c r="H131" s="25"/>
      <c r="I131" s="32"/>
      <c r="J131" s="23"/>
      <c r="K131" s="23"/>
    </row>
    <row r="132" s="21" customFormat="1" customHeight="1" spans="1:11">
      <c r="A132" s="22"/>
      <c r="B132" s="23"/>
      <c r="C132" s="24"/>
      <c r="D132" s="23"/>
      <c r="E132" s="23"/>
      <c r="F132" s="23"/>
      <c r="G132" s="25"/>
      <c r="H132" s="25"/>
      <c r="I132" s="32"/>
      <c r="J132" s="23"/>
      <c r="K132" s="23"/>
    </row>
    <row r="133" s="21" customFormat="1" customHeight="1" spans="1:11">
      <c r="A133" s="22"/>
      <c r="B133" s="23"/>
      <c r="C133" s="24"/>
      <c r="D133" s="23"/>
      <c r="E133" s="23"/>
      <c r="F133" s="23"/>
      <c r="G133" s="25"/>
      <c r="H133" s="25"/>
      <c r="I133" s="32"/>
      <c r="J133" s="23"/>
      <c r="K133" s="23"/>
    </row>
    <row r="134" s="21" customFormat="1" customHeight="1" spans="1:11">
      <c r="A134" s="22"/>
      <c r="B134" s="23"/>
      <c r="C134" s="24"/>
      <c r="D134" s="23"/>
      <c r="E134" s="23"/>
      <c r="F134" s="23"/>
      <c r="G134" s="25"/>
      <c r="H134" s="25"/>
      <c r="I134" s="32"/>
      <c r="J134" s="23"/>
      <c r="K134" s="23"/>
    </row>
    <row r="135" s="21" customFormat="1" customHeight="1" spans="1:11">
      <c r="A135" s="22"/>
      <c r="B135" s="23"/>
      <c r="C135" s="24"/>
      <c r="D135" s="23"/>
      <c r="E135" s="23"/>
      <c r="F135" s="23"/>
      <c r="G135" s="25"/>
      <c r="H135" s="25"/>
      <c r="I135" s="32"/>
      <c r="J135" s="23"/>
      <c r="K135" s="23"/>
    </row>
    <row r="136" s="21" customFormat="1" customHeight="1" spans="1:11">
      <c r="A136" s="22"/>
      <c r="B136" s="23"/>
      <c r="C136" s="24"/>
      <c r="D136" s="23"/>
      <c r="E136" s="23"/>
      <c r="F136" s="23"/>
      <c r="G136" s="25"/>
      <c r="H136" s="25"/>
      <c r="I136" s="32"/>
      <c r="J136" s="23"/>
      <c r="K136" s="23"/>
    </row>
    <row r="137" s="21" customFormat="1" customHeight="1" spans="1:11">
      <c r="A137" s="22"/>
      <c r="B137" s="23"/>
      <c r="C137" s="24"/>
      <c r="D137" s="23"/>
      <c r="E137" s="23"/>
      <c r="F137" s="23"/>
      <c r="G137" s="25"/>
      <c r="H137" s="25"/>
      <c r="I137" s="32"/>
      <c r="J137" s="23"/>
      <c r="K137" s="23"/>
    </row>
    <row r="138" s="21" customFormat="1" customHeight="1" spans="1:11">
      <c r="A138" s="22"/>
      <c r="B138" s="23"/>
      <c r="C138" s="24"/>
      <c r="D138" s="23"/>
      <c r="E138" s="23"/>
      <c r="F138" s="23"/>
      <c r="G138" s="25"/>
      <c r="H138" s="25"/>
      <c r="I138" s="32"/>
      <c r="J138" s="23"/>
      <c r="K138" s="23"/>
    </row>
    <row r="139" s="21" customFormat="1" customHeight="1" spans="1:11">
      <c r="A139" s="22"/>
      <c r="B139" s="23"/>
      <c r="C139" s="24"/>
      <c r="D139" s="23"/>
      <c r="E139" s="23"/>
      <c r="F139" s="23"/>
      <c r="G139" s="25"/>
      <c r="H139" s="25"/>
      <c r="I139" s="32"/>
      <c r="J139" s="23"/>
      <c r="K139" s="23"/>
    </row>
    <row r="140" s="21" customFormat="1" customHeight="1" spans="1:11">
      <c r="A140" s="22"/>
      <c r="B140" s="23"/>
      <c r="C140" s="24"/>
      <c r="D140" s="23"/>
      <c r="E140" s="23"/>
      <c r="F140" s="23"/>
      <c r="G140" s="25"/>
      <c r="H140" s="25"/>
      <c r="I140" s="32"/>
      <c r="J140" s="23"/>
      <c r="K140" s="23"/>
    </row>
    <row r="141" s="21" customFormat="1" customHeight="1" spans="1:11">
      <c r="A141" s="22"/>
      <c r="B141" s="23"/>
      <c r="C141" s="24"/>
      <c r="D141" s="23"/>
      <c r="E141" s="23"/>
      <c r="F141" s="23"/>
      <c r="G141" s="25"/>
      <c r="H141" s="25"/>
      <c r="I141" s="32"/>
      <c r="J141" s="23"/>
      <c r="K141" s="23"/>
    </row>
    <row r="142" s="21" customFormat="1" customHeight="1" spans="1:11">
      <c r="A142" s="22"/>
      <c r="B142" s="23"/>
      <c r="C142" s="24"/>
      <c r="D142" s="23"/>
      <c r="E142" s="23"/>
      <c r="F142" s="23"/>
      <c r="G142" s="25"/>
      <c r="H142" s="25"/>
      <c r="I142" s="32"/>
      <c r="J142" s="23"/>
      <c r="K142" s="23"/>
    </row>
    <row r="143" s="21" customFormat="1" customHeight="1" spans="1:11">
      <c r="A143" s="22"/>
      <c r="B143" s="23"/>
      <c r="C143" s="24"/>
      <c r="D143" s="23"/>
      <c r="E143" s="23"/>
      <c r="F143" s="23"/>
      <c r="G143" s="25"/>
      <c r="H143" s="25"/>
      <c r="I143" s="32"/>
      <c r="J143" s="23"/>
      <c r="K143" s="23"/>
    </row>
    <row r="144" s="21" customFormat="1" customHeight="1" spans="1:11">
      <c r="A144" s="22"/>
      <c r="B144" s="23"/>
      <c r="C144" s="24"/>
      <c r="D144" s="23"/>
      <c r="E144" s="23"/>
      <c r="F144" s="23"/>
      <c r="G144" s="25"/>
      <c r="H144" s="25"/>
      <c r="I144" s="32"/>
      <c r="J144" s="23"/>
      <c r="K144" s="23"/>
    </row>
    <row r="145" s="21" customFormat="1" customHeight="1" spans="1:11">
      <c r="A145" s="22"/>
      <c r="B145" s="23"/>
      <c r="C145" s="24"/>
      <c r="D145" s="23"/>
      <c r="E145" s="23"/>
      <c r="F145" s="23"/>
      <c r="G145" s="25"/>
      <c r="H145" s="25"/>
      <c r="I145" s="32"/>
      <c r="J145" s="23"/>
      <c r="K145" s="23"/>
    </row>
    <row r="146" s="21" customFormat="1" customHeight="1" spans="1:11">
      <c r="A146" s="22"/>
      <c r="B146" s="23"/>
      <c r="C146" s="24"/>
      <c r="D146" s="23"/>
      <c r="E146" s="23"/>
      <c r="F146" s="23"/>
      <c r="G146" s="25"/>
      <c r="H146" s="25"/>
      <c r="I146" s="32"/>
      <c r="J146" s="23"/>
      <c r="K146" s="23"/>
    </row>
    <row r="147" s="21" customFormat="1" customHeight="1" spans="1:11">
      <c r="A147" s="22"/>
      <c r="B147" s="23"/>
      <c r="C147" s="24"/>
      <c r="D147" s="23"/>
      <c r="E147" s="23"/>
      <c r="F147" s="23"/>
      <c r="G147" s="25"/>
      <c r="H147" s="25"/>
      <c r="I147" s="32"/>
      <c r="J147" s="23"/>
      <c r="K147" s="23"/>
    </row>
    <row r="148" s="21" customFormat="1" customHeight="1" spans="1:11">
      <c r="A148" s="22"/>
      <c r="B148" s="23"/>
      <c r="C148" s="24"/>
      <c r="D148" s="23"/>
      <c r="E148" s="23"/>
      <c r="F148" s="23"/>
      <c r="G148" s="25"/>
      <c r="H148" s="25"/>
      <c r="I148" s="32"/>
      <c r="J148" s="23"/>
      <c r="K148" s="23"/>
    </row>
    <row r="149" s="21" customFormat="1" customHeight="1" spans="1:11">
      <c r="A149" s="22"/>
      <c r="B149" s="23"/>
      <c r="C149" s="24"/>
      <c r="D149" s="23"/>
      <c r="E149" s="23"/>
      <c r="F149" s="23"/>
      <c r="G149" s="25"/>
      <c r="H149" s="25"/>
      <c r="I149" s="32"/>
      <c r="J149" s="23"/>
      <c r="K149" s="23"/>
    </row>
    <row r="150" s="21" customFormat="1" customHeight="1" spans="1:11">
      <c r="A150" s="22"/>
      <c r="B150" s="23"/>
      <c r="C150" s="24"/>
      <c r="D150" s="23"/>
      <c r="E150" s="23"/>
      <c r="F150" s="23"/>
      <c r="G150" s="25"/>
      <c r="H150" s="25"/>
      <c r="I150" s="32"/>
      <c r="J150" s="23"/>
      <c r="K150" s="23"/>
    </row>
    <row r="151" s="21" customFormat="1" customHeight="1" spans="1:11">
      <c r="A151" s="22"/>
      <c r="B151" s="23"/>
      <c r="C151" s="24"/>
      <c r="D151" s="23"/>
      <c r="E151" s="23"/>
      <c r="F151" s="23"/>
      <c r="G151" s="25"/>
      <c r="H151" s="25"/>
      <c r="I151" s="32"/>
      <c r="J151" s="23"/>
      <c r="K151" s="23"/>
    </row>
    <row r="152" s="21" customFormat="1" customHeight="1" spans="1:11">
      <c r="A152" s="22"/>
      <c r="B152" s="23"/>
      <c r="C152" s="24"/>
      <c r="D152" s="23"/>
      <c r="E152" s="23"/>
      <c r="F152" s="23"/>
      <c r="G152" s="25"/>
      <c r="H152" s="25"/>
      <c r="I152" s="32"/>
      <c r="J152" s="23"/>
      <c r="K152" s="23"/>
    </row>
    <row r="153" s="21" customFormat="1" customHeight="1" spans="1:11">
      <c r="A153" s="22"/>
      <c r="B153" s="23"/>
      <c r="C153" s="24"/>
      <c r="D153" s="23"/>
      <c r="E153" s="23"/>
      <c r="F153" s="23"/>
      <c r="G153" s="25"/>
      <c r="H153" s="25"/>
      <c r="I153" s="32"/>
      <c r="J153" s="23"/>
      <c r="K153" s="23"/>
    </row>
    <row r="154" s="21" customFormat="1" customHeight="1" spans="1:11">
      <c r="A154" s="22"/>
      <c r="B154" s="23"/>
      <c r="C154" s="24"/>
      <c r="D154" s="23"/>
      <c r="E154" s="23"/>
      <c r="F154" s="23"/>
      <c r="G154" s="25"/>
      <c r="H154" s="25"/>
      <c r="I154" s="32"/>
      <c r="J154" s="23"/>
      <c r="K154" s="23"/>
    </row>
    <row r="155" s="21" customFormat="1" customHeight="1" spans="1:11">
      <c r="A155" s="22"/>
      <c r="B155" s="23"/>
      <c r="C155" s="24"/>
      <c r="D155" s="23"/>
      <c r="E155" s="23"/>
      <c r="F155" s="23"/>
      <c r="G155" s="25"/>
      <c r="H155" s="25"/>
      <c r="I155" s="32"/>
      <c r="J155" s="23"/>
      <c r="K155" s="23"/>
    </row>
    <row r="156" s="21" customFormat="1" customHeight="1" spans="1:11">
      <c r="A156" s="22"/>
      <c r="B156" s="23"/>
      <c r="C156" s="24"/>
      <c r="D156" s="23"/>
      <c r="E156" s="23"/>
      <c r="F156" s="23"/>
      <c r="G156" s="25"/>
      <c r="H156" s="25"/>
      <c r="I156" s="32"/>
      <c r="J156" s="23"/>
      <c r="K156" s="23"/>
    </row>
    <row r="157" s="21" customFormat="1" customHeight="1" spans="1:11">
      <c r="A157" s="22"/>
      <c r="B157" s="23"/>
      <c r="C157" s="24"/>
      <c r="D157" s="23"/>
      <c r="E157" s="23"/>
      <c r="F157" s="23"/>
      <c r="G157" s="25"/>
      <c r="H157" s="25"/>
      <c r="I157" s="32"/>
      <c r="J157" s="23"/>
      <c r="K157" s="23"/>
    </row>
    <row r="158" s="21" customFormat="1" customHeight="1" spans="1:11">
      <c r="A158" s="22"/>
      <c r="B158" s="23"/>
      <c r="C158" s="24"/>
      <c r="D158" s="23"/>
      <c r="E158" s="23"/>
      <c r="F158" s="23"/>
      <c r="G158" s="25"/>
      <c r="H158" s="25"/>
      <c r="I158" s="32"/>
      <c r="J158" s="23"/>
      <c r="K158" s="23"/>
    </row>
    <row r="159" s="21" customFormat="1" customHeight="1" spans="1:11">
      <c r="A159" s="22"/>
      <c r="B159" s="23"/>
      <c r="C159" s="24"/>
      <c r="D159" s="23"/>
      <c r="E159" s="23"/>
      <c r="F159" s="23"/>
      <c r="G159" s="25"/>
      <c r="H159" s="25"/>
      <c r="I159" s="32"/>
      <c r="J159" s="23"/>
      <c r="K159" s="23"/>
    </row>
    <row r="160" s="21" customFormat="1" customHeight="1" spans="1:11">
      <c r="A160" s="22"/>
      <c r="B160" s="23"/>
      <c r="C160" s="24"/>
      <c r="D160" s="23"/>
      <c r="E160" s="23"/>
      <c r="F160" s="23"/>
      <c r="G160" s="25"/>
      <c r="H160" s="25"/>
      <c r="I160" s="32"/>
      <c r="J160" s="23"/>
      <c r="K160" s="23"/>
    </row>
    <row r="161" s="21" customFormat="1" customHeight="1" spans="1:11">
      <c r="A161" s="22"/>
      <c r="B161" s="23"/>
      <c r="C161" s="24"/>
      <c r="D161" s="23"/>
      <c r="E161" s="23"/>
      <c r="F161" s="23"/>
      <c r="G161" s="25"/>
      <c r="H161" s="25"/>
      <c r="I161" s="32"/>
      <c r="J161" s="23"/>
      <c r="K161" s="23"/>
    </row>
    <row r="162" s="21" customFormat="1" customHeight="1" spans="1:11">
      <c r="A162" s="22"/>
      <c r="B162" s="23"/>
      <c r="C162" s="24"/>
      <c r="D162" s="23"/>
      <c r="E162" s="23"/>
      <c r="F162" s="23"/>
      <c r="G162" s="25"/>
      <c r="H162" s="25"/>
      <c r="I162" s="32"/>
      <c r="J162" s="23"/>
      <c r="K162" s="23"/>
    </row>
    <row r="163" s="21" customFormat="1" customHeight="1" spans="1:11">
      <c r="A163" s="22"/>
      <c r="B163" s="23"/>
      <c r="C163" s="24"/>
      <c r="D163" s="23"/>
      <c r="E163" s="23"/>
      <c r="F163" s="23"/>
      <c r="G163" s="25"/>
      <c r="H163" s="25"/>
      <c r="I163" s="32"/>
      <c r="J163" s="23"/>
      <c r="K163" s="23"/>
    </row>
    <row r="164" s="21" customFormat="1" customHeight="1" spans="1:11">
      <c r="A164" s="22"/>
      <c r="B164" s="23"/>
      <c r="C164" s="24"/>
      <c r="D164" s="23"/>
      <c r="E164" s="23"/>
      <c r="F164" s="23"/>
      <c r="G164" s="25"/>
      <c r="H164" s="25"/>
      <c r="I164" s="32"/>
      <c r="J164" s="23"/>
      <c r="K164" s="23"/>
    </row>
    <row r="165" s="21" customFormat="1" customHeight="1" spans="1:11">
      <c r="A165" s="22"/>
      <c r="B165" s="23"/>
      <c r="C165" s="24"/>
      <c r="D165" s="23"/>
      <c r="E165" s="23"/>
      <c r="F165" s="23"/>
      <c r="G165" s="25"/>
      <c r="H165" s="25"/>
      <c r="I165" s="32"/>
      <c r="J165" s="23"/>
      <c r="K165" s="23"/>
    </row>
    <row r="166" s="21" customFormat="1" customHeight="1" spans="1:11">
      <c r="A166" s="22"/>
      <c r="B166" s="23"/>
      <c r="C166" s="24"/>
      <c r="D166" s="23"/>
      <c r="E166" s="23"/>
      <c r="F166" s="23"/>
      <c r="G166" s="25"/>
      <c r="H166" s="25"/>
      <c r="I166" s="32"/>
      <c r="J166" s="23"/>
      <c r="K166" s="23"/>
    </row>
    <row r="167" s="21" customFormat="1" customHeight="1" spans="1:11">
      <c r="A167" s="22"/>
      <c r="B167" s="23"/>
      <c r="C167" s="24"/>
      <c r="D167" s="23"/>
      <c r="E167" s="23"/>
      <c r="F167" s="23"/>
      <c r="G167" s="25"/>
      <c r="H167" s="25"/>
      <c r="I167" s="32"/>
      <c r="J167" s="23"/>
      <c r="K167" s="23"/>
    </row>
    <row r="168" s="21" customFormat="1" customHeight="1" spans="1:11">
      <c r="A168" s="22"/>
      <c r="B168" s="23"/>
      <c r="C168" s="24"/>
      <c r="D168" s="23"/>
      <c r="E168" s="23"/>
      <c r="F168" s="23"/>
      <c r="G168" s="25"/>
      <c r="H168" s="25"/>
      <c r="I168" s="32"/>
      <c r="J168" s="23"/>
      <c r="K168" s="23"/>
    </row>
    <row r="169" s="21" customFormat="1" customHeight="1" spans="1:11">
      <c r="A169" s="22"/>
      <c r="B169" s="23"/>
      <c r="C169" s="24"/>
      <c r="D169" s="23"/>
      <c r="E169" s="23"/>
      <c r="F169" s="23"/>
      <c r="G169" s="25"/>
      <c r="H169" s="25"/>
      <c r="I169" s="32"/>
      <c r="J169" s="23"/>
      <c r="K169" s="23"/>
    </row>
    <row r="170" s="21" customFormat="1" customHeight="1" spans="1:11">
      <c r="A170" s="22"/>
      <c r="B170" s="23"/>
      <c r="C170" s="24"/>
      <c r="D170" s="23"/>
      <c r="E170" s="23"/>
      <c r="F170" s="23"/>
      <c r="G170" s="25"/>
      <c r="H170" s="25"/>
      <c r="I170" s="32"/>
      <c r="J170" s="23"/>
      <c r="K170" s="23"/>
    </row>
    <row r="171" s="21" customFormat="1" customHeight="1" spans="1:11">
      <c r="A171" s="22"/>
      <c r="B171" s="23"/>
      <c r="C171" s="24"/>
      <c r="D171" s="23"/>
      <c r="E171" s="23"/>
      <c r="F171" s="23"/>
      <c r="G171" s="25"/>
      <c r="H171" s="25"/>
      <c r="I171" s="32"/>
      <c r="J171" s="23"/>
      <c r="K171" s="23"/>
    </row>
    <row r="172" s="21" customFormat="1" customHeight="1" spans="1:11">
      <c r="A172" s="22"/>
      <c r="B172" s="23"/>
      <c r="C172" s="24"/>
      <c r="D172" s="23"/>
      <c r="E172" s="23"/>
      <c r="F172" s="23"/>
      <c r="G172" s="25"/>
      <c r="H172" s="25"/>
      <c r="I172" s="32"/>
      <c r="J172" s="23"/>
      <c r="K172" s="23"/>
    </row>
    <row r="173" s="21" customFormat="1" customHeight="1" spans="1:11">
      <c r="A173" s="22"/>
      <c r="B173" s="23"/>
      <c r="C173" s="24"/>
      <c r="D173" s="23"/>
      <c r="E173" s="23"/>
      <c r="F173" s="23"/>
      <c r="G173" s="25"/>
      <c r="H173" s="25"/>
      <c r="I173" s="32"/>
      <c r="J173" s="23"/>
      <c r="K173" s="23"/>
    </row>
    <row r="174" s="21" customFormat="1" customHeight="1" spans="1:11">
      <c r="A174" s="22"/>
      <c r="B174" s="23"/>
      <c r="C174" s="24"/>
      <c r="D174" s="23"/>
      <c r="E174" s="23"/>
      <c r="F174" s="23"/>
      <c r="G174" s="25"/>
      <c r="H174" s="25"/>
      <c r="I174" s="32"/>
      <c r="J174" s="23"/>
      <c r="K174" s="23"/>
    </row>
    <row r="175" s="21" customFormat="1" customHeight="1" spans="1:11">
      <c r="A175" s="22"/>
      <c r="B175" s="23"/>
      <c r="C175" s="24"/>
      <c r="D175" s="23"/>
      <c r="E175" s="23"/>
      <c r="F175" s="23"/>
      <c r="G175" s="25"/>
      <c r="H175" s="25"/>
      <c r="I175" s="32"/>
      <c r="J175" s="23"/>
      <c r="K175" s="23"/>
    </row>
    <row r="176" s="21" customFormat="1" customHeight="1" spans="1:11">
      <c r="A176" s="22"/>
      <c r="B176" s="23"/>
      <c r="C176" s="24"/>
      <c r="D176" s="23"/>
      <c r="E176" s="23"/>
      <c r="F176" s="23"/>
      <c r="G176" s="25"/>
      <c r="H176" s="25"/>
      <c r="I176" s="32"/>
      <c r="J176" s="23"/>
      <c r="K176" s="23"/>
    </row>
    <row r="177" s="21" customFormat="1" customHeight="1" spans="1:11">
      <c r="A177" s="22"/>
      <c r="B177" s="23"/>
      <c r="C177" s="24"/>
      <c r="D177" s="23"/>
      <c r="E177" s="23"/>
      <c r="F177" s="23"/>
      <c r="G177" s="25"/>
      <c r="H177" s="25"/>
      <c r="I177" s="32"/>
      <c r="J177" s="23"/>
      <c r="K177" s="23"/>
    </row>
    <row r="178" s="21" customFormat="1" customHeight="1" spans="1:11">
      <c r="A178" s="22"/>
      <c r="B178" s="23"/>
      <c r="C178" s="24"/>
      <c r="D178" s="23"/>
      <c r="E178" s="23"/>
      <c r="F178" s="23"/>
      <c r="G178" s="25"/>
      <c r="H178" s="25"/>
      <c r="I178" s="32"/>
      <c r="J178" s="23"/>
      <c r="K178" s="23"/>
    </row>
    <row r="179" s="21" customFormat="1" customHeight="1" spans="1:11">
      <c r="A179" s="22"/>
      <c r="B179" s="23"/>
      <c r="C179" s="24"/>
      <c r="D179" s="23"/>
      <c r="E179" s="23"/>
      <c r="F179" s="23"/>
      <c r="G179" s="25"/>
      <c r="H179" s="25"/>
      <c r="I179" s="32"/>
      <c r="J179" s="23"/>
      <c r="K179" s="23"/>
    </row>
    <row r="180" s="21" customFormat="1" customHeight="1" spans="1:11">
      <c r="A180" s="22"/>
      <c r="B180" s="23"/>
      <c r="C180" s="24"/>
      <c r="D180" s="23"/>
      <c r="E180" s="23"/>
      <c r="F180" s="23"/>
      <c r="G180" s="25"/>
      <c r="H180" s="25"/>
      <c r="I180" s="32"/>
      <c r="J180" s="23"/>
      <c r="K180" s="23"/>
    </row>
    <row r="181" s="21" customFormat="1" customHeight="1" spans="1:11">
      <c r="A181" s="22"/>
      <c r="B181" s="23"/>
      <c r="C181" s="24"/>
      <c r="D181" s="23"/>
      <c r="E181" s="23"/>
      <c r="F181" s="23"/>
      <c r="G181" s="25"/>
      <c r="H181" s="25"/>
      <c r="I181" s="32"/>
      <c r="J181" s="23"/>
      <c r="K181" s="23"/>
    </row>
    <row r="182" s="21" customFormat="1" customHeight="1" spans="1:11">
      <c r="A182" s="22"/>
      <c r="B182" s="23"/>
      <c r="C182" s="24"/>
      <c r="D182" s="23"/>
      <c r="E182" s="23"/>
      <c r="F182" s="23"/>
      <c r="G182" s="25"/>
      <c r="H182" s="25"/>
      <c r="I182" s="32"/>
      <c r="J182" s="23"/>
      <c r="K182" s="23"/>
    </row>
    <row r="183" s="21" customFormat="1" customHeight="1" spans="1:11">
      <c r="A183" s="22"/>
      <c r="B183" s="23"/>
      <c r="C183" s="24"/>
      <c r="D183" s="23"/>
      <c r="E183" s="23"/>
      <c r="F183" s="23"/>
      <c r="G183" s="25"/>
      <c r="H183" s="25"/>
      <c r="I183" s="32"/>
      <c r="J183" s="23"/>
      <c r="K183" s="23"/>
    </row>
    <row r="184" s="21" customFormat="1" customHeight="1" spans="1:11">
      <c r="A184" s="22"/>
      <c r="B184" s="23"/>
      <c r="C184" s="24"/>
      <c r="D184" s="23"/>
      <c r="E184" s="23"/>
      <c r="F184" s="23"/>
      <c r="G184" s="25"/>
      <c r="H184" s="25"/>
      <c r="I184" s="32"/>
      <c r="J184" s="23"/>
      <c r="K184" s="23"/>
    </row>
    <row r="185" s="21" customFormat="1" customHeight="1" spans="1:11">
      <c r="A185" s="22"/>
      <c r="B185" s="23"/>
      <c r="C185" s="24"/>
      <c r="D185" s="23"/>
      <c r="E185" s="23"/>
      <c r="F185" s="23"/>
      <c r="G185" s="25"/>
      <c r="H185" s="25"/>
      <c r="I185" s="32"/>
      <c r="J185" s="23"/>
      <c r="K185" s="23"/>
    </row>
    <row r="186" s="21" customFormat="1" customHeight="1" spans="1:11">
      <c r="A186" s="22"/>
      <c r="B186" s="23"/>
      <c r="C186" s="24"/>
      <c r="D186" s="23"/>
      <c r="E186" s="23"/>
      <c r="F186" s="23"/>
      <c r="G186" s="25"/>
      <c r="H186" s="25"/>
      <c r="I186" s="32"/>
      <c r="J186" s="23"/>
      <c r="K186" s="23"/>
    </row>
    <row r="187" s="21" customFormat="1" customHeight="1" spans="1:11">
      <c r="A187" s="22"/>
      <c r="B187" s="23"/>
      <c r="C187" s="24"/>
      <c r="D187" s="23"/>
      <c r="E187" s="23"/>
      <c r="F187" s="23"/>
      <c r="G187" s="25"/>
      <c r="H187" s="25"/>
      <c r="I187" s="32"/>
      <c r="J187" s="23"/>
      <c r="K187" s="23"/>
    </row>
    <row r="188" s="21" customFormat="1" customHeight="1" spans="1:11">
      <c r="A188" s="22"/>
      <c r="B188" s="23"/>
      <c r="C188" s="24"/>
      <c r="D188" s="23"/>
      <c r="E188" s="23"/>
      <c r="F188" s="23"/>
      <c r="G188" s="25"/>
      <c r="H188" s="25"/>
      <c r="I188" s="32"/>
      <c r="J188" s="23"/>
      <c r="K188" s="23"/>
    </row>
    <row r="189" s="21" customFormat="1" customHeight="1" spans="1:11">
      <c r="A189" s="22"/>
      <c r="B189" s="23"/>
      <c r="C189" s="24"/>
      <c r="D189" s="23"/>
      <c r="E189" s="23"/>
      <c r="F189" s="23"/>
      <c r="G189" s="25"/>
      <c r="H189" s="25"/>
      <c r="I189" s="32"/>
      <c r="J189" s="23"/>
      <c r="K189" s="23"/>
    </row>
    <row r="190" s="21" customFormat="1" customHeight="1" spans="1:11">
      <c r="A190" s="22"/>
      <c r="B190" s="23"/>
      <c r="C190" s="24"/>
      <c r="D190" s="23"/>
      <c r="E190" s="23"/>
      <c r="F190" s="23"/>
      <c r="G190" s="25"/>
      <c r="H190" s="25"/>
      <c r="I190" s="32"/>
      <c r="J190" s="23"/>
      <c r="K190" s="23"/>
    </row>
    <row r="191" s="21" customFormat="1" customHeight="1" spans="1:11">
      <c r="A191" s="22"/>
      <c r="B191" s="23"/>
      <c r="C191" s="24"/>
      <c r="D191" s="23"/>
      <c r="E191" s="23"/>
      <c r="F191" s="23"/>
      <c r="G191" s="25"/>
      <c r="H191" s="25"/>
      <c r="I191" s="32"/>
      <c r="J191" s="23"/>
      <c r="K191" s="23"/>
    </row>
    <row r="192" s="21" customFormat="1" customHeight="1" spans="1:11">
      <c r="A192" s="22"/>
      <c r="B192" s="23"/>
      <c r="C192" s="24"/>
      <c r="D192" s="23"/>
      <c r="E192" s="23"/>
      <c r="F192" s="23"/>
      <c r="G192" s="25"/>
      <c r="H192" s="25"/>
      <c r="I192" s="32"/>
      <c r="J192" s="23"/>
      <c r="K192" s="23"/>
    </row>
    <row r="193" s="21" customFormat="1" customHeight="1" spans="1:11">
      <c r="A193" s="22"/>
      <c r="B193" s="23"/>
      <c r="C193" s="24"/>
      <c r="D193" s="23"/>
      <c r="E193" s="23"/>
      <c r="F193" s="23"/>
      <c r="G193" s="25"/>
      <c r="H193" s="25"/>
      <c r="I193" s="32"/>
      <c r="J193" s="23"/>
      <c r="K193" s="23"/>
    </row>
    <row r="194" s="21" customFormat="1" customHeight="1" spans="1:11">
      <c r="A194" s="22"/>
      <c r="B194" s="23"/>
      <c r="C194" s="24"/>
      <c r="D194" s="23"/>
      <c r="E194" s="23"/>
      <c r="F194" s="23"/>
      <c r="G194" s="25"/>
      <c r="H194" s="25"/>
      <c r="I194" s="32"/>
      <c r="J194" s="23"/>
      <c r="K194" s="23"/>
    </row>
    <row r="195" s="21" customFormat="1" customHeight="1" spans="1:11">
      <c r="A195" s="22"/>
      <c r="B195" s="23"/>
      <c r="C195" s="24"/>
      <c r="D195" s="23"/>
      <c r="E195" s="23"/>
      <c r="F195" s="23"/>
      <c r="G195" s="25"/>
      <c r="H195" s="25"/>
      <c r="I195" s="32"/>
      <c r="J195" s="23"/>
      <c r="K195" s="23"/>
    </row>
    <row r="196" s="21" customFormat="1" customHeight="1" spans="1:11">
      <c r="A196" s="22"/>
      <c r="B196" s="23"/>
      <c r="C196" s="24"/>
      <c r="D196" s="23"/>
      <c r="E196" s="23"/>
      <c r="F196" s="23"/>
      <c r="G196" s="25"/>
      <c r="H196" s="25"/>
      <c r="I196" s="32"/>
      <c r="J196" s="23"/>
      <c r="K196" s="23"/>
    </row>
  </sheetData>
  <sheetCalcPr fullCalcOnLoad="1"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0"/>
  <sheetViews>
    <sheetView topLeftCell="C1" workbookViewId="0">
      <pane ySplit="1" topLeftCell="A4" activePane="bottomLeft" state="frozen"/>
      <selection/>
      <selection pane="bottomLeft" activeCell="C4" sqref="C4"/>
    </sheetView>
  </sheetViews>
  <sheetFormatPr defaultColWidth="9" defaultRowHeight="14.25" customHeight="1"/>
  <cols>
    <col min="1" max="1" width="9" style="31"/>
    <col min="2" max="2" width="15.625" style="32" customWidth="1"/>
    <col min="3" max="3" width="15.625" style="33" customWidth="1"/>
    <col min="4" max="4" width="12.625" style="32" customWidth="1"/>
    <col min="5" max="6" width="14.125" style="32"/>
    <col min="7" max="7" width="9" style="32"/>
    <col min="8" max="8" width="14.125" style="34"/>
    <col min="9" max="9" width="11" style="34" customWidth="1"/>
    <col min="10" max="10" width="9.875" style="32" customWidth="1"/>
    <col min="11" max="12" width="9" style="32"/>
    <col min="13" max="14" width="9" style="30"/>
    <col min="15" max="15" width="14.125" style="30"/>
    <col min="16" max="16384" width="9" style="30"/>
  </cols>
  <sheetData>
    <row r="1" s="30" customFormat="1" ht="40.5" spans="1:17">
      <c r="A1" s="35" t="s">
        <v>0</v>
      </c>
      <c r="B1" s="35" t="s">
        <v>1</v>
      </c>
      <c r="C1" s="2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</row>
    <row r="2" s="30" customFormat="1" ht="20" customHeight="1" spans="1:17">
      <c r="A2" s="36">
        <v>46082</v>
      </c>
      <c r="B2" s="37">
        <v>9.5</v>
      </c>
      <c r="C2" s="38">
        <f ca="1">O2/B2</f>
        <v>1.02105263157895</v>
      </c>
      <c r="D2" s="39" t="s">
        <v>179</v>
      </c>
      <c r="E2" s="39" t="s">
        <v>180</v>
      </c>
      <c r="F2" s="37">
        <v>34.93</v>
      </c>
      <c r="G2" s="5" t="s">
        <v>181</v>
      </c>
      <c r="H2" s="37">
        <f ca="1" t="array" ref="H2">INDEX(成本核算表!J:J,MATCH(1,(成本核算表!D:D=E2)*(成本核算表!C:C=G2),0))</f>
        <v>18</v>
      </c>
      <c r="I2" s="37">
        <f>3880/2</f>
        <v>1940</v>
      </c>
      <c r="J2" s="37">
        <f ca="1" t="shared" ref="J2:J65" si="0">H2*I2</f>
        <v>34920</v>
      </c>
      <c r="K2" s="37"/>
      <c r="L2" s="37"/>
      <c r="M2" s="37"/>
      <c r="N2" s="37">
        <f ca="1" t="shared" ref="N2:N65" si="1">J2-M2+L2</f>
        <v>34920</v>
      </c>
      <c r="O2" s="37">
        <f ca="1" t="shared" ref="O2:O65" si="2">N2/3600</f>
        <v>9.7</v>
      </c>
      <c r="P2" s="37"/>
      <c r="Q2" s="37"/>
    </row>
    <row r="3" s="30" customFormat="1" ht="20" customHeight="1" spans="1:17">
      <c r="A3" s="36">
        <v>46083</v>
      </c>
      <c r="B3" s="37">
        <v>11</v>
      </c>
      <c r="C3" s="38">
        <f ca="1">O3/B3</f>
        <v>1.08484848484848</v>
      </c>
      <c r="D3" s="5" t="s">
        <v>107</v>
      </c>
      <c r="E3" s="5" t="s">
        <v>108</v>
      </c>
      <c r="F3" s="37">
        <v>260</v>
      </c>
      <c r="G3" s="5" t="s">
        <v>242</v>
      </c>
      <c r="H3" s="37">
        <f ca="1" t="array" ref="H3">INDEX(成本核算表!J:J,MATCH(1,(成本核算表!D:D=E3)*(成本核算表!C:C=G3),0))</f>
        <v>40</v>
      </c>
      <c r="I3" s="37">
        <v>1344</v>
      </c>
      <c r="J3" s="37">
        <f ca="1" t="shared" si="0"/>
        <v>53760</v>
      </c>
      <c r="K3" s="37"/>
      <c r="L3" s="37"/>
      <c r="M3" s="37">
        <v>10800</v>
      </c>
      <c r="N3" s="37">
        <f ca="1" t="shared" si="1"/>
        <v>42960</v>
      </c>
      <c r="O3" s="37">
        <f ca="1" t="shared" si="2"/>
        <v>11.9333333333333</v>
      </c>
      <c r="P3" s="37"/>
      <c r="Q3" s="37"/>
    </row>
    <row r="4" s="30" customFormat="1" ht="20" customHeight="1" spans="1:17">
      <c r="A4" s="36">
        <v>46084</v>
      </c>
      <c r="B4" s="37">
        <v>11</v>
      </c>
      <c r="C4" s="38">
        <f ca="1">SUM(O4:O5)/B4</f>
        <v>0.40479797979798</v>
      </c>
      <c r="D4" s="5" t="s">
        <v>62</v>
      </c>
      <c r="E4" s="5" t="s">
        <v>55</v>
      </c>
      <c r="F4" s="37">
        <v>950</v>
      </c>
      <c r="G4" s="5" t="s">
        <v>126</v>
      </c>
      <c r="H4" s="37">
        <f ca="1" t="array" ref="H4">INDEX(成本核算表!J:J,MATCH(1,(成本核算表!D:D=E4)*(成本核算表!C:C=G4),0))</f>
        <v>20</v>
      </c>
      <c r="I4" s="37">
        <f>1105/2</f>
        <v>552.5</v>
      </c>
      <c r="J4" s="37">
        <f ca="1" t="shared" si="0"/>
        <v>11050</v>
      </c>
      <c r="K4" s="37"/>
      <c r="L4" s="37"/>
      <c r="M4" s="37"/>
      <c r="N4" s="37">
        <f ca="1" t="shared" si="1"/>
        <v>11050</v>
      </c>
      <c r="O4" s="37">
        <f ca="1" t="shared" si="2"/>
        <v>3.06944444444444</v>
      </c>
      <c r="P4" s="37"/>
      <c r="Q4" s="37"/>
    </row>
    <row r="5" s="30" customFormat="1" ht="20" customHeight="1" spans="1:17">
      <c r="A5" s="36">
        <v>46084</v>
      </c>
      <c r="B5" s="37"/>
      <c r="C5" s="38"/>
      <c r="D5" s="5"/>
      <c r="E5" s="5" t="s">
        <v>34</v>
      </c>
      <c r="F5" s="37"/>
      <c r="G5" s="5" t="s">
        <v>126</v>
      </c>
      <c r="H5" s="37">
        <f ca="1" t="array" ref="H5">INDEX(成本核算表!J:J,MATCH(1,(成本核算表!D:D=E5)*(成本核算表!C:C=G5),0))</f>
        <v>120</v>
      </c>
      <c r="I5" s="37">
        <f>83/2</f>
        <v>41.5</v>
      </c>
      <c r="J5" s="37">
        <f ca="1" t="shared" si="0"/>
        <v>4980</v>
      </c>
      <c r="K5" s="37"/>
      <c r="L5" s="37"/>
      <c r="M5" s="37"/>
      <c r="N5" s="37">
        <f ca="1" t="shared" si="1"/>
        <v>4980</v>
      </c>
      <c r="O5" s="37">
        <f ca="1" t="shared" si="2"/>
        <v>1.38333333333333</v>
      </c>
      <c r="P5" s="37"/>
      <c r="Q5" s="37"/>
    </row>
    <row r="6" s="30" customFormat="1" ht="20" customHeight="1" spans="1:17">
      <c r="A6" s="36">
        <v>46085</v>
      </c>
      <c r="B6" s="37">
        <v>11</v>
      </c>
      <c r="C6" s="38">
        <f ca="1">SUM(O6:O8)/B6</f>
        <v>0.538131313131313</v>
      </c>
      <c r="D6" s="5" t="s">
        <v>243</v>
      </c>
      <c r="E6" s="5" t="s">
        <v>55</v>
      </c>
      <c r="F6" s="37">
        <v>1150</v>
      </c>
      <c r="G6" s="5" t="s">
        <v>126</v>
      </c>
      <c r="H6" s="37">
        <f ca="1" t="array" ref="H6">INDEX(成本核算表!J:J,MATCH(1,(成本核算表!D:D=E6)*(成本核算表!C:C=G6),0))</f>
        <v>20</v>
      </c>
      <c r="I6" s="37">
        <v>170</v>
      </c>
      <c r="J6" s="37">
        <f ca="1" t="shared" si="0"/>
        <v>3400</v>
      </c>
      <c r="K6" s="37"/>
      <c r="L6" s="37"/>
      <c r="M6" s="37"/>
      <c r="N6" s="37">
        <f ca="1" t="shared" si="1"/>
        <v>3400</v>
      </c>
      <c r="O6" s="37">
        <f ca="1" t="shared" si="2"/>
        <v>0.944444444444444</v>
      </c>
      <c r="P6" s="37"/>
      <c r="Q6" s="37"/>
    </row>
    <row r="7" s="30" customFormat="1" ht="20" customHeight="1" spans="1:17">
      <c r="A7" s="36">
        <v>46085</v>
      </c>
      <c r="B7" s="37"/>
      <c r="C7" s="38"/>
      <c r="D7" s="37"/>
      <c r="E7" s="5" t="s">
        <v>34</v>
      </c>
      <c r="F7" s="37"/>
      <c r="G7" s="5" t="s">
        <v>126</v>
      </c>
      <c r="H7" s="37">
        <f ca="1" t="array" ref="H7">INDEX(成本核算表!J:J,MATCH(1,(成本核算表!D:D=E7)*(成本核算表!C:C=G7),0))</f>
        <v>120</v>
      </c>
      <c r="I7" s="37">
        <v>83</v>
      </c>
      <c r="J7" s="37">
        <f ca="1" t="shared" si="0"/>
        <v>9960</v>
      </c>
      <c r="K7" s="37"/>
      <c r="L7" s="37"/>
      <c r="M7" s="37"/>
      <c r="N7" s="37">
        <f ca="1" t="shared" si="1"/>
        <v>9960</v>
      </c>
      <c r="O7" s="37">
        <f ca="1" t="shared" si="2"/>
        <v>2.76666666666667</v>
      </c>
      <c r="P7" s="37"/>
      <c r="Q7" s="37"/>
    </row>
    <row r="8" s="30" customFormat="1" ht="20" customHeight="1" spans="1:17">
      <c r="A8" s="36">
        <v>46085</v>
      </c>
      <c r="B8" s="37"/>
      <c r="C8" s="38"/>
      <c r="D8" s="5" t="s">
        <v>107</v>
      </c>
      <c r="E8" s="5" t="s">
        <v>36</v>
      </c>
      <c r="F8" s="37">
        <v>119.5</v>
      </c>
      <c r="G8" s="5" t="s">
        <v>37</v>
      </c>
      <c r="H8" s="37">
        <f ca="1" t="array" ref="H8">INDEX(成本核算表!J:J,MATCH(1,(成本核算表!D:D=E8)*(成本核算表!C:C=G8),0))</f>
        <v>15</v>
      </c>
      <c r="I8" s="37">
        <v>530</v>
      </c>
      <c r="J8" s="37">
        <f ca="1" t="shared" si="0"/>
        <v>7950</v>
      </c>
      <c r="K8" s="37"/>
      <c r="L8" s="37"/>
      <c r="M8" s="37"/>
      <c r="N8" s="37">
        <f ca="1" t="shared" si="1"/>
        <v>7950</v>
      </c>
      <c r="O8" s="37">
        <f ca="1" t="shared" si="2"/>
        <v>2.20833333333333</v>
      </c>
      <c r="P8" s="37"/>
      <c r="Q8" s="37"/>
    </row>
    <row r="9" s="30" customFormat="1" ht="20" customHeight="1" spans="1:17">
      <c r="A9" s="36">
        <v>46086</v>
      </c>
      <c r="B9" s="37">
        <v>11</v>
      </c>
      <c r="C9" s="38">
        <f ca="1">SUM(O9:O10)/B9</f>
        <v>0.806060606060606</v>
      </c>
      <c r="D9" s="5" t="s">
        <v>107</v>
      </c>
      <c r="E9" s="5" t="s">
        <v>36</v>
      </c>
      <c r="F9" s="37">
        <v>119.5</v>
      </c>
      <c r="G9" s="5" t="s">
        <v>37</v>
      </c>
      <c r="H9" s="37">
        <f ca="1" t="array" ref="H9">INDEX(成本核算表!J:J,MATCH(1,(成本核算表!D:D=E9)*(成本核算表!C:C=G9),0))</f>
        <v>15</v>
      </c>
      <c r="I9" s="37">
        <v>336</v>
      </c>
      <c r="J9" s="37">
        <f ca="1" t="shared" si="0"/>
        <v>5040</v>
      </c>
      <c r="K9" s="37"/>
      <c r="L9" s="37"/>
      <c r="M9" s="37"/>
      <c r="N9" s="37">
        <f ca="1" t="shared" si="1"/>
        <v>5040</v>
      </c>
      <c r="O9" s="37">
        <f ca="1" t="shared" si="2"/>
        <v>1.4</v>
      </c>
      <c r="P9" s="37"/>
      <c r="Q9" s="37"/>
    </row>
    <row r="10" s="30" customFormat="1" ht="20" customHeight="1" spans="1:17">
      <c r="A10" s="36">
        <v>46086</v>
      </c>
      <c r="B10" s="37"/>
      <c r="C10" s="38"/>
      <c r="D10" s="5" t="s">
        <v>107</v>
      </c>
      <c r="E10" s="5" t="s">
        <v>108</v>
      </c>
      <c r="F10" s="37">
        <v>260</v>
      </c>
      <c r="G10" s="5" t="s">
        <v>242</v>
      </c>
      <c r="H10" s="37">
        <f ca="1" t="array" ref="H10">INDEX(成本核算表!J:J,MATCH(1,(成本核算表!D:D=E10)*(成本核算表!C:C=G10),0))</f>
        <v>40</v>
      </c>
      <c r="I10" s="37">
        <v>672</v>
      </c>
      <c r="J10" s="37">
        <f ca="1" t="shared" si="0"/>
        <v>26880</v>
      </c>
      <c r="K10" s="37"/>
      <c r="L10" s="37"/>
      <c r="M10" s="37"/>
      <c r="N10" s="37">
        <f ca="1" t="shared" si="1"/>
        <v>26880</v>
      </c>
      <c r="O10" s="37">
        <f ca="1" t="shared" si="2"/>
        <v>7.46666666666667</v>
      </c>
      <c r="P10" s="37"/>
      <c r="Q10" s="37"/>
    </row>
    <row r="11" s="30" customFormat="1" ht="20" customHeight="1" spans="1:17">
      <c r="A11" s="36">
        <v>46087</v>
      </c>
      <c r="B11" s="37">
        <v>11</v>
      </c>
      <c r="C11" s="38">
        <f ca="1">SUM(O11:O13)/B11</f>
        <v>1.51515151515151</v>
      </c>
      <c r="D11" s="37"/>
      <c r="E11" s="5" t="s">
        <v>244</v>
      </c>
      <c r="F11" s="37">
        <v>860</v>
      </c>
      <c r="G11" s="5" t="s">
        <v>44</v>
      </c>
      <c r="H11" s="37">
        <f ca="1" t="array" ref="H11">INDEX(成本核算表!J:J,MATCH(1,(成本核算表!D:D=E11)*(成本核算表!C:C=G11),0))</f>
        <v>120</v>
      </c>
      <c r="I11" s="37">
        <v>140</v>
      </c>
      <c r="J11" s="37">
        <f ca="1" t="shared" si="0"/>
        <v>16800</v>
      </c>
      <c r="K11" s="37"/>
      <c r="L11" s="37">
        <f>7*3600</f>
        <v>25200</v>
      </c>
      <c r="M11" s="37"/>
      <c r="N11" s="37">
        <f ca="1" t="shared" si="1"/>
        <v>42000</v>
      </c>
      <c r="O11" s="37">
        <f ca="1" t="shared" si="2"/>
        <v>11.6666666666667</v>
      </c>
      <c r="P11" s="37"/>
      <c r="Q11" s="5" t="s">
        <v>245</v>
      </c>
    </row>
    <row r="12" s="30" customFormat="1" ht="20" customHeight="1" spans="1:17">
      <c r="A12" s="36">
        <v>46088</v>
      </c>
      <c r="B12" s="37">
        <v>11</v>
      </c>
      <c r="C12" s="38">
        <f ca="1">SUM(O12:O13)/B12</f>
        <v>0.454545454545455</v>
      </c>
      <c r="D12" s="5" t="s">
        <v>80</v>
      </c>
      <c r="E12" s="5" t="s">
        <v>78</v>
      </c>
      <c r="F12" s="37">
        <v>1960</v>
      </c>
      <c r="G12" s="5" t="s">
        <v>132</v>
      </c>
      <c r="H12" s="37">
        <f ca="1" t="array" ref="H12">INDEX(成本核算表!J:J,MATCH(1,(成本核算表!D:D=E12)*(成本核算表!C:C=G12),0))</f>
        <v>30</v>
      </c>
      <c r="I12" s="37">
        <v>300</v>
      </c>
      <c r="J12" s="37">
        <f ca="1" t="shared" si="0"/>
        <v>9000</v>
      </c>
      <c r="K12" s="37"/>
      <c r="L12" s="37"/>
      <c r="M12" s="37"/>
      <c r="N12" s="37">
        <f ca="1" t="shared" si="1"/>
        <v>9000</v>
      </c>
      <c r="O12" s="37">
        <f ca="1" t="shared" si="2"/>
        <v>2.5</v>
      </c>
      <c r="P12" s="37"/>
      <c r="Q12" s="37"/>
    </row>
    <row r="13" s="30" customFormat="1" ht="20" customHeight="1" spans="1:17">
      <c r="A13" s="36">
        <v>46088</v>
      </c>
      <c r="B13" s="37"/>
      <c r="C13" s="38"/>
      <c r="D13" s="5" t="s">
        <v>77</v>
      </c>
      <c r="E13" s="5" t="s">
        <v>78</v>
      </c>
      <c r="F13" s="37">
        <v>1960</v>
      </c>
      <c r="G13" s="5" t="s">
        <v>132</v>
      </c>
      <c r="H13" s="37">
        <f ca="1" t="array" ref="H13">INDEX(成本核算表!J:J,MATCH(1,(成本核算表!D:D=E13)*(成本核算表!C:C=G13),0))</f>
        <v>30</v>
      </c>
      <c r="I13" s="37">
        <v>300</v>
      </c>
      <c r="J13" s="37">
        <f ca="1" t="shared" si="0"/>
        <v>9000</v>
      </c>
      <c r="K13" s="37"/>
      <c r="L13" s="37"/>
      <c r="M13" s="37"/>
      <c r="N13" s="37">
        <f ca="1" t="shared" si="1"/>
        <v>9000</v>
      </c>
      <c r="O13" s="37">
        <f ca="1" t="shared" si="2"/>
        <v>2.5</v>
      </c>
      <c r="P13" s="37"/>
      <c r="Q13" s="37"/>
    </row>
    <row r="14" s="30" customFormat="1" ht="20" customHeight="1" spans="1:17">
      <c r="A14" s="36">
        <v>46089</v>
      </c>
      <c r="B14" s="37">
        <v>9.5</v>
      </c>
      <c r="C14" s="38">
        <f ca="1">SUM(O14:O16)/B14</f>
        <v>0.948245614035088</v>
      </c>
      <c r="D14" s="5" t="s">
        <v>80</v>
      </c>
      <c r="E14" s="5" t="s">
        <v>78</v>
      </c>
      <c r="F14" s="37">
        <v>1960</v>
      </c>
      <c r="G14" s="5" t="s">
        <v>132</v>
      </c>
      <c r="H14" s="37">
        <f ca="1" t="array" ref="H14">INDEX(成本核算表!J:J,MATCH(1,(成本核算表!D:D=E14)*(成本核算表!C:C=G14),0))</f>
        <v>30</v>
      </c>
      <c r="I14" s="37">
        <v>300</v>
      </c>
      <c r="J14" s="37">
        <f ca="1" t="shared" si="0"/>
        <v>9000</v>
      </c>
      <c r="K14" s="37"/>
      <c r="L14" s="37">
        <v>10800</v>
      </c>
      <c r="M14" s="37"/>
      <c r="N14" s="37">
        <f ca="1" t="shared" si="1"/>
        <v>19800</v>
      </c>
      <c r="O14" s="37">
        <f ca="1" t="shared" si="2"/>
        <v>5.5</v>
      </c>
      <c r="P14" s="37"/>
      <c r="Q14" s="5" t="s">
        <v>208</v>
      </c>
    </row>
    <row r="15" s="30" customFormat="1" ht="20" customHeight="1" spans="1:17">
      <c r="A15" s="36">
        <v>46089</v>
      </c>
      <c r="B15" s="37"/>
      <c r="C15" s="38"/>
      <c r="D15" s="5" t="s">
        <v>77</v>
      </c>
      <c r="E15" s="5" t="s">
        <v>78</v>
      </c>
      <c r="F15" s="37">
        <v>1960</v>
      </c>
      <c r="G15" s="5" t="s">
        <v>132</v>
      </c>
      <c r="H15" s="37">
        <f ca="1" t="array" ref="H15">INDEX(成本核算表!J:J,MATCH(1,(成本核算表!D:D=E15)*(成本核算表!C:C=G15),0))</f>
        <v>30</v>
      </c>
      <c r="I15" s="37">
        <v>219</v>
      </c>
      <c r="J15" s="37">
        <f ca="1" t="shared" si="0"/>
        <v>6570</v>
      </c>
      <c r="K15" s="37"/>
      <c r="L15" s="37"/>
      <c r="M15" s="37"/>
      <c r="N15" s="37">
        <f ca="1" t="shared" si="1"/>
        <v>6570</v>
      </c>
      <c r="O15" s="37">
        <f ca="1" t="shared" si="2"/>
        <v>1.825</v>
      </c>
      <c r="P15" s="37"/>
      <c r="Q15" s="37"/>
    </row>
    <row r="16" s="30" customFormat="1" ht="20" customHeight="1" spans="1:17">
      <c r="A16" s="36">
        <v>46089</v>
      </c>
      <c r="B16" s="37"/>
      <c r="C16" s="38"/>
      <c r="D16" s="5" t="s">
        <v>84</v>
      </c>
      <c r="E16" s="5" t="s">
        <v>78</v>
      </c>
      <c r="F16" s="37">
        <v>780</v>
      </c>
      <c r="G16" s="5" t="s">
        <v>132</v>
      </c>
      <c r="H16" s="37">
        <f ca="1" t="array" ref="H16">INDEX(成本核算表!J:J,MATCH(1,(成本核算表!D:D=E16)*(成本核算表!C:C=G16),0))</f>
        <v>30</v>
      </c>
      <c r="I16" s="37">
        <v>202</v>
      </c>
      <c r="J16" s="37">
        <f ca="1" t="shared" si="0"/>
        <v>6060</v>
      </c>
      <c r="K16" s="37"/>
      <c r="L16" s="37"/>
      <c r="M16" s="37"/>
      <c r="N16" s="37">
        <f ca="1" t="shared" si="1"/>
        <v>6060</v>
      </c>
      <c r="O16" s="37">
        <f ca="1" t="shared" si="2"/>
        <v>1.68333333333333</v>
      </c>
      <c r="P16" s="37"/>
      <c r="Q16" s="37"/>
    </row>
    <row r="17" s="30" customFormat="1" ht="20" customHeight="1" spans="1:17">
      <c r="A17" s="15">
        <v>46090</v>
      </c>
      <c r="B17" s="37">
        <v>11</v>
      </c>
      <c r="C17" s="38">
        <f ca="1">SUM(O17:O19)/B17</f>
        <v>0.903787878787879</v>
      </c>
      <c r="D17" s="5" t="s">
        <v>77</v>
      </c>
      <c r="E17" s="5" t="s">
        <v>78</v>
      </c>
      <c r="F17" s="37">
        <v>1960</v>
      </c>
      <c r="G17" s="5" t="s">
        <v>132</v>
      </c>
      <c r="H17" s="37">
        <f ca="1" t="array" ref="H17">INDEX(成本核算表!J:J,MATCH(1,(成本核算表!D:D=E17)*(成本核算表!C:C=G17),0))</f>
        <v>30</v>
      </c>
      <c r="I17" s="37">
        <v>264</v>
      </c>
      <c r="J17" s="37">
        <f ca="1" t="shared" si="0"/>
        <v>7920</v>
      </c>
      <c r="K17" s="37"/>
      <c r="L17" s="37"/>
      <c r="M17" s="37"/>
      <c r="N17" s="37">
        <f ca="1" t="shared" si="1"/>
        <v>7920</v>
      </c>
      <c r="O17" s="37">
        <f ca="1" t="shared" si="2"/>
        <v>2.2</v>
      </c>
      <c r="P17" s="37"/>
      <c r="Q17" s="37"/>
    </row>
    <row r="18" s="30" customFormat="1" ht="20" customHeight="1" spans="1:17">
      <c r="A18" s="15">
        <v>46090</v>
      </c>
      <c r="B18" s="37"/>
      <c r="C18" s="38"/>
      <c r="D18" s="39" t="s">
        <v>246</v>
      </c>
      <c r="E18" s="5" t="s">
        <v>244</v>
      </c>
      <c r="F18" s="37">
        <v>860</v>
      </c>
      <c r="G18" s="5" t="s">
        <v>113</v>
      </c>
      <c r="H18" s="37">
        <f ca="1" t="array" ref="H18">INDEX(成本核算表!J:J,MATCH(1,(成本核算表!D:D=E18)*(成本核算表!C:C=G18),0))</f>
        <v>100</v>
      </c>
      <c r="I18" s="37">
        <v>53</v>
      </c>
      <c r="J18" s="37">
        <f ca="1" t="shared" si="0"/>
        <v>5300</v>
      </c>
      <c r="K18" s="37"/>
      <c r="L18" s="37">
        <v>14400</v>
      </c>
      <c r="M18" s="37"/>
      <c r="N18" s="37">
        <f ca="1" t="shared" si="1"/>
        <v>19700</v>
      </c>
      <c r="O18" s="37">
        <f ca="1" t="shared" si="2"/>
        <v>5.47222222222222</v>
      </c>
      <c r="P18" s="37"/>
      <c r="Q18" s="5" t="s">
        <v>133</v>
      </c>
    </row>
    <row r="19" s="30" customFormat="1" ht="20" customHeight="1" spans="1:17">
      <c r="A19" s="15">
        <v>46090</v>
      </c>
      <c r="B19" s="37"/>
      <c r="C19" s="38"/>
      <c r="D19" s="39" t="s">
        <v>246</v>
      </c>
      <c r="E19" s="5" t="s">
        <v>244</v>
      </c>
      <c r="F19" s="37">
        <v>860</v>
      </c>
      <c r="G19" s="5" t="s">
        <v>247</v>
      </c>
      <c r="H19" s="37">
        <f ca="1" t="array" ref="H19">INDEX(成本核算表!J:J,MATCH(1,(成本核算表!D:D=E19)*(成本核算表!C:C=G19),0))</f>
        <v>95</v>
      </c>
      <c r="I19" s="37">
        <v>86</v>
      </c>
      <c r="J19" s="37">
        <f ca="1" t="shared" si="0"/>
        <v>8170</v>
      </c>
      <c r="K19" s="37"/>
      <c r="L19" s="37"/>
      <c r="M19" s="37"/>
      <c r="N19" s="37">
        <f ca="1" t="shared" si="1"/>
        <v>8170</v>
      </c>
      <c r="O19" s="37">
        <f ca="1" t="shared" si="2"/>
        <v>2.26944444444444</v>
      </c>
      <c r="P19" s="37"/>
      <c r="Q19" s="37"/>
    </row>
    <row r="20" s="30" customFormat="1" ht="20" customHeight="1" spans="1:17">
      <c r="A20" s="15">
        <v>46090</v>
      </c>
      <c r="B20" s="37"/>
      <c r="C20" s="38"/>
      <c r="D20" s="5"/>
      <c r="E20" s="5" t="s">
        <v>248</v>
      </c>
      <c r="F20" s="5"/>
      <c r="G20" s="5" t="s">
        <v>249</v>
      </c>
      <c r="H20" s="37"/>
      <c r="I20" s="37">
        <v>16</v>
      </c>
      <c r="J20" s="37">
        <f t="shared" si="0"/>
        <v>0</v>
      </c>
      <c r="K20" s="37"/>
      <c r="L20" s="37">
        <v>7200</v>
      </c>
      <c r="M20" s="37"/>
      <c r="N20" s="37">
        <f t="shared" si="1"/>
        <v>7200</v>
      </c>
      <c r="O20" s="37">
        <f t="shared" si="2"/>
        <v>2</v>
      </c>
      <c r="P20" s="37"/>
      <c r="Q20" s="37"/>
    </row>
    <row r="21" s="30" customFormat="1" ht="20" customHeight="1" spans="1:17">
      <c r="A21" s="36">
        <v>46091</v>
      </c>
      <c r="B21" s="37">
        <v>11</v>
      </c>
      <c r="C21" s="38">
        <f ca="1">SUM(O21:O22)/B21</f>
        <v>0.848484848484848</v>
      </c>
      <c r="D21" s="5" t="s">
        <v>84</v>
      </c>
      <c r="E21" s="5" t="s">
        <v>78</v>
      </c>
      <c r="F21" s="37">
        <v>780</v>
      </c>
      <c r="G21" s="5" t="s">
        <v>132</v>
      </c>
      <c r="H21" s="37">
        <f ca="1" t="array" ref="H21">INDEX(成本核算表!J:J,MATCH(1,(成本核算表!D:D=E21)*(成本核算表!C:C=G21),0))</f>
        <v>30</v>
      </c>
      <c r="I21" s="37">
        <v>520</v>
      </c>
      <c r="J21" s="37">
        <f ca="1" t="shared" si="0"/>
        <v>15600</v>
      </c>
      <c r="K21" s="37"/>
      <c r="L21" s="37"/>
      <c r="M21" s="37"/>
      <c r="N21" s="37">
        <f ca="1" t="shared" si="1"/>
        <v>15600</v>
      </c>
      <c r="O21" s="37">
        <f ca="1" t="shared" si="2"/>
        <v>4.33333333333333</v>
      </c>
      <c r="P21" s="37"/>
      <c r="Q21" s="37"/>
    </row>
    <row r="22" s="30" customFormat="1" ht="20" customHeight="1" spans="1:17">
      <c r="A22" s="36">
        <v>46091</v>
      </c>
      <c r="B22" s="37"/>
      <c r="C22" s="38"/>
      <c r="D22" s="5" t="s">
        <v>83</v>
      </c>
      <c r="E22" s="5" t="s">
        <v>78</v>
      </c>
      <c r="F22" s="37">
        <v>780</v>
      </c>
      <c r="G22" s="5" t="s">
        <v>132</v>
      </c>
      <c r="H22" s="37">
        <f ca="1" t="array" ref="H22">INDEX(成本核算表!J:J,MATCH(1,(成本核算表!D:D=E22)*(成本核算表!C:C=G22),0))</f>
        <v>30</v>
      </c>
      <c r="I22" s="37">
        <v>600</v>
      </c>
      <c r="J22" s="37">
        <f ca="1" t="shared" si="0"/>
        <v>18000</v>
      </c>
      <c r="K22" s="37"/>
      <c r="L22" s="37"/>
      <c r="M22" s="37"/>
      <c r="N22" s="37">
        <f ca="1" t="shared" si="1"/>
        <v>18000</v>
      </c>
      <c r="O22" s="37">
        <f ca="1" t="shared" si="2"/>
        <v>5</v>
      </c>
      <c r="P22" s="37"/>
      <c r="Q22" s="37"/>
    </row>
    <row r="23" s="30" customFormat="1" ht="20" customHeight="1" spans="1:17">
      <c r="A23" s="36">
        <v>46092</v>
      </c>
      <c r="B23" s="37">
        <v>11</v>
      </c>
      <c r="C23" s="38">
        <f ca="1">SUM(O23:O25)/B23</f>
        <v>0.972727272727273</v>
      </c>
      <c r="D23" s="5" t="s">
        <v>80</v>
      </c>
      <c r="E23" s="5" t="s">
        <v>78</v>
      </c>
      <c r="F23" s="37">
        <v>1960</v>
      </c>
      <c r="G23" s="5" t="s">
        <v>132</v>
      </c>
      <c r="H23" s="37">
        <f ca="1" t="array" ref="H23">INDEX(成本核算表!J:J,MATCH(1,(成本核算表!D:D=E23)*(成本核算表!C:C=G23),0))</f>
        <v>30</v>
      </c>
      <c r="I23" s="37">
        <v>340</v>
      </c>
      <c r="J23" s="37">
        <f ca="1" t="shared" si="0"/>
        <v>10200</v>
      </c>
      <c r="K23" s="37"/>
      <c r="L23" s="37">
        <v>14400</v>
      </c>
      <c r="M23" s="37"/>
      <c r="N23" s="37">
        <f ca="1" t="shared" si="1"/>
        <v>24600</v>
      </c>
      <c r="O23" s="37">
        <f ca="1" t="shared" si="2"/>
        <v>6.83333333333333</v>
      </c>
      <c r="P23" s="37"/>
      <c r="Q23" s="5" t="s">
        <v>133</v>
      </c>
    </row>
    <row r="24" s="30" customFormat="1" ht="20" customHeight="1" spans="1:17">
      <c r="A24" s="36">
        <v>46092</v>
      </c>
      <c r="B24" s="37"/>
      <c r="C24" s="38"/>
      <c r="D24" s="5" t="s">
        <v>77</v>
      </c>
      <c r="E24" s="5" t="s">
        <v>78</v>
      </c>
      <c r="F24" s="37">
        <v>1960</v>
      </c>
      <c r="G24" s="5" t="s">
        <v>132</v>
      </c>
      <c r="H24" s="37">
        <f ca="1" t="array" ref="H24">INDEX(成本核算表!J:J,MATCH(1,(成本核算表!D:D=E24)*(成本核算表!C:C=G24),0))</f>
        <v>30</v>
      </c>
      <c r="I24" s="37">
        <v>300</v>
      </c>
      <c r="J24" s="37">
        <f ca="1" t="shared" si="0"/>
        <v>9000</v>
      </c>
      <c r="K24" s="37"/>
      <c r="L24" s="37"/>
      <c r="M24" s="37"/>
      <c r="N24" s="37">
        <f ca="1" t="shared" si="1"/>
        <v>9000</v>
      </c>
      <c r="O24" s="37">
        <f ca="1" t="shared" si="2"/>
        <v>2.5</v>
      </c>
      <c r="P24" s="37"/>
      <c r="Q24" s="37"/>
    </row>
    <row r="25" s="30" customFormat="1" ht="20" customHeight="1" spans="1:17">
      <c r="A25" s="36">
        <v>46092</v>
      </c>
      <c r="B25" s="37"/>
      <c r="C25" s="38"/>
      <c r="D25" s="5" t="s">
        <v>84</v>
      </c>
      <c r="E25" s="5" t="s">
        <v>78</v>
      </c>
      <c r="F25" s="37">
        <v>780</v>
      </c>
      <c r="G25" s="5" t="s">
        <v>132</v>
      </c>
      <c r="H25" s="37">
        <f ca="1" t="array" ref="H25">INDEX(成本核算表!J:J,MATCH(1,(成本核算表!D:D=E25)*(成本核算表!C:C=G25),0))</f>
        <v>30</v>
      </c>
      <c r="I25" s="37">
        <v>164</v>
      </c>
      <c r="J25" s="37">
        <f ca="1" t="shared" si="0"/>
        <v>4920</v>
      </c>
      <c r="K25" s="37"/>
      <c r="L25" s="37"/>
      <c r="M25" s="37"/>
      <c r="N25" s="37">
        <f ca="1" t="shared" si="1"/>
        <v>4920</v>
      </c>
      <c r="O25" s="37">
        <f ca="1" t="shared" si="2"/>
        <v>1.36666666666667</v>
      </c>
      <c r="P25" s="37"/>
      <c r="Q25" s="37"/>
    </row>
    <row r="26" s="30" customFormat="1" ht="20" customHeight="1" spans="1:17">
      <c r="A26" s="36">
        <v>46093</v>
      </c>
      <c r="B26" s="37">
        <v>9.5</v>
      </c>
      <c r="C26" s="38">
        <f ca="1">SUM(O26:O29)/B26</f>
        <v>0.870175438596491</v>
      </c>
      <c r="D26" s="5" t="s">
        <v>84</v>
      </c>
      <c r="E26" s="5" t="s">
        <v>78</v>
      </c>
      <c r="F26" s="37">
        <v>780</v>
      </c>
      <c r="G26" s="5" t="s">
        <v>132</v>
      </c>
      <c r="H26" s="37">
        <f ca="1" t="array" ref="H26">INDEX(成本核算表!J:J,MATCH(1,(成本核算表!D:D=E26)*(成本核算表!C:C=G26),0))</f>
        <v>30</v>
      </c>
      <c r="I26" s="37">
        <v>100</v>
      </c>
      <c r="J26" s="37">
        <f ca="1" t="shared" si="0"/>
        <v>3000</v>
      </c>
      <c r="K26" s="37"/>
      <c r="L26" s="37">
        <v>10800</v>
      </c>
      <c r="M26" s="37"/>
      <c r="N26" s="37">
        <f ca="1" t="shared" si="1"/>
        <v>13800</v>
      </c>
      <c r="O26" s="37">
        <f ca="1" t="shared" si="2"/>
        <v>3.83333333333333</v>
      </c>
      <c r="P26" s="37"/>
      <c r="Q26" s="5" t="s">
        <v>236</v>
      </c>
    </row>
    <row r="27" s="30" customFormat="1" ht="20" customHeight="1" spans="1:17">
      <c r="A27" s="36">
        <v>46093</v>
      </c>
      <c r="B27" s="37"/>
      <c r="C27" s="38"/>
      <c r="D27" s="5" t="s">
        <v>83</v>
      </c>
      <c r="E27" s="5" t="s">
        <v>78</v>
      </c>
      <c r="F27" s="37">
        <v>780</v>
      </c>
      <c r="G27" s="5" t="s">
        <v>132</v>
      </c>
      <c r="H27" s="37">
        <f ca="1" t="array" ref="H27">INDEX(成本核算表!J:J,MATCH(1,(成本核算表!D:D=E27)*(成本核算表!C:C=G27),0))</f>
        <v>30</v>
      </c>
      <c r="I27" s="37">
        <v>100</v>
      </c>
      <c r="J27" s="37">
        <f ca="1" t="shared" si="0"/>
        <v>3000</v>
      </c>
      <c r="K27" s="37"/>
      <c r="L27" s="37"/>
      <c r="M27" s="37"/>
      <c r="N27" s="37">
        <f ca="1" t="shared" si="1"/>
        <v>3000</v>
      </c>
      <c r="O27" s="37">
        <f ca="1" t="shared" si="2"/>
        <v>0.833333333333333</v>
      </c>
      <c r="P27" s="37"/>
      <c r="Q27" s="37"/>
    </row>
    <row r="28" s="30" customFormat="1" ht="20" customHeight="1" spans="1:17">
      <c r="A28" s="36">
        <v>46093</v>
      </c>
      <c r="B28" s="37"/>
      <c r="C28" s="38"/>
      <c r="D28" s="5" t="s">
        <v>80</v>
      </c>
      <c r="E28" s="5" t="s">
        <v>78</v>
      </c>
      <c r="F28" s="37">
        <v>1960</v>
      </c>
      <c r="G28" s="5" t="s">
        <v>132</v>
      </c>
      <c r="H28" s="37">
        <f ca="1" t="array" ref="H28">INDEX(成本核算表!J:J,MATCH(1,(成本核算表!D:D=E28)*(成本核算表!C:C=G28),0))</f>
        <v>30</v>
      </c>
      <c r="I28" s="37">
        <v>300</v>
      </c>
      <c r="J28" s="37">
        <f ca="1" t="shared" si="0"/>
        <v>9000</v>
      </c>
      <c r="K28" s="37"/>
      <c r="L28" s="37"/>
      <c r="M28" s="37"/>
      <c r="N28" s="37">
        <f ca="1" t="shared" si="1"/>
        <v>9000</v>
      </c>
      <c r="O28" s="37">
        <f ca="1" t="shared" si="2"/>
        <v>2.5</v>
      </c>
      <c r="P28" s="37"/>
      <c r="Q28" s="37"/>
    </row>
    <row r="29" s="30" customFormat="1" ht="20" customHeight="1" spans="1:17">
      <c r="A29" s="36">
        <v>46093</v>
      </c>
      <c r="B29" s="37"/>
      <c r="C29" s="38"/>
      <c r="D29" s="5" t="s">
        <v>77</v>
      </c>
      <c r="E29" s="5" t="s">
        <v>78</v>
      </c>
      <c r="F29" s="37">
        <v>1960</v>
      </c>
      <c r="G29" s="5" t="s">
        <v>132</v>
      </c>
      <c r="H29" s="37">
        <f ca="1" t="array" ref="H29">INDEX(成本核算表!J:J,MATCH(1,(成本核算表!D:D=E29)*(成本核算表!C:C=G29),0))</f>
        <v>30</v>
      </c>
      <c r="I29" s="37">
        <v>132</v>
      </c>
      <c r="J29" s="37">
        <f ca="1" t="shared" si="0"/>
        <v>3960</v>
      </c>
      <c r="K29" s="37"/>
      <c r="L29" s="37"/>
      <c r="M29" s="37"/>
      <c r="N29" s="37">
        <f ca="1" t="shared" si="1"/>
        <v>3960</v>
      </c>
      <c r="O29" s="37">
        <f ca="1" t="shared" si="2"/>
        <v>1.1</v>
      </c>
      <c r="P29" s="37"/>
      <c r="Q29" s="37"/>
    </row>
    <row r="30" s="30" customFormat="1" ht="20" customHeight="1" spans="1:17">
      <c r="A30" s="36">
        <v>46094</v>
      </c>
      <c r="B30" s="37">
        <v>9.5</v>
      </c>
      <c r="C30" s="38">
        <f ca="1" t="shared" ref="C30:C34" si="3">SUM(O30:O31)/B30</f>
        <v>1.15847953216374</v>
      </c>
      <c r="D30" s="5" t="s">
        <v>84</v>
      </c>
      <c r="E30" s="5" t="s">
        <v>78</v>
      </c>
      <c r="F30" s="37">
        <v>780</v>
      </c>
      <c r="G30" s="5" t="s">
        <v>132</v>
      </c>
      <c r="H30" s="37">
        <f ca="1" t="array" ref="H30">INDEX(成本核算表!J:J,MATCH(1,(成本核算表!D:D=E30)*(成本核算表!C:C=G30),0))</f>
        <v>30</v>
      </c>
      <c r="I30" s="37">
        <v>277</v>
      </c>
      <c r="J30" s="37">
        <f ca="1" t="shared" si="0"/>
        <v>8310</v>
      </c>
      <c r="K30" s="37"/>
      <c r="L30" s="37">
        <v>23000</v>
      </c>
      <c r="M30" s="37"/>
      <c r="N30" s="37">
        <f ca="1" t="shared" si="1"/>
        <v>31310</v>
      </c>
      <c r="O30" s="37">
        <f ca="1" t="shared" si="2"/>
        <v>8.69722222222222</v>
      </c>
      <c r="P30" s="37"/>
      <c r="Q30" s="5" t="s">
        <v>192</v>
      </c>
    </row>
    <row r="31" s="30" customFormat="1" ht="20" customHeight="1" spans="1:17">
      <c r="A31" s="36">
        <v>46094</v>
      </c>
      <c r="B31" s="37"/>
      <c r="C31" s="38"/>
      <c r="D31" s="5" t="s">
        <v>83</v>
      </c>
      <c r="E31" s="5" t="s">
        <v>78</v>
      </c>
      <c r="F31" s="37">
        <v>780</v>
      </c>
      <c r="G31" s="5" t="s">
        <v>132</v>
      </c>
      <c r="H31" s="37">
        <f ca="1" t="array" ref="H31">INDEX(成本核算表!J:J,MATCH(1,(成本核算表!D:D=E31)*(成本核算表!C:C=G31),0))</f>
        <v>30</v>
      </c>
      <c r="I31" s="37">
        <v>277</v>
      </c>
      <c r="J31" s="37">
        <f ca="1" t="shared" si="0"/>
        <v>8310</v>
      </c>
      <c r="K31" s="37"/>
      <c r="L31" s="37"/>
      <c r="M31" s="37"/>
      <c r="N31" s="37">
        <f ca="1" t="shared" si="1"/>
        <v>8310</v>
      </c>
      <c r="O31" s="37">
        <f ca="1" t="shared" si="2"/>
        <v>2.30833333333333</v>
      </c>
      <c r="P31" s="37"/>
      <c r="Q31" s="37"/>
    </row>
    <row r="32" s="30" customFormat="1" ht="20" customHeight="1" spans="1:17">
      <c r="A32" s="36">
        <v>46095</v>
      </c>
      <c r="B32" s="37">
        <v>11</v>
      </c>
      <c r="C32" s="38">
        <f ca="1" t="shared" si="3"/>
        <v>0.871212121212121</v>
      </c>
      <c r="D32" s="5" t="s">
        <v>80</v>
      </c>
      <c r="E32" s="5" t="s">
        <v>78</v>
      </c>
      <c r="F32" s="37">
        <v>1960</v>
      </c>
      <c r="G32" s="5" t="s">
        <v>132</v>
      </c>
      <c r="H32" s="37">
        <f ca="1" t="array" ref="H32">INDEX(成本核算表!J:J,MATCH(1,(成本核算表!D:D=E32)*(成本核算表!C:C=G32),0))</f>
        <v>30</v>
      </c>
      <c r="I32" s="37">
        <v>420</v>
      </c>
      <c r="J32" s="37">
        <f ca="1" t="shared" si="0"/>
        <v>12600</v>
      </c>
      <c r="K32" s="37"/>
      <c r="L32" s="37">
        <f>4*3600</f>
        <v>14400</v>
      </c>
      <c r="M32" s="37"/>
      <c r="N32" s="37">
        <f ca="1" t="shared" si="1"/>
        <v>27000</v>
      </c>
      <c r="O32" s="37">
        <f ca="1" t="shared" si="2"/>
        <v>7.5</v>
      </c>
      <c r="P32" s="37"/>
      <c r="Q32" s="37"/>
    </row>
    <row r="33" s="30" customFormat="1" ht="20" customHeight="1" spans="1:17">
      <c r="A33" s="36">
        <v>46095</v>
      </c>
      <c r="B33" s="37"/>
      <c r="C33" s="38"/>
      <c r="D33" s="5" t="s">
        <v>77</v>
      </c>
      <c r="E33" s="5" t="s">
        <v>78</v>
      </c>
      <c r="F33" s="37">
        <v>1960</v>
      </c>
      <c r="G33" s="5" t="s">
        <v>132</v>
      </c>
      <c r="H33" s="37">
        <f ca="1" t="array" ref="H33">INDEX(成本核算表!J:J,MATCH(1,(成本核算表!D:D=E33)*(成本核算表!C:C=G33),0))</f>
        <v>30</v>
      </c>
      <c r="I33" s="37">
        <v>250</v>
      </c>
      <c r="J33" s="37">
        <f ca="1" t="shared" si="0"/>
        <v>7500</v>
      </c>
      <c r="K33" s="37"/>
      <c r="L33" s="37"/>
      <c r="M33" s="37"/>
      <c r="N33" s="37">
        <f ca="1" t="shared" si="1"/>
        <v>7500</v>
      </c>
      <c r="O33" s="37">
        <f ca="1" t="shared" si="2"/>
        <v>2.08333333333333</v>
      </c>
      <c r="P33" s="37"/>
      <c r="Q33" s="37"/>
    </row>
    <row r="34" s="30" customFormat="1" ht="20" customHeight="1" spans="1:17">
      <c r="A34" s="36">
        <v>46096</v>
      </c>
      <c r="B34" s="37">
        <v>9.5</v>
      </c>
      <c r="C34" s="38">
        <f ca="1">SUM(O34:O36)/B34</f>
        <v>0.939473684210526</v>
      </c>
      <c r="D34" s="5" t="s">
        <v>80</v>
      </c>
      <c r="E34" s="5" t="s">
        <v>78</v>
      </c>
      <c r="F34" s="37">
        <v>1960</v>
      </c>
      <c r="G34" s="5" t="s">
        <v>132</v>
      </c>
      <c r="H34" s="37">
        <f ca="1" t="array" ref="H34">INDEX(成本核算表!J:J,MATCH(1,(成本核算表!D:D=E34)*(成本核算表!C:C=G34),0))</f>
        <v>30</v>
      </c>
      <c r="I34" s="37">
        <v>180</v>
      </c>
      <c r="J34" s="37">
        <f ca="1" t="shared" si="0"/>
        <v>5400</v>
      </c>
      <c r="K34" s="37"/>
      <c r="L34" s="37">
        <f>3*3600</f>
        <v>10800</v>
      </c>
      <c r="M34" s="37"/>
      <c r="N34" s="37">
        <f ca="1" t="shared" si="1"/>
        <v>16200</v>
      </c>
      <c r="O34" s="37">
        <f ca="1" t="shared" si="2"/>
        <v>4.5</v>
      </c>
      <c r="P34" s="37"/>
    </row>
    <row r="35" s="30" customFormat="1" ht="20" customHeight="1" spans="1:17">
      <c r="A35" s="36">
        <v>46096</v>
      </c>
      <c r="B35" s="37"/>
      <c r="C35" s="38"/>
      <c r="D35" s="5" t="s">
        <v>77</v>
      </c>
      <c r="E35" s="5" t="s">
        <v>78</v>
      </c>
      <c r="F35" s="37">
        <v>1960</v>
      </c>
      <c r="G35" s="5" t="s">
        <v>132</v>
      </c>
      <c r="H35" s="37">
        <f ca="1" t="array" ref="H35">INDEX(成本核算表!J:J,MATCH(1,(成本核算表!D:D=E35)*(成本核算表!C:C=G35),0))</f>
        <v>30</v>
      </c>
      <c r="I35" s="37">
        <v>159</v>
      </c>
      <c r="J35" s="37">
        <f ca="1" t="shared" si="0"/>
        <v>4770</v>
      </c>
      <c r="K35" s="37"/>
      <c r="L35" s="37"/>
      <c r="M35" s="37"/>
      <c r="N35" s="37">
        <f ca="1" t="shared" si="1"/>
        <v>4770</v>
      </c>
      <c r="O35" s="37">
        <f ca="1" t="shared" si="2"/>
        <v>1.325</v>
      </c>
      <c r="P35" s="37"/>
      <c r="Q35" s="37"/>
    </row>
    <row r="36" s="30" customFormat="1" ht="20" customHeight="1" spans="1:17">
      <c r="A36" s="36">
        <v>46096</v>
      </c>
      <c r="B36" s="37"/>
      <c r="C36" s="38"/>
      <c r="D36" s="5" t="s">
        <v>84</v>
      </c>
      <c r="E36" s="5" t="s">
        <v>78</v>
      </c>
      <c r="F36" s="37">
        <v>780</v>
      </c>
      <c r="G36" s="5" t="s">
        <v>132</v>
      </c>
      <c r="H36" s="37">
        <f ca="1" t="array" ref="H36">INDEX(成本核算表!J:J,MATCH(1,(成本核算表!D:D=E36)*(成本核算表!C:C=G36),0))</f>
        <v>30</v>
      </c>
      <c r="I36" s="37">
        <v>132</v>
      </c>
      <c r="J36" s="37">
        <f ca="1" t="shared" si="0"/>
        <v>3960</v>
      </c>
      <c r="K36" s="37"/>
      <c r="L36" s="37">
        <v>7200</v>
      </c>
      <c r="M36" s="37"/>
      <c r="N36" s="37">
        <f ca="1" t="shared" si="1"/>
        <v>11160</v>
      </c>
      <c r="O36" s="37">
        <f ca="1" t="shared" si="2"/>
        <v>3.1</v>
      </c>
      <c r="P36" s="37"/>
      <c r="Q36" s="5" t="s">
        <v>250</v>
      </c>
    </row>
    <row r="37" s="30" customFormat="1" ht="20" customHeight="1" spans="1:17">
      <c r="A37" s="36">
        <v>46097</v>
      </c>
      <c r="B37" s="37">
        <v>11</v>
      </c>
      <c r="C37" s="38">
        <f ca="1">SUM(O37:O39)/B37</f>
        <v>0.842424242424243</v>
      </c>
      <c r="D37" s="5" t="s">
        <v>80</v>
      </c>
      <c r="E37" s="5" t="s">
        <v>78</v>
      </c>
      <c r="F37" s="37">
        <v>1960</v>
      </c>
      <c r="G37" s="5" t="s">
        <v>132</v>
      </c>
      <c r="H37" s="37">
        <f ca="1" t="array" ref="H37">INDEX(成本核算表!J:J,MATCH(1,(成本核算表!D:D=E37)*(成本核算表!C:C=G37),0))</f>
        <v>30</v>
      </c>
      <c r="I37" s="37">
        <v>393</v>
      </c>
      <c r="J37" s="37">
        <f ca="1" t="shared" si="0"/>
        <v>11790</v>
      </c>
      <c r="K37" s="37"/>
      <c r="L37" s="37">
        <v>10800</v>
      </c>
      <c r="M37" s="37"/>
      <c r="N37" s="37">
        <f ca="1" t="shared" si="1"/>
        <v>22590</v>
      </c>
      <c r="O37" s="37">
        <f ca="1" t="shared" si="2"/>
        <v>6.275</v>
      </c>
      <c r="P37" s="37"/>
      <c r="Q37" s="5" t="s">
        <v>251</v>
      </c>
    </row>
    <row r="38" s="30" customFormat="1" ht="20" customHeight="1" spans="1:17">
      <c r="A38" s="36">
        <v>46097</v>
      </c>
      <c r="B38" s="37"/>
      <c r="C38" s="38"/>
      <c r="D38" s="5" t="s">
        <v>77</v>
      </c>
      <c r="E38" s="5" t="s">
        <v>78</v>
      </c>
      <c r="F38" s="37">
        <v>1960</v>
      </c>
      <c r="G38" s="5" t="s">
        <v>132</v>
      </c>
      <c r="H38" s="37">
        <f ca="1" t="array" ref="H38">INDEX(成本核算表!J:J,MATCH(1,(成本核算表!D:D=E38)*(成本核算表!C:C=G38),0))</f>
        <v>30</v>
      </c>
      <c r="I38" s="37">
        <v>202</v>
      </c>
      <c r="J38" s="37">
        <f ca="1" t="shared" si="0"/>
        <v>6060</v>
      </c>
      <c r="K38" s="37"/>
      <c r="L38" s="37"/>
      <c r="M38" s="37"/>
      <c r="N38" s="37">
        <f ca="1" t="shared" si="1"/>
        <v>6060</v>
      </c>
      <c r="O38" s="37">
        <f ca="1" t="shared" si="2"/>
        <v>1.68333333333333</v>
      </c>
      <c r="P38" s="37"/>
      <c r="Q38" s="37"/>
    </row>
    <row r="39" s="30" customFormat="1" ht="20" customHeight="1" spans="1:17">
      <c r="A39" s="36">
        <v>46097</v>
      </c>
      <c r="B39" s="37"/>
      <c r="C39" s="38"/>
      <c r="D39" s="5" t="s">
        <v>84</v>
      </c>
      <c r="E39" s="5" t="s">
        <v>78</v>
      </c>
      <c r="F39" s="37">
        <v>780</v>
      </c>
      <c r="G39" s="5" t="s">
        <v>132</v>
      </c>
      <c r="H39" s="37">
        <f ca="1" t="array" ref="H39">INDEX(成本核算表!J:J,MATCH(1,(成本核算表!D:D=E39)*(成本核算表!C:C=G39),0))</f>
        <v>30</v>
      </c>
      <c r="I39" s="37">
        <v>157</v>
      </c>
      <c r="J39" s="37">
        <f ca="1" t="shared" si="0"/>
        <v>4710</v>
      </c>
      <c r="K39" s="37"/>
      <c r="L39" s="37"/>
      <c r="M39" s="37"/>
      <c r="N39" s="37">
        <f ca="1" t="shared" si="1"/>
        <v>4710</v>
      </c>
      <c r="O39" s="37">
        <f ca="1" t="shared" si="2"/>
        <v>1.30833333333333</v>
      </c>
      <c r="P39" s="37"/>
      <c r="Q39" s="37"/>
    </row>
    <row r="40" s="30" customFormat="1" ht="20" customHeight="1" spans="1:17">
      <c r="A40" s="36">
        <v>46098</v>
      </c>
      <c r="B40" s="37">
        <v>11</v>
      </c>
      <c r="C40" s="38">
        <f ca="1">SUM(O40:O41)/B40</f>
        <v>0.993181818181818</v>
      </c>
      <c r="D40" s="5" t="s">
        <v>84</v>
      </c>
      <c r="E40" s="5" t="s">
        <v>78</v>
      </c>
      <c r="F40" s="37">
        <v>780</v>
      </c>
      <c r="G40" s="5" t="s">
        <v>132</v>
      </c>
      <c r="H40" s="37">
        <f ca="1" t="array" ref="H40">INDEX(成本核算表!J:J,MATCH(1,(成本核算表!D:D=E40)*(成本核算表!C:C=G40),0))</f>
        <v>30</v>
      </c>
      <c r="I40" s="37">
        <v>511</v>
      </c>
      <c r="J40" s="37">
        <f ca="1" t="shared" si="0"/>
        <v>15330</v>
      </c>
      <c r="K40" s="37"/>
      <c r="L40" s="37"/>
      <c r="M40" s="37"/>
      <c r="N40" s="37">
        <f ca="1" t="shared" si="1"/>
        <v>15330</v>
      </c>
      <c r="O40" s="37">
        <f ca="1" t="shared" si="2"/>
        <v>4.25833333333333</v>
      </c>
      <c r="P40" s="37"/>
      <c r="Q40" s="37"/>
    </row>
    <row r="41" s="30" customFormat="1" ht="20" customHeight="1" spans="1:17">
      <c r="A41" s="36">
        <v>46098</v>
      </c>
      <c r="B41" s="37"/>
      <c r="C41" s="38"/>
      <c r="D41" s="5" t="s">
        <v>83</v>
      </c>
      <c r="E41" s="5" t="s">
        <v>78</v>
      </c>
      <c r="F41" s="37">
        <v>780</v>
      </c>
      <c r="G41" s="5" t="s">
        <v>132</v>
      </c>
      <c r="H41" s="37">
        <f ca="1" t="array" ref="H41">INDEX(成本核算表!J:J,MATCH(1,(成本核算表!D:D=E41)*(成本核算表!C:C=G41),0))</f>
        <v>30</v>
      </c>
      <c r="I41" s="37">
        <v>800</v>
      </c>
      <c r="J41" s="37">
        <f ca="1" t="shared" si="0"/>
        <v>24000</v>
      </c>
      <c r="K41" s="37"/>
      <c r="L41" s="37"/>
      <c r="M41" s="37"/>
      <c r="N41" s="37">
        <f ca="1" t="shared" si="1"/>
        <v>24000</v>
      </c>
      <c r="O41" s="37">
        <f ca="1" t="shared" si="2"/>
        <v>6.66666666666667</v>
      </c>
      <c r="P41" s="37"/>
      <c r="Q41" s="37"/>
    </row>
    <row r="42" s="30" customFormat="1" ht="20" customHeight="1" spans="1:17">
      <c r="A42" s="36"/>
      <c r="B42" s="32"/>
      <c r="C42" s="33"/>
      <c r="D42" s="32"/>
      <c r="E42" s="32"/>
      <c r="F42" s="32"/>
      <c r="G42" s="32"/>
      <c r="H42" s="37">
        <f ca="1" t="array" ref="H42">INDEX(成本核算表!J:J,MATCH(1,(成本核算表!D:D=E42)*(成本核算表!C:C=G42),0))</f>
        <v>0</v>
      </c>
      <c r="I42" s="37"/>
      <c r="J42" s="37">
        <f ca="1" t="shared" si="0"/>
        <v>0</v>
      </c>
      <c r="K42" s="32"/>
      <c r="L42" s="32"/>
      <c r="N42" s="37">
        <f ca="1" t="shared" si="1"/>
        <v>0</v>
      </c>
      <c r="O42" s="37">
        <f ca="1" t="shared" si="2"/>
        <v>0</v>
      </c>
    </row>
    <row r="43" s="30" customFormat="1" ht="20" customHeight="1" spans="1:17">
      <c r="A43" s="36">
        <v>46100</v>
      </c>
      <c r="B43" s="32">
        <v>11</v>
      </c>
      <c r="C43" s="38">
        <f ca="1">SUM(O43:O45)/B43</f>
        <v>1.0530303030303</v>
      </c>
      <c r="D43" s="5" t="s">
        <v>80</v>
      </c>
      <c r="E43" s="5" t="s">
        <v>78</v>
      </c>
      <c r="F43" s="37">
        <v>1960</v>
      </c>
      <c r="G43" s="5" t="s">
        <v>132</v>
      </c>
      <c r="H43" s="37">
        <f ca="1" t="array" ref="H43">INDEX(成本核算表!J:J,MATCH(1,(成本核算表!D:D=E43)*(成本核算表!C:C=G43),0))</f>
        <v>30</v>
      </c>
      <c r="I43" s="37">
        <v>400</v>
      </c>
      <c r="J43" s="37">
        <f ca="1" t="shared" si="0"/>
        <v>12000</v>
      </c>
      <c r="K43" s="32"/>
      <c r="L43" s="32">
        <v>14400</v>
      </c>
      <c r="N43" s="37">
        <f ca="1" t="shared" si="1"/>
        <v>26400</v>
      </c>
      <c r="O43" s="37">
        <f ca="1" t="shared" si="2"/>
        <v>7.33333333333333</v>
      </c>
      <c r="Q43" s="43" t="s">
        <v>133</v>
      </c>
    </row>
    <row r="44" s="30" customFormat="1" ht="20" customHeight="1" spans="1:17">
      <c r="A44" s="36">
        <v>46100</v>
      </c>
      <c r="B44" s="32"/>
      <c r="C44" s="33"/>
      <c r="D44" s="5" t="s">
        <v>77</v>
      </c>
      <c r="E44" s="5" t="s">
        <v>78</v>
      </c>
      <c r="F44" s="37">
        <v>1960</v>
      </c>
      <c r="G44" s="5" t="s">
        <v>132</v>
      </c>
      <c r="H44" s="37">
        <f ca="1" t="array" ref="H44">INDEX(成本核算表!J:J,MATCH(1,(成本核算表!D:D=E44)*(成本核算表!C:C=G44),0))</f>
        <v>30</v>
      </c>
      <c r="I44" s="37">
        <v>400</v>
      </c>
      <c r="J44" s="37">
        <f ca="1" t="shared" si="0"/>
        <v>12000</v>
      </c>
      <c r="K44" s="32"/>
      <c r="L44" s="32"/>
      <c r="N44" s="37">
        <f ca="1" t="shared" si="1"/>
        <v>12000</v>
      </c>
      <c r="O44" s="37">
        <f ca="1" t="shared" si="2"/>
        <v>3.33333333333333</v>
      </c>
    </row>
    <row r="45" s="30" customFormat="1" ht="20" customHeight="1" spans="1:17">
      <c r="A45" s="36">
        <v>46100</v>
      </c>
      <c r="B45" s="32"/>
      <c r="C45" s="33"/>
      <c r="D45" s="5" t="s">
        <v>84</v>
      </c>
      <c r="E45" s="5" t="s">
        <v>78</v>
      </c>
      <c r="F45" s="37">
        <v>780</v>
      </c>
      <c r="G45" s="5" t="s">
        <v>132</v>
      </c>
      <c r="H45" s="37">
        <f ca="1" t="array" ref="H45">INDEX(成本核算表!J:J,MATCH(1,(成本核算表!D:D=E45)*(成本核算表!C:C=G45),0))</f>
        <v>30</v>
      </c>
      <c r="I45" s="37">
        <v>110</v>
      </c>
      <c r="J45" s="37">
        <f ca="1" t="shared" si="0"/>
        <v>3300</v>
      </c>
      <c r="K45" s="32"/>
      <c r="L45" s="32"/>
      <c r="N45" s="37">
        <f ca="1" t="shared" si="1"/>
        <v>3300</v>
      </c>
      <c r="O45" s="37">
        <f ca="1" t="shared" si="2"/>
        <v>0.916666666666667</v>
      </c>
    </row>
    <row r="46" s="30" customFormat="1" ht="20" customHeight="1" spans="1:17">
      <c r="A46" s="27">
        <v>46101</v>
      </c>
      <c r="B46" s="6">
        <v>11</v>
      </c>
      <c r="C46" s="38">
        <f ca="1">SUM(O46:O49)/B46</f>
        <v>1.06060606060606</v>
      </c>
      <c r="D46" s="5" t="s">
        <v>235</v>
      </c>
      <c r="E46" s="5" t="s">
        <v>78</v>
      </c>
      <c r="F46" s="37">
        <v>780</v>
      </c>
      <c r="G46" s="5" t="s">
        <v>132</v>
      </c>
      <c r="H46" s="6">
        <f ca="1" t="array" ref="H46">INDEX(成本核算表!J:J,MATCH(1,(成本核算表!D:D=E46)*(成本核算表!C:C=G46),0))</f>
        <v>30</v>
      </c>
      <c r="I46" s="6">
        <v>240</v>
      </c>
      <c r="J46" s="6">
        <f ca="1" t="shared" si="0"/>
        <v>7200</v>
      </c>
      <c r="K46" s="32"/>
      <c r="L46" s="32">
        <v>10800</v>
      </c>
      <c r="N46" s="37">
        <f ca="1" t="shared" si="1"/>
        <v>18000</v>
      </c>
      <c r="O46" s="37">
        <f ca="1" t="shared" si="2"/>
        <v>5</v>
      </c>
      <c r="Q46" s="43" t="s">
        <v>236</v>
      </c>
    </row>
    <row r="47" s="30" customFormat="1" ht="20" customHeight="1" spans="1:17">
      <c r="A47" s="27">
        <v>46101</v>
      </c>
      <c r="B47" s="6"/>
      <c r="C47" s="28"/>
      <c r="D47" s="5" t="s">
        <v>237</v>
      </c>
      <c r="E47" s="5" t="s">
        <v>78</v>
      </c>
      <c r="F47" s="37">
        <v>780</v>
      </c>
      <c r="G47" s="5" t="s">
        <v>132</v>
      </c>
      <c r="H47" s="6">
        <f ca="1" t="array" ref="H47">INDEX(成本核算表!J:J,MATCH(1,(成本核算表!D:D=E47)*(成本核算表!C:C=G47),0))</f>
        <v>30</v>
      </c>
      <c r="I47" s="6">
        <v>200</v>
      </c>
      <c r="J47" s="6">
        <f ca="1" t="shared" si="0"/>
        <v>6000</v>
      </c>
      <c r="K47" s="32"/>
      <c r="L47" s="32"/>
      <c r="N47" s="37">
        <f ca="1" t="shared" si="1"/>
        <v>6000</v>
      </c>
      <c r="O47" s="37">
        <f ca="1" t="shared" si="2"/>
        <v>1.66666666666667</v>
      </c>
    </row>
    <row r="48" s="30" customFormat="1" ht="20" customHeight="1" spans="1:17">
      <c r="A48" s="27">
        <v>46101</v>
      </c>
      <c r="B48" s="23"/>
      <c r="C48" s="24"/>
      <c r="D48" s="5" t="s">
        <v>123</v>
      </c>
      <c r="E48" s="5" t="s">
        <v>78</v>
      </c>
      <c r="F48" s="37">
        <v>1960</v>
      </c>
      <c r="G48" s="5" t="s">
        <v>132</v>
      </c>
      <c r="H48" s="6">
        <f ca="1" t="array" ref="H48">INDEX(成本核算表!J:J,MATCH(1,(成本核算表!D:D=E48)*(成本核算表!C:C=G48),0))</f>
        <v>30</v>
      </c>
      <c r="I48" s="6">
        <v>300</v>
      </c>
      <c r="J48" s="6">
        <f ca="1" t="shared" si="0"/>
        <v>9000</v>
      </c>
      <c r="K48" s="32"/>
      <c r="L48" s="32"/>
      <c r="N48" s="37">
        <f ca="1" t="shared" si="1"/>
        <v>9000</v>
      </c>
      <c r="O48" s="37">
        <f ca="1" t="shared" si="2"/>
        <v>2.5</v>
      </c>
    </row>
    <row r="49" s="30" customFormat="1" ht="20" customHeight="1" spans="1:15">
      <c r="A49" s="27">
        <v>46101</v>
      </c>
      <c r="B49" s="23"/>
      <c r="C49" s="24"/>
      <c r="D49" s="5" t="s">
        <v>124</v>
      </c>
      <c r="E49" s="5" t="s">
        <v>78</v>
      </c>
      <c r="F49" s="37">
        <v>1960</v>
      </c>
      <c r="G49" s="5" t="s">
        <v>132</v>
      </c>
      <c r="H49" s="6">
        <f ca="1" t="array" ref="H49">INDEX(成本核算表!J:J,MATCH(1,(成本核算表!D:D=E49)*(成本核算表!C:C=G49),0))</f>
        <v>30</v>
      </c>
      <c r="I49" s="6">
        <v>300</v>
      </c>
      <c r="J49" s="6">
        <f ca="1" t="shared" si="0"/>
        <v>9000</v>
      </c>
      <c r="K49" s="32"/>
      <c r="L49" s="32"/>
      <c r="N49" s="37">
        <f ca="1" t="shared" si="1"/>
        <v>9000</v>
      </c>
      <c r="O49" s="37">
        <f ca="1" t="shared" si="2"/>
        <v>2.5</v>
      </c>
    </row>
    <row r="50" s="30" customFormat="1" ht="20" customHeight="1" spans="1:15">
      <c r="A50" s="36"/>
      <c r="B50" s="32"/>
      <c r="C50" s="33"/>
      <c r="D50" s="32"/>
      <c r="E50" s="32"/>
      <c r="F50" s="32"/>
      <c r="G50" s="32"/>
      <c r="H50" s="37">
        <f ca="1" t="array" ref="H50">INDEX(成本核算表!J:J,MATCH(1,(成本核算表!D:D=E50)*(成本核算表!C:C=G50),0))</f>
        <v>0</v>
      </c>
      <c r="I50" s="37"/>
      <c r="J50" s="37">
        <f ca="1" t="shared" si="0"/>
        <v>0</v>
      </c>
      <c r="K50" s="32"/>
      <c r="L50" s="32"/>
      <c r="N50" s="37">
        <f ca="1" t="shared" si="1"/>
        <v>0</v>
      </c>
      <c r="O50" s="37">
        <f ca="1" t="shared" si="2"/>
        <v>0</v>
      </c>
    </row>
    <row r="51" s="30" customFormat="1" ht="20" customHeight="1" spans="1:15">
      <c r="A51" s="36"/>
      <c r="B51" s="32"/>
      <c r="C51" s="33"/>
      <c r="D51" s="32"/>
      <c r="E51" s="32"/>
      <c r="F51" s="32"/>
      <c r="G51" s="32"/>
      <c r="H51" s="37">
        <f ca="1" t="array" ref="H51">INDEX(成本核算表!J:J,MATCH(1,(成本核算表!D:D=E51)*(成本核算表!C:C=G51),0))</f>
        <v>0</v>
      </c>
      <c r="I51" s="37"/>
      <c r="J51" s="37">
        <f ca="1" t="shared" si="0"/>
        <v>0</v>
      </c>
      <c r="K51" s="32"/>
      <c r="L51" s="32"/>
      <c r="N51" s="37">
        <f ca="1" t="shared" si="1"/>
        <v>0</v>
      </c>
      <c r="O51" s="37">
        <f ca="1" t="shared" si="2"/>
        <v>0</v>
      </c>
    </row>
    <row r="52" s="30" customFormat="1" ht="20" customHeight="1" spans="1:15">
      <c r="A52" s="36"/>
      <c r="B52" s="32"/>
      <c r="C52" s="33"/>
      <c r="D52" s="32"/>
      <c r="E52" s="32"/>
      <c r="F52" s="32"/>
      <c r="G52" s="32"/>
      <c r="H52" s="37">
        <f ca="1" t="array" ref="H52">INDEX(成本核算表!J:J,MATCH(1,(成本核算表!D:D=E52)*(成本核算表!C:C=G52),0))</f>
        <v>0</v>
      </c>
      <c r="I52" s="37"/>
      <c r="J52" s="37">
        <f ca="1" t="shared" si="0"/>
        <v>0</v>
      </c>
      <c r="K52" s="32"/>
      <c r="L52" s="32"/>
      <c r="N52" s="37">
        <f ca="1" t="shared" si="1"/>
        <v>0</v>
      </c>
      <c r="O52" s="37">
        <f ca="1" t="shared" si="2"/>
        <v>0</v>
      </c>
    </row>
    <row r="53" s="30" customFormat="1" ht="20" customHeight="1" spans="1:15">
      <c r="A53" s="36"/>
      <c r="B53" s="32"/>
      <c r="C53" s="33"/>
      <c r="D53" s="32"/>
      <c r="E53" s="32"/>
      <c r="F53" s="32"/>
      <c r="G53" s="32"/>
      <c r="H53" s="37">
        <f ca="1" t="array" ref="H53">INDEX(成本核算表!J:J,MATCH(1,(成本核算表!D:D=E53)*(成本核算表!C:C=G53),0))</f>
        <v>0</v>
      </c>
      <c r="I53" s="37"/>
      <c r="J53" s="37">
        <f ca="1" t="shared" si="0"/>
        <v>0</v>
      </c>
      <c r="K53" s="32"/>
      <c r="L53" s="32"/>
      <c r="N53" s="37">
        <f ca="1" t="shared" si="1"/>
        <v>0</v>
      </c>
      <c r="O53" s="37">
        <f ca="1" t="shared" si="2"/>
        <v>0</v>
      </c>
    </row>
    <row r="54" s="30" customFormat="1" ht="20" customHeight="1" spans="1:15">
      <c r="A54" s="36"/>
      <c r="B54" s="32"/>
      <c r="C54" s="33"/>
      <c r="D54" s="32"/>
      <c r="E54" s="32"/>
      <c r="F54" s="32"/>
      <c r="G54" s="32"/>
      <c r="H54" s="37">
        <f ca="1" t="array" ref="H54">INDEX(成本核算表!J:J,MATCH(1,(成本核算表!D:D=E54)*(成本核算表!C:C=G54),0))</f>
        <v>0</v>
      </c>
      <c r="I54" s="37"/>
      <c r="J54" s="37">
        <f ca="1" t="shared" si="0"/>
        <v>0</v>
      </c>
      <c r="K54" s="32"/>
      <c r="L54" s="32"/>
      <c r="N54" s="37">
        <f ca="1" t="shared" si="1"/>
        <v>0</v>
      </c>
      <c r="O54" s="37">
        <f ca="1" t="shared" si="2"/>
        <v>0</v>
      </c>
    </row>
    <row r="55" s="30" customFormat="1" ht="20" customHeight="1" spans="1:15">
      <c r="A55" s="36"/>
      <c r="B55" s="32"/>
      <c r="C55" s="33"/>
      <c r="D55" s="32"/>
      <c r="E55" s="32"/>
      <c r="F55" s="32"/>
      <c r="G55" s="32"/>
      <c r="H55" s="37">
        <f ca="1" t="array" ref="H55">INDEX(成本核算表!J:J,MATCH(1,(成本核算表!D:D=E55)*(成本核算表!C:C=G55),0))</f>
        <v>0</v>
      </c>
      <c r="I55" s="37"/>
      <c r="J55" s="37">
        <f ca="1" t="shared" si="0"/>
        <v>0</v>
      </c>
      <c r="K55" s="32"/>
      <c r="L55" s="32"/>
      <c r="N55" s="37">
        <f ca="1" t="shared" si="1"/>
        <v>0</v>
      </c>
      <c r="O55" s="37">
        <f ca="1" t="shared" si="2"/>
        <v>0</v>
      </c>
    </row>
    <row r="56" s="30" customFormat="1" ht="20" customHeight="1" spans="1:15">
      <c r="A56" s="36"/>
      <c r="B56" s="32"/>
      <c r="C56" s="33"/>
      <c r="D56" s="32"/>
      <c r="E56" s="32"/>
      <c r="F56" s="32"/>
      <c r="G56" s="32"/>
      <c r="H56" s="37">
        <f ca="1" t="array" ref="H56">INDEX(成本核算表!J:J,MATCH(1,(成本核算表!D:D=E56)*(成本核算表!C:C=G56),0))</f>
        <v>0</v>
      </c>
      <c r="I56" s="37"/>
      <c r="J56" s="37">
        <f ca="1" t="shared" si="0"/>
        <v>0</v>
      </c>
      <c r="K56" s="32"/>
      <c r="L56" s="32"/>
      <c r="N56" s="37">
        <f ca="1" t="shared" si="1"/>
        <v>0</v>
      </c>
      <c r="O56" s="37">
        <f ca="1" t="shared" si="2"/>
        <v>0</v>
      </c>
    </row>
    <row r="57" s="30" customFormat="1" ht="20" customHeight="1" spans="1:15">
      <c r="A57" s="36"/>
      <c r="B57" s="32"/>
      <c r="C57" s="33"/>
      <c r="D57" s="32"/>
      <c r="E57" s="32"/>
      <c r="F57" s="32"/>
      <c r="G57" s="32"/>
      <c r="H57" s="37">
        <f ca="1" t="array" ref="H57">INDEX(成本核算表!J:J,MATCH(1,(成本核算表!D:D=E57)*(成本核算表!C:C=G57),0))</f>
        <v>0</v>
      </c>
      <c r="I57" s="37"/>
      <c r="J57" s="37">
        <f ca="1" t="shared" si="0"/>
        <v>0</v>
      </c>
      <c r="K57" s="32"/>
      <c r="L57" s="32"/>
      <c r="N57" s="37">
        <f ca="1" t="shared" si="1"/>
        <v>0</v>
      </c>
      <c r="O57" s="37">
        <f ca="1" t="shared" si="2"/>
        <v>0</v>
      </c>
    </row>
    <row r="58" s="30" customFormat="1" ht="20" customHeight="1" spans="1:15">
      <c r="A58" s="36"/>
      <c r="B58" s="32"/>
      <c r="C58" s="33"/>
      <c r="D58" s="32"/>
      <c r="E58" s="32"/>
      <c r="F58" s="32"/>
      <c r="G58" s="32"/>
      <c r="H58" s="37">
        <f ca="1" t="array" ref="H58">INDEX(成本核算表!J:J,MATCH(1,(成本核算表!D:D=E58)*(成本核算表!C:C=G58),0))</f>
        <v>0</v>
      </c>
      <c r="I58" s="37"/>
      <c r="J58" s="37">
        <f ca="1" t="shared" si="0"/>
        <v>0</v>
      </c>
      <c r="K58" s="32"/>
      <c r="L58" s="32"/>
      <c r="N58" s="37">
        <f ca="1" t="shared" si="1"/>
        <v>0</v>
      </c>
      <c r="O58" s="37">
        <f ca="1" t="shared" si="2"/>
        <v>0</v>
      </c>
    </row>
    <row r="59" s="30" customFormat="1" ht="20" customHeight="1" spans="1:15">
      <c r="A59" s="36"/>
      <c r="B59" s="32"/>
      <c r="C59" s="33"/>
      <c r="D59" s="32"/>
      <c r="E59" s="32"/>
      <c r="F59" s="32"/>
      <c r="G59" s="32"/>
      <c r="H59" s="37">
        <f ca="1" t="array" ref="H59">INDEX(成本核算表!J:J,MATCH(1,(成本核算表!D:D=E59)*(成本核算表!C:C=G59),0))</f>
        <v>0</v>
      </c>
      <c r="I59" s="37"/>
      <c r="J59" s="37">
        <f ca="1" t="shared" si="0"/>
        <v>0</v>
      </c>
      <c r="K59" s="32"/>
      <c r="L59" s="32"/>
      <c r="N59" s="37">
        <f ca="1" t="shared" si="1"/>
        <v>0</v>
      </c>
      <c r="O59" s="37">
        <f ca="1" t="shared" si="2"/>
        <v>0</v>
      </c>
    </row>
    <row r="60" s="30" customFormat="1" ht="20" customHeight="1" spans="1:15">
      <c r="A60" s="36"/>
      <c r="B60" s="32"/>
      <c r="C60" s="33"/>
      <c r="D60" s="32"/>
      <c r="E60" s="32"/>
      <c r="F60" s="32"/>
      <c r="G60" s="32"/>
      <c r="H60" s="37">
        <f ca="1" t="array" ref="H60">INDEX(成本核算表!J:J,MATCH(1,(成本核算表!D:D=E60)*(成本核算表!C:C=G60),0))</f>
        <v>0</v>
      </c>
      <c r="I60" s="37"/>
      <c r="J60" s="37">
        <f ca="1" t="shared" si="0"/>
        <v>0</v>
      </c>
      <c r="K60" s="32"/>
      <c r="L60" s="32"/>
      <c r="N60" s="37">
        <f ca="1" t="shared" si="1"/>
        <v>0</v>
      </c>
      <c r="O60" s="37">
        <f ca="1" t="shared" si="2"/>
        <v>0</v>
      </c>
    </row>
    <row r="61" s="30" customFormat="1" ht="20" customHeight="1" spans="1:15">
      <c r="A61" s="36"/>
      <c r="B61" s="32"/>
      <c r="C61" s="33"/>
      <c r="D61" s="32"/>
      <c r="E61" s="32"/>
      <c r="F61" s="32"/>
      <c r="G61" s="32"/>
      <c r="H61" s="37">
        <f ca="1" t="array" ref="H61">INDEX(成本核算表!J:J,MATCH(1,(成本核算表!D:D=E61)*(成本核算表!C:C=G61),0))</f>
        <v>0</v>
      </c>
      <c r="I61" s="37"/>
      <c r="J61" s="37">
        <f ca="1" t="shared" si="0"/>
        <v>0</v>
      </c>
      <c r="K61" s="32"/>
      <c r="L61" s="32"/>
      <c r="N61" s="37">
        <f ca="1" t="shared" si="1"/>
        <v>0</v>
      </c>
      <c r="O61" s="37">
        <f ca="1" t="shared" si="2"/>
        <v>0</v>
      </c>
    </row>
    <row r="62" s="30" customFormat="1" ht="20" customHeight="1" spans="1:15">
      <c r="A62" s="36"/>
      <c r="B62" s="32"/>
      <c r="C62" s="33"/>
      <c r="D62" s="32"/>
      <c r="E62" s="32"/>
      <c r="F62" s="32"/>
      <c r="G62" s="32"/>
      <c r="H62" s="37">
        <f ca="1" t="array" ref="H62">INDEX(成本核算表!J:J,MATCH(1,(成本核算表!D:D=E62)*(成本核算表!C:C=G62),0))</f>
        <v>0</v>
      </c>
      <c r="I62" s="37"/>
      <c r="J62" s="37">
        <f ca="1" t="shared" si="0"/>
        <v>0</v>
      </c>
      <c r="K62" s="32"/>
      <c r="L62" s="32"/>
      <c r="N62" s="37">
        <f ca="1" t="shared" si="1"/>
        <v>0</v>
      </c>
      <c r="O62" s="37">
        <f ca="1" t="shared" si="2"/>
        <v>0</v>
      </c>
    </row>
    <row r="63" s="30" customFormat="1" ht="20" customHeight="1" spans="1:15">
      <c r="A63" s="36"/>
      <c r="B63" s="32"/>
      <c r="C63" s="33"/>
      <c r="D63" s="32"/>
      <c r="E63" s="32"/>
      <c r="F63" s="32"/>
      <c r="G63" s="32"/>
      <c r="H63" s="37">
        <f ca="1" t="array" ref="H63">INDEX(成本核算表!J:J,MATCH(1,(成本核算表!D:D=E63)*(成本核算表!C:C=G63),0))</f>
        <v>0</v>
      </c>
      <c r="I63" s="37"/>
      <c r="J63" s="37">
        <f ca="1" t="shared" si="0"/>
        <v>0</v>
      </c>
      <c r="K63" s="32"/>
      <c r="L63" s="32"/>
      <c r="N63" s="37">
        <f ca="1" t="shared" si="1"/>
        <v>0</v>
      </c>
      <c r="O63" s="37">
        <f ca="1" t="shared" si="2"/>
        <v>0</v>
      </c>
    </row>
    <row r="64" s="30" customFormat="1" ht="20" customHeight="1" spans="1:15">
      <c r="A64" s="36"/>
      <c r="B64" s="32"/>
      <c r="C64" s="33"/>
      <c r="D64" s="32"/>
      <c r="E64" s="32"/>
      <c r="F64" s="32"/>
      <c r="G64" s="32"/>
      <c r="H64" s="37">
        <f ca="1" t="array" ref="H64">INDEX(成本核算表!J:J,MATCH(1,(成本核算表!D:D=E64)*(成本核算表!C:C=G64),0))</f>
        <v>0</v>
      </c>
      <c r="I64" s="37"/>
      <c r="J64" s="37">
        <f ca="1" t="shared" si="0"/>
        <v>0</v>
      </c>
      <c r="K64" s="32"/>
      <c r="L64" s="32"/>
      <c r="N64" s="37">
        <f ca="1" t="shared" si="1"/>
        <v>0</v>
      </c>
      <c r="O64" s="37">
        <f ca="1" t="shared" si="2"/>
        <v>0</v>
      </c>
    </row>
    <row r="65" s="30" customFormat="1" ht="20" customHeight="1" spans="1:15">
      <c r="A65" s="36"/>
      <c r="B65" s="32"/>
      <c r="C65" s="33"/>
      <c r="D65" s="32"/>
      <c r="E65" s="32"/>
      <c r="F65" s="32"/>
      <c r="G65" s="32"/>
      <c r="H65" s="37">
        <f ca="1" t="array" ref="H65">INDEX(成本核算表!J:J,MATCH(1,(成本核算表!D:D=E65)*(成本核算表!C:C=G65),0))</f>
        <v>0</v>
      </c>
      <c r="I65" s="37"/>
      <c r="J65" s="37">
        <f ca="1" t="shared" si="0"/>
        <v>0</v>
      </c>
      <c r="K65" s="32"/>
      <c r="L65" s="32"/>
      <c r="N65" s="37">
        <f ca="1" t="shared" si="1"/>
        <v>0</v>
      </c>
      <c r="O65" s="37">
        <f ca="1" t="shared" si="2"/>
        <v>0</v>
      </c>
    </row>
    <row r="66" s="30" customFormat="1" ht="20" customHeight="1" spans="1:15">
      <c r="A66" s="31"/>
      <c r="B66" s="32"/>
      <c r="C66" s="33"/>
      <c r="D66" s="32"/>
      <c r="E66" s="32"/>
      <c r="F66" s="32"/>
      <c r="G66" s="32"/>
      <c r="H66" s="37">
        <f ca="1" t="array" ref="H66">INDEX(成本核算表!J:J,MATCH(1,(成本核算表!D:D=E66)*(成本核算表!C:C=G66),0))</f>
        <v>0</v>
      </c>
      <c r="I66" s="37"/>
      <c r="J66" s="37">
        <f ca="1" t="shared" ref="J66:J101" si="4">H66*I66</f>
        <v>0</v>
      </c>
      <c r="K66" s="32"/>
      <c r="L66" s="32"/>
      <c r="N66" s="37">
        <f ca="1" t="shared" ref="N66:N101" si="5">J66-M66+L66</f>
        <v>0</v>
      </c>
      <c r="O66" s="37">
        <f ca="1" t="shared" ref="O66:O101" si="6">N66/3600</f>
        <v>0</v>
      </c>
    </row>
    <row r="67" s="30" customFormat="1" ht="20" customHeight="1" spans="1:15">
      <c r="A67" s="31"/>
      <c r="B67" s="32"/>
      <c r="C67" s="33"/>
      <c r="D67" s="32"/>
      <c r="E67" s="32"/>
      <c r="F67" s="32"/>
      <c r="G67" s="32"/>
      <c r="H67" s="37">
        <f ca="1" t="array" ref="H67">INDEX(成本核算表!J:J,MATCH(1,(成本核算表!D:D=E67)*(成本核算表!C:C=G67),0))</f>
        <v>0</v>
      </c>
      <c r="I67" s="37"/>
      <c r="J67" s="37">
        <f ca="1" t="shared" si="4"/>
        <v>0</v>
      </c>
      <c r="K67" s="32"/>
      <c r="L67" s="32"/>
      <c r="N67" s="37">
        <f ca="1" t="shared" si="5"/>
        <v>0</v>
      </c>
      <c r="O67" s="37">
        <f ca="1" t="shared" si="6"/>
        <v>0</v>
      </c>
    </row>
    <row r="68" s="30" customFormat="1" ht="20" customHeight="1" spans="1:15">
      <c r="A68" s="31"/>
      <c r="B68" s="32"/>
      <c r="C68" s="33"/>
      <c r="D68" s="32"/>
      <c r="E68" s="32"/>
      <c r="F68" s="32"/>
      <c r="G68" s="32"/>
      <c r="H68" s="37">
        <f ca="1" t="array" ref="H68">INDEX(成本核算表!J:J,MATCH(1,(成本核算表!D:D=E68)*(成本核算表!C:C=G68),0))</f>
        <v>0</v>
      </c>
      <c r="I68" s="37"/>
      <c r="J68" s="37">
        <f ca="1" t="shared" si="4"/>
        <v>0</v>
      </c>
      <c r="K68" s="32"/>
      <c r="L68" s="32"/>
      <c r="N68" s="37">
        <f ca="1" t="shared" si="5"/>
        <v>0</v>
      </c>
      <c r="O68" s="37">
        <f ca="1" t="shared" si="6"/>
        <v>0</v>
      </c>
    </row>
    <row r="69" s="30" customFormat="1" ht="20" customHeight="1" spans="1:15">
      <c r="A69" s="31"/>
      <c r="B69" s="32"/>
      <c r="C69" s="33"/>
      <c r="D69" s="32"/>
      <c r="E69" s="32"/>
      <c r="F69" s="32"/>
      <c r="G69" s="32"/>
      <c r="H69" s="37">
        <f ca="1" t="array" ref="H69">INDEX(成本核算表!J:J,MATCH(1,(成本核算表!D:D=E69)*(成本核算表!C:C=G69),0))</f>
        <v>0</v>
      </c>
      <c r="I69" s="37"/>
      <c r="J69" s="37">
        <f ca="1" t="shared" si="4"/>
        <v>0</v>
      </c>
      <c r="K69" s="32"/>
      <c r="L69" s="32"/>
      <c r="N69" s="37">
        <f ca="1" t="shared" si="5"/>
        <v>0</v>
      </c>
      <c r="O69" s="37">
        <f ca="1" t="shared" si="6"/>
        <v>0</v>
      </c>
    </row>
    <row r="70" s="30" customFormat="1" ht="20" customHeight="1" spans="1:15">
      <c r="A70" s="31"/>
      <c r="B70" s="32"/>
      <c r="C70" s="33"/>
      <c r="D70" s="32"/>
      <c r="E70" s="32"/>
      <c r="F70" s="32"/>
      <c r="G70" s="32"/>
      <c r="H70" s="37">
        <f ca="1" t="array" ref="H70">INDEX(成本核算表!J:J,MATCH(1,(成本核算表!D:D=E70)*(成本核算表!C:C=G70),0))</f>
        <v>0</v>
      </c>
      <c r="I70" s="37"/>
      <c r="J70" s="37">
        <f ca="1" t="shared" si="4"/>
        <v>0</v>
      </c>
      <c r="K70" s="32"/>
      <c r="L70" s="32"/>
      <c r="N70" s="37">
        <f ca="1" t="shared" si="5"/>
        <v>0</v>
      </c>
      <c r="O70" s="37">
        <f ca="1" t="shared" si="6"/>
        <v>0</v>
      </c>
    </row>
    <row r="71" s="30" customFormat="1" ht="20" customHeight="1" spans="1:15">
      <c r="A71" s="31"/>
      <c r="B71" s="32"/>
      <c r="C71" s="33"/>
      <c r="D71" s="32"/>
      <c r="E71" s="32"/>
      <c r="F71" s="32"/>
      <c r="G71" s="32"/>
      <c r="H71" s="37">
        <f ca="1" t="array" ref="H71">INDEX(成本核算表!J:J,MATCH(1,(成本核算表!D:D=E71)*(成本核算表!C:C=G71),0))</f>
        <v>0</v>
      </c>
      <c r="I71" s="37"/>
      <c r="J71" s="37">
        <f ca="1" t="shared" si="4"/>
        <v>0</v>
      </c>
      <c r="K71" s="32"/>
      <c r="L71" s="32"/>
      <c r="N71" s="37">
        <f ca="1" t="shared" si="5"/>
        <v>0</v>
      </c>
      <c r="O71" s="37">
        <f ca="1" t="shared" si="6"/>
        <v>0</v>
      </c>
    </row>
    <row r="72" s="30" customFormat="1" ht="20" customHeight="1" spans="1:15">
      <c r="A72" s="31"/>
      <c r="B72" s="32"/>
      <c r="C72" s="33"/>
      <c r="D72" s="32"/>
      <c r="E72" s="32"/>
      <c r="F72" s="32"/>
      <c r="G72" s="32"/>
      <c r="H72" s="37">
        <f ca="1" t="array" ref="H72">INDEX(成本核算表!J:J,MATCH(1,(成本核算表!D:D=E72)*(成本核算表!C:C=G72),0))</f>
        <v>0</v>
      </c>
      <c r="I72" s="37"/>
      <c r="J72" s="37">
        <f ca="1" t="shared" si="4"/>
        <v>0</v>
      </c>
      <c r="K72" s="32"/>
      <c r="L72" s="32"/>
      <c r="N72" s="37">
        <f ca="1" t="shared" si="5"/>
        <v>0</v>
      </c>
      <c r="O72" s="37">
        <f ca="1" t="shared" si="6"/>
        <v>0</v>
      </c>
    </row>
    <row r="73" s="30" customFormat="1" ht="20" customHeight="1" spans="1:15">
      <c r="A73" s="31"/>
      <c r="B73" s="32"/>
      <c r="C73" s="33"/>
      <c r="D73" s="32"/>
      <c r="E73" s="32"/>
      <c r="F73" s="32"/>
      <c r="G73" s="32"/>
      <c r="H73" s="37">
        <f ca="1" t="array" ref="H73">INDEX(成本核算表!J:J,MATCH(1,(成本核算表!D:D=E73)*(成本核算表!C:C=G73),0))</f>
        <v>0</v>
      </c>
      <c r="I73" s="37"/>
      <c r="J73" s="37">
        <f ca="1" t="shared" si="4"/>
        <v>0</v>
      </c>
      <c r="K73" s="32"/>
      <c r="L73" s="32"/>
      <c r="N73" s="37">
        <f ca="1" t="shared" si="5"/>
        <v>0</v>
      </c>
      <c r="O73" s="37">
        <f ca="1" t="shared" si="6"/>
        <v>0</v>
      </c>
    </row>
    <row r="74" s="30" customFormat="1" ht="20" customHeight="1" spans="1:15">
      <c r="A74" s="31"/>
      <c r="B74" s="32"/>
      <c r="C74" s="33"/>
      <c r="D74" s="32"/>
      <c r="E74" s="32"/>
      <c r="F74" s="32"/>
      <c r="G74" s="32"/>
      <c r="H74" s="37">
        <f ca="1" t="array" ref="H74">INDEX(成本核算表!J:J,MATCH(1,(成本核算表!D:D=E74)*(成本核算表!C:C=G74),0))</f>
        <v>0</v>
      </c>
      <c r="I74" s="37"/>
      <c r="J74" s="37">
        <f ca="1" t="shared" si="4"/>
        <v>0</v>
      </c>
      <c r="K74" s="32"/>
      <c r="L74" s="32"/>
      <c r="N74" s="37">
        <f ca="1" t="shared" si="5"/>
        <v>0</v>
      </c>
      <c r="O74" s="37">
        <f ca="1" t="shared" si="6"/>
        <v>0</v>
      </c>
    </row>
    <row r="75" s="30" customFormat="1" ht="20" customHeight="1" spans="1:15">
      <c r="A75" s="31"/>
      <c r="B75" s="32"/>
      <c r="C75" s="33"/>
      <c r="D75" s="32"/>
      <c r="E75" s="32"/>
      <c r="F75" s="32"/>
      <c r="G75" s="32"/>
      <c r="H75" s="37">
        <f ca="1" t="array" ref="H75">INDEX(成本核算表!J:J,MATCH(1,(成本核算表!D:D=E75)*(成本核算表!C:C=G75),0))</f>
        <v>0</v>
      </c>
      <c r="I75" s="37"/>
      <c r="J75" s="37">
        <f ca="1" t="shared" si="4"/>
        <v>0</v>
      </c>
      <c r="K75" s="32"/>
      <c r="L75" s="32"/>
      <c r="N75" s="37">
        <f ca="1" t="shared" si="5"/>
        <v>0</v>
      </c>
      <c r="O75" s="37">
        <f ca="1" t="shared" si="6"/>
        <v>0</v>
      </c>
    </row>
    <row r="76" s="30" customFormat="1" ht="20" customHeight="1" spans="1:15">
      <c r="A76" s="31"/>
      <c r="B76" s="32"/>
      <c r="C76" s="33"/>
      <c r="D76" s="32"/>
      <c r="E76" s="32"/>
      <c r="F76" s="32"/>
      <c r="G76" s="32"/>
      <c r="H76" s="37">
        <f ca="1" t="array" ref="H76">INDEX(成本核算表!J:J,MATCH(1,(成本核算表!D:D=E76)*(成本核算表!C:C=G76),0))</f>
        <v>0</v>
      </c>
      <c r="I76" s="37"/>
      <c r="J76" s="37">
        <f ca="1" t="shared" si="4"/>
        <v>0</v>
      </c>
      <c r="K76" s="32"/>
      <c r="L76" s="32"/>
      <c r="N76" s="37">
        <f ca="1" t="shared" si="5"/>
        <v>0</v>
      </c>
      <c r="O76" s="37">
        <f ca="1" t="shared" si="6"/>
        <v>0</v>
      </c>
    </row>
    <row r="77" s="30" customFormat="1" ht="20" customHeight="1" spans="1:15">
      <c r="A77" s="31"/>
      <c r="B77" s="32"/>
      <c r="C77" s="33"/>
      <c r="D77" s="32"/>
      <c r="E77" s="32"/>
      <c r="F77" s="32"/>
      <c r="G77" s="32"/>
      <c r="H77" s="37">
        <f ca="1" t="array" ref="H77">INDEX(成本核算表!J:J,MATCH(1,(成本核算表!D:D=E77)*(成本核算表!C:C=G77),0))</f>
        <v>0</v>
      </c>
      <c r="I77" s="37"/>
      <c r="J77" s="37">
        <f ca="1" t="shared" si="4"/>
        <v>0</v>
      </c>
      <c r="K77" s="32"/>
      <c r="L77" s="32"/>
      <c r="N77" s="37">
        <f ca="1" t="shared" si="5"/>
        <v>0</v>
      </c>
      <c r="O77" s="37">
        <f ca="1" t="shared" si="6"/>
        <v>0</v>
      </c>
    </row>
    <row r="78" s="30" customFormat="1" ht="20" customHeight="1" spans="1:15">
      <c r="A78" s="31"/>
      <c r="B78" s="32"/>
      <c r="C78" s="33"/>
      <c r="D78" s="32"/>
      <c r="E78" s="32"/>
      <c r="F78" s="32"/>
      <c r="G78" s="32"/>
      <c r="H78" s="37">
        <f ca="1" t="array" ref="H78">INDEX(成本核算表!J:J,MATCH(1,(成本核算表!D:D=E78)*(成本核算表!C:C=G78),0))</f>
        <v>0</v>
      </c>
      <c r="I78" s="37"/>
      <c r="J78" s="37">
        <f ca="1" t="shared" si="4"/>
        <v>0</v>
      </c>
      <c r="K78" s="32"/>
      <c r="L78" s="32"/>
      <c r="N78" s="37">
        <f ca="1" t="shared" si="5"/>
        <v>0</v>
      </c>
      <c r="O78" s="37">
        <f ca="1" t="shared" si="6"/>
        <v>0</v>
      </c>
    </row>
    <row r="79" s="30" customFormat="1" ht="20" customHeight="1" spans="1:15">
      <c r="A79" s="31"/>
      <c r="B79" s="32"/>
      <c r="C79" s="33"/>
      <c r="D79" s="32"/>
      <c r="E79" s="32"/>
      <c r="F79" s="32"/>
      <c r="G79" s="32"/>
      <c r="H79" s="37">
        <f ca="1" t="array" ref="H79">INDEX(成本核算表!J:J,MATCH(1,(成本核算表!D:D=E79)*(成本核算表!C:C=G79),0))</f>
        <v>0</v>
      </c>
      <c r="I79" s="37"/>
      <c r="J79" s="37">
        <f ca="1" t="shared" si="4"/>
        <v>0</v>
      </c>
      <c r="K79" s="32"/>
      <c r="L79" s="32"/>
      <c r="N79" s="37">
        <f ca="1" t="shared" si="5"/>
        <v>0</v>
      </c>
      <c r="O79" s="37">
        <f ca="1" t="shared" si="6"/>
        <v>0</v>
      </c>
    </row>
    <row r="80" s="30" customFormat="1" ht="20" customHeight="1" spans="1:15">
      <c r="A80" s="31"/>
      <c r="B80" s="32"/>
      <c r="C80" s="33"/>
      <c r="D80" s="32"/>
      <c r="E80" s="32"/>
      <c r="F80" s="32"/>
      <c r="G80" s="32"/>
      <c r="H80" s="37">
        <f ca="1" t="array" ref="H80">INDEX(成本核算表!J:J,MATCH(1,(成本核算表!D:D=E80)*(成本核算表!C:C=G80),0))</f>
        <v>0</v>
      </c>
      <c r="I80" s="37"/>
      <c r="J80" s="37">
        <f ca="1" t="shared" si="4"/>
        <v>0</v>
      </c>
      <c r="K80" s="32"/>
      <c r="L80" s="32"/>
      <c r="N80" s="37">
        <f ca="1" t="shared" si="5"/>
        <v>0</v>
      </c>
      <c r="O80" s="37">
        <f ca="1" t="shared" si="6"/>
        <v>0</v>
      </c>
    </row>
    <row r="81" s="30" customFormat="1" ht="20" customHeight="1" spans="1:15">
      <c r="A81" s="31"/>
      <c r="B81" s="32"/>
      <c r="C81" s="33"/>
      <c r="D81" s="32"/>
      <c r="E81" s="32"/>
      <c r="F81" s="32"/>
      <c r="G81" s="32"/>
      <c r="H81" s="37">
        <f ca="1" t="array" ref="H81">INDEX(成本核算表!J:J,MATCH(1,(成本核算表!D:D=E81)*(成本核算表!C:C=G81),0))</f>
        <v>0</v>
      </c>
      <c r="I81" s="37"/>
      <c r="J81" s="37">
        <f ca="1" t="shared" si="4"/>
        <v>0</v>
      </c>
      <c r="K81" s="32"/>
      <c r="L81" s="32"/>
      <c r="N81" s="37">
        <f ca="1" t="shared" si="5"/>
        <v>0</v>
      </c>
      <c r="O81" s="37">
        <f ca="1" t="shared" si="6"/>
        <v>0</v>
      </c>
    </row>
    <row r="82" s="30" customFormat="1" ht="20" customHeight="1" spans="1:15">
      <c r="A82" s="31"/>
      <c r="B82" s="32"/>
      <c r="C82" s="33"/>
      <c r="D82" s="32"/>
      <c r="E82" s="32"/>
      <c r="F82" s="32"/>
      <c r="G82" s="32"/>
      <c r="H82" s="37">
        <f ca="1" t="array" ref="H82">INDEX(成本核算表!J:J,MATCH(1,(成本核算表!D:D=E82)*(成本核算表!C:C=G82),0))</f>
        <v>0</v>
      </c>
      <c r="I82" s="37"/>
      <c r="J82" s="37">
        <f ca="1" t="shared" si="4"/>
        <v>0</v>
      </c>
      <c r="K82" s="32"/>
      <c r="L82" s="32"/>
      <c r="N82" s="37">
        <f ca="1" t="shared" si="5"/>
        <v>0</v>
      </c>
      <c r="O82" s="37">
        <f ca="1" t="shared" si="6"/>
        <v>0</v>
      </c>
    </row>
    <row r="83" s="30" customFormat="1" ht="20" customHeight="1" spans="1:15">
      <c r="A83" s="31"/>
      <c r="B83" s="32"/>
      <c r="C83" s="33"/>
      <c r="D83" s="32"/>
      <c r="E83" s="32"/>
      <c r="F83" s="32"/>
      <c r="G83" s="32"/>
      <c r="H83" s="37">
        <f ca="1" t="array" ref="H83">INDEX(成本核算表!J:J,MATCH(1,(成本核算表!D:D=E83)*(成本核算表!C:C=G83),0))</f>
        <v>0</v>
      </c>
      <c r="I83" s="37"/>
      <c r="J83" s="37">
        <f ca="1" t="shared" si="4"/>
        <v>0</v>
      </c>
      <c r="K83" s="32"/>
      <c r="L83" s="32"/>
      <c r="N83" s="37">
        <f ca="1" t="shared" si="5"/>
        <v>0</v>
      </c>
      <c r="O83" s="37">
        <f ca="1" t="shared" si="6"/>
        <v>0</v>
      </c>
    </row>
    <row r="84" s="30" customFormat="1" ht="20" customHeight="1" spans="1:15">
      <c r="A84" s="31"/>
      <c r="B84" s="32"/>
      <c r="C84" s="33"/>
      <c r="D84" s="32"/>
      <c r="E84" s="32"/>
      <c r="F84" s="32"/>
      <c r="G84" s="32"/>
      <c r="H84" s="37">
        <f ca="1" t="array" ref="H84">INDEX(成本核算表!J:J,MATCH(1,(成本核算表!D:D=E84)*(成本核算表!C:C=G84),0))</f>
        <v>0</v>
      </c>
      <c r="I84" s="37"/>
      <c r="J84" s="37">
        <f ca="1" t="shared" si="4"/>
        <v>0</v>
      </c>
      <c r="K84" s="32"/>
      <c r="L84" s="32"/>
      <c r="N84" s="37">
        <f ca="1" t="shared" si="5"/>
        <v>0</v>
      </c>
      <c r="O84" s="37">
        <f ca="1" t="shared" si="6"/>
        <v>0</v>
      </c>
    </row>
    <row r="85" s="30" customFormat="1" ht="20" customHeight="1" spans="1:15">
      <c r="A85" s="31"/>
      <c r="B85" s="32"/>
      <c r="C85" s="33"/>
      <c r="D85" s="32"/>
      <c r="E85" s="32"/>
      <c r="F85" s="32"/>
      <c r="G85" s="32"/>
      <c r="H85" s="37">
        <f ca="1" t="array" ref="H85">INDEX(成本核算表!J:J,MATCH(1,(成本核算表!D:D=E85)*(成本核算表!C:C=G85),0))</f>
        <v>0</v>
      </c>
      <c r="I85" s="37"/>
      <c r="J85" s="37">
        <f ca="1" t="shared" si="4"/>
        <v>0</v>
      </c>
      <c r="K85" s="32"/>
      <c r="L85" s="32"/>
      <c r="N85" s="37">
        <f ca="1" t="shared" si="5"/>
        <v>0</v>
      </c>
      <c r="O85" s="37">
        <f ca="1" t="shared" si="6"/>
        <v>0</v>
      </c>
    </row>
    <row r="86" s="30" customFormat="1" ht="20" customHeight="1" spans="1:15">
      <c r="A86" s="31"/>
      <c r="B86" s="32"/>
      <c r="C86" s="33"/>
      <c r="D86" s="32"/>
      <c r="E86" s="32"/>
      <c r="F86" s="32"/>
      <c r="G86" s="32"/>
      <c r="H86" s="37">
        <f ca="1" t="array" ref="H86">INDEX(成本核算表!J:J,MATCH(1,(成本核算表!D:D=E86)*(成本核算表!C:C=G86),0))</f>
        <v>0</v>
      </c>
      <c r="I86" s="37"/>
      <c r="J86" s="37">
        <f ca="1" t="shared" si="4"/>
        <v>0</v>
      </c>
      <c r="K86" s="32"/>
      <c r="L86" s="32"/>
      <c r="N86" s="37">
        <f ca="1" t="shared" si="5"/>
        <v>0</v>
      </c>
      <c r="O86" s="37">
        <f ca="1" t="shared" si="6"/>
        <v>0</v>
      </c>
    </row>
    <row r="87" s="30" customFormat="1" ht="20" customHeight="1" spans="1:15">
      <c r="A87" s="31"/>
      <c r="B87" s="32"/>
      <c r="C87" s="33"/>
      <c r="D87" s="32"/>
      <c r="E87" s="32"/>
      <c r="F87" s="32"/>
      <c r="G87" s="32"/>
      <c r="H87" s="37">
        <f ca="1" t="array" ref="H87">INDEX(成本核算表!J:J,MATCH(1,(成本核算表!D:D=E87)*(成本核算表!C:C=G87),0))</f>
        <v>0</v>
      </c>
      <c r="I87" s="37"/>
      <c r="J87" s="37">
        <f ca="1" t="shared" si="4"/>
        <v>0</v>
      </c>
      <c r="K87" s="32"/>
      <c r="L87" s="32"/>
      <c r="N87" s="37">
        <f ca="1" t="shared" si="5"/>
        <v>0</v>
      </c>
      <c r="O87" s="37">
        <f ca="1" t="shared" si="6"/>
        <v>0</v>
      </c>
    </row>
    <row r="88" s="30" customFormat="1" ht="20" customHeight="1" spans="1:15">
      <c r="A88" s="31"/>
      <c r="B88" s="32"/>
      <c r="C88" s="33"/>
      <c r="D88" s="32"/>
      <c r="E88" s="32"/>
      <c r="F88" s="32"/>
      <c r="G88" s="32"/>
      <c r="H88" s="37">
        <f ca="1" t="array" ref="H88">INDEX(成本核算表!J:J,MATCH(1,(成本核算表!D:D=E88)*(成本核算表!C:C=G88),0))</f>
        <v>0</v>
      </c>
      <c r="I88" s="37"/>
      <c r="J88" s="37">
        <f ca="1" t="shared" si="4"/>
        <v>0</v>
      </c>
      <c r="K88" s="32"/>
      <c r="L88" s="32"/>
      <c r="N88" s="37">
        <f ca="1" t="shared" si="5"/>
        <v>0</v>
      </c>
      <c r="O88" s="37">
        <f ca="1" t="shared" si="6"/>
        <v>0</v>
      </c>
    </row>
    <row r="89" s="30" customFormat="1" ht="20" customHeight="1" spans="1:15">
      <c r="A89" s="31"/>
      <c r="B89" s="32"/>
      <c r="C89" s="33"/>
      <c r="D89" s="32"/>
      <c r="E89" s="32"/>
      <c r="F89" s="32"/>
      <c r="G89" s="32"/>
      <c r="H89" s="37">
        <f ca="1" t="array" ref="H89">INDEX(成本核算表!J:J,MATCH(1,(成本核算表!D:D=E89)*(成本核算表!C:C=G89),0))</f>
        <v>0</v>
      </c>
      <c r="I89" s="37"/>
      <c r="J89" s="37">
        <f ca="1" t="shared" si="4"/>
        <v>0</v>
      </c>
      <c r="K89" s="32"/>
      <c r="L89" s="32"/>
      <c r="N89" s="37">
        <f ca="1" t="shared" si="5"/>
        <v>0</v>
      </c>
      <c r="O89" s="37">
        <f ca="1" t="shared" si="6"/>
        <v>0</v>
      </c>
    </row>
    <row r="90" s="30" customFormat="1" ht="20" customHeight="1" spans="1:15">
      <c r="A90" s="31"/>
      <c r="B90" s="32"/>
      <c r="C90" s="33"/>
      <c r="D90" s="32"/>
      <c r="E90" s="32"/>
      <c r="F90" s="32"/>
      <c r="G90" s="32"/>
      <c r="H90" s="37">
        <f ca="1" t="array" ref="H90">INDEX(成本核算表!J:J,MATCH(1,(成本核算表!D:D=E90)*(成本核算表!C:C=G90),0))</f>
        <v>0</v>
      </c>
      <c r="I90" s="37"/>
      <c r="J90" s="37">
        <f ca="1" t="shared" si="4"/>
        <v>0</v>
      </c>
      <c r="K90" s="32"/>
      <c r="L90" s="32"/>
      <c r="N90" s="37">
        <f ca="1" t="shared" si="5"/>
        <v>0</v>
      </c>
      <c r="O90" s="37">
        <f ca="1" t="shared" si="6"/>
        <v>0</v>
      </c>
    </row>
    <row r="91" s="30" customFormat="1" ht="20" customHeight="1" spans="1:15">
      <c r="A91" s="31"/>
      <c r="B91" s="32"/>
      <c r="C91" s="33"/>
      <c r="D91" s="32"/>
      <c r="E91" s="32"/>
      <c r="F91" s="32"/>
      <c r="G91" s="32"/>
      <c r="H91" s="37">
        <f ca="1" t="array" ref="H91">INDEX(成本核算表!J:J,MATCH(1,(成本核算表!D:D=E91)*(成本核算表!C:C=G91),0))</f>
        <v>0</v>
      </c>
      <c r="I91" s="37"/>
      <c r="J91" s="37">
        <f ca="1" t="shared" si="4"/>
        <v>0</v>
      </c>
      <c r="K91" s="32"/>
      <c r="L91" s="32"/>
      <c r="N91" s="37">
        <f ca="1" t="shared" si="5"/>
        <v>0</v>
      </c>
      <c r="O91" s="37">
        <f ca="1" t="shared" si="6"/>
        <v>0</v>
      </c>
    </row>
    <row r="92" s="30" customFormat="1" ht="20" customHeight="1" spans="1:15">
      <c r="A92" s="31"/>
      <c r="B92" s="32"/>
      <c r="C92" s="33"/>
      <c r="D92" s="32"/>
      <c r="E92" s="32"/>
      <c r="F92" s="32"/>
      <c r="G92" s="32"/>
      <c r="H92" s="37">
        <f ca="1" t="array" ref="H92">INDEX(成本核算表!J:J,MATCH(1,(成本核算表!D:D=E92)*(成本核算表!C:C=G92),0))</f>
        <v>0</v>
      </c>
      <c r="I92" s="37"/>
      <c r="J92" s="37">
        <f ca="1" t="shared" si="4"/>
        <v>0</v>
      </c>
      <c r="K92" s="32"/>
      <c r="L92" s="32"/>
      <c r="N92" s="37">
        <f ca="1" t="shared" si="5"/>
        <v>0</v>
      </c>
      <c r="O92" s="37">
        <f ca="1" t="shared" si="6"/>
        <v>0</v>
      </c>
    </row>
    <row r="93" s="30" customFormat="1" ht="20" customHeight="1" spans="1:15">
      <c r="A93" s="31"/>
      <c r="B93" s="32"/>
      <c r="C93" s="33"/>
      <c r="D93" s="32"/>
      <c r="E93" s="32"/>
      <c r="F93" s="32"/>
      <c r="G93" s="32"/>
      <c r="H93" s="37">
        <f ca="1" t="array" ref="H93">INDEX(成本核算表!J:J,MATCH(1,(成本核算表!D:D=E93)*(成本核算表!C:C=G93),0))</f>
        <v>0</v>
      </c>
      <c r="I93" s="37"/>
      <c r="J93" s="37">
        <f ca="1" t="shared" si="4"/>
        <v>0</v>
      </c>
      <c r="K93" s="32"/>
      <c r="L93" s="32"/>
      <c r="N93" s="37">
        <f ca="1" t="shared" si="5"/>
        <v>0</v>
      </c>
      <c r="O93" s="37">
        <f ca="1" t="shared" si="6"/>
        <v>0</v>
      </c>
    </row>
    <row r="94" s="30" customFormat="1" ht="20" customHeight="1" spans="1:15">
      <c r="A94" s="31"/>
      <c r="B94" s="32"/>
      <c r="C94" s="33"/>
      <c r="D94" s="32"/>
      <c r="E94" s="32"/>
      <c r="F94" s="32"/>
      <c r="G94" s="32"/>
      <c r="H94" s="34"/>
      <c r="I94" s="34"/>
      <c r="J94" s="37">
        <f t="shared" si="4"/>
        <v>0</v>
      </c>
      <c r="K94" s="32"/>
      <c r="L94" s="32"/>
      <c r="N94" s="37">
        <f t="shared" si="5"/>
        <v>0</v>
      </c>
      <c r="O94" s="37">
        <f t="shared" si="6"/>
        <v>0</v>
      </c>
    </row>
    <row r="95" s="30" customFormat="1" ht="20" customHeight="1" spans="1:15">
      <c r="A95" s="31"/>
      <c r="B95" s="32"/>
      <c r="C95" s="33"/>
      <c r="D95" s="32"/>
      <c r="E95" s="32"/>
      <c r="F95" s="32"/>
      <c r="G95" s="32"/>
      <c r="H95" s="34"/>
      <c r="I95" s="34"/>
      <c r="J95" s="37">
        <f t="shared" si="4"/>
        <v>0</v>
      </c>
      <c r="K95" s="32"/>
      <c r="L95" s="32"/>
      <c r="N95" s="37">
        <f t="shared" si="5"/>
        <v>0</v>
      </c>
      <c r="O95" s="37">
        <f t="shared" si="6"/>
        <v>0</v>
      </c>
    </row>
    <row r="96" s="30" customFormat="1" ht="20" customHeight="1" spans="1:15">
      <c r="A96" s="31"/>
      <c r="B96" s="32"/>
      <c r="C96" s="33"/>
      <c r="D96" s="32"/>
      <c r="E96" s="32"/>
      <c r="F96" s="32"/>
      <c r="G96" s="32"/>
      <c r="H96" s="34"/>
      <c r="I96" s="34"/>
      <c r="J96" s="37">
        <f t="shared" si="4"/>
        <v>0</v>
      </c>
      <c r="K96" s="32"/>
      <c r="L96" s="32"/>
      <c r="N96" s="37">
        <f t="shared" si="5"/>
        <v>0</v>
      </c>
      <c r="O96" s="37">
        <f t="shared" si="6"/>
        <v>0</v>
      </c>
    </row>
    <row r="97" s="30" customFormat="1" ht="20" customHeight="1" spans="1:15">
      <c r="A97" s="31"/>
      <c r="B97" s="32"/>
      <c r="C97" s="33"/>
      <c r="D97" s="32"/>
      <c r="E97" s="32"/>
      <c r="F97" s="32"/>
      <c r="G97" s="32"/>
      <c r="H97" s="34"/>
      <c r="I97" s="34"/>
      <c r="J97" s="37">
        <f t="shared" si="4"/>
        <v>0</v>
      </c>
      <c r="K97" s="32"/>
      <c r="L97" s="32"/>
      <c r="N97" s="37">
        <f t="shared" si="5"/>
        <v>0</v>
      </c>
      <c r="O97" s="37">
        <f t="shared" si="6"/>
        <v>0</v>
      </c>
    </row>
    <row r="98" s="30" customFormat="1" ht="20" customHeight="1" spans="1:15">
      <c r="A98" s="31"/>
      <c r="B98" s="32"/>
      <c r="C98" s="33"/>
      <c r="D98" s="32"/>
      <c r="E98" s="32"/>
      <c r="F98" s="32"/>
      <c r="G98" s="32"/>
      <c r="H98" s="34"/>
      <c r="I98" s="34"/>
      <c r="J98" s="37">
        <f t="shared" si="4"/>
        <v>0</v>
      </c>
      <c r="K98" s="32"/>
      <c r="L98" s="32"/>
      <c r="N98" s="37">
        <f t="shared" si="5"/>
        <v>0</v>
      </c>
      <c r="O98" s="37">
        <f t="shared" si="6"/>
        <v>0</v>
      </c>
    </row>
    <row r="99" s="30" customFormat="1" ht="20" customHeight="1" spans="1:15">
      <c r="A99" s="31"/>
      <c r="B99" s="32"/>
      <c r="C99" s="33"/>
      <c r="D99" s="32"/>
      <c r="E99" s="32"/>
      <c r="F99" s="32"/>
      <c r="G99" s="32"/>
      <c r="H99" s="34"/>
      <c r="I99" s="34"/>
      <c r="J99" s="37">
        <f t="shared" si="4"/>
        <v>0</v>
      </c>
      <c r="K99" s="32"/>
      <c r="L99" s="32"/>
      <c r="N99" s="37">
        <f t="shared" si="5"/>
        <v>0</v>
      </c>
      <c r="O99" s="37">
        <f t="shared" si="6"/>
        <v>0</v>
      </c>
    </row>
    <row r="100" s="30" customFormat="1" ht="20" customHeight="1" spans="1:15">
      <c r="A100" s="31"/>
      <c r="B100" s="32"/>
      <c r="C100" s="33"/>
      <c r="D100" s="32"/>
      <c r="E100" s="32"/>
      <c r="F100" s="32"/>
      <c r="G100" s="32"/>
      <c r="H100" s="34"/>
      <c r="I100" s="34"/>
      <c r="J100" s="37">
        <f t="shared" si="4"/>
        <v>0</v>
      </c>
      <c r="K100" s="32"/>
      <c r="L100" s="32"/>
      <c r="N100" s="37">
        <f t="shared" si="5"/>
        <v>0</v>
      </c>
      <c r="O100" s="37">
        <f t="shared" si="6"/>
        <v>0</v>
      </c>
    </row>
    <row r="101" s="30" customFormat="1" ht="20" customHeight="1" spans="1:15">
      <c r="A101" s="31"/>
      <c r="B101" s="32"/>
      <c r="C101" s="33"/>
      <c r="D101" s="32"/>
      <c r="E101" s="32"/>
      <c r="F101" s="32"/>
      <c r="G101" s="32"/>
      <c r="H101" s="34"/>
      <c r="I101" s="34"/>
      <c r="J101" s="37">
        <f t="shared" si="4"/>
        <v>0</v>
      </c>
      <c r="K101" s="32"/>
      <c r="L101" s="32"/>
      <c r="N101" s="37">
        <f t="shared" si="5"/>
        <v>0</v>
      </c>
      <c r="O101" s="37">
        <f t="shared" si="6"/>
        <v>0</v>
      </c>
    </row>
    <row r="102" s="30" customFormat="1" customHeight="1" spans="1:15">
      <c r="A102" s="31"/>
      <c r="B102" s="32"/>
      <c r="C102" s="33"/>
      <c r="D102" s="32"/>
      <c r="E102" s="32"/>
      <c r="F102" s="32"/>
      <c r="G102" s="32"/>
      <c r="H102" s="34"/>
      <c r="I102" s="34"/>
      <c r="J102" s="32"/>
      <c r="K102" s="32"/>
      <c r="L102" s="32"/>
    </row>
    <row r="103" s="30" customFormat="1" customHeight="1" spans="1:15">
      <c r="A103" s="31"/>
      <c r="B103" s="32"/>
      <c r="C103" s="33"/>
      <c r="D103" s="32"/>
      <c r="E103" s="32"/>
      <c r="F103" s="32"/>
      <c r="G103" s="32"/>
      <c r="H103" s="34"/>
      <c r="I103" s="34"/>
      <c r="J103" s="32"/>
      <c r="K103" s="32"/>
      <c r="L103" s="32"/>
    </row>
    <row r="104" s="30" customFormat="1" customHeight="1" spans="1:15">
      <c r="A104" s="31"/>
      <c r="B104" s="32"/>
      <c r="C104" s="33"/>
      <c r="D104" s="32"/>
      <c r="E104" s="32"/>
      <c r="F104" s="32"/>
      <c r="G104" s="32"/>
      <c r="H104" s="34"/>
      <c r="I104" s="34"/>
      <c r="J104" s="32"/>
      <c r="K104" s="32"/>
      <c r="L104" s="32"/>
    </row>
    <row r="105" s="30" customFormat="1" customHeight="1" spans="1:15">
      <c r="A105" s="31"/>
      <c r="B105" s="32"/>
      <c r="C105" s="33"/>
      <c r="D105" s="32"/>
      <c r="E105" s="32"/>
      <c r="F105" s="32"/>
      <c r="G105" s="32"/>
      <c r="H105" s="34"/>
      <c r="I105" s="34"/>
      <c r="J105" s="32"/>
      <c r="K105" s="32"/>
      <c r="L105" s="32"/>
    </row>
    <row r="106" s="30" customFormat="1" customHeight="1" spans="1:15">
      <c r="A106" s="31"/>
      <c r="B106" s="32"/>
      <c r="C106" s="33"/>
      <c r="D106" s="32"/>
      <c r="E106" s="32"/>
      <c r="F106" s="32"/>
      <c r="G106" s="32"/>
      <c r="H106" s="34"/>
      <c r="I106" s="34"/>
      <c r="J106" s="32"/>
      <c r="K106" s="32"/>
      <c r="L106" s="32"/>
    </row>
    <row r="107" s="30" customFormat="1" customHeight="1" spans="1:15">
      <c r="A107" s="31"/>
      <c r="B107" s="32"/>
      <c r="C107" s="33"/>
      <c r="D107" s="32"/>
      <c r="E107" s="32"/>
      <c r="F107" s="32"/>
      <c r="G107" s="32"/>
      <c r="H107" s="34"/>
      <c r="I107" s="34"/>
      <c r="J107" s="32"/>
      <c r="K107" s="32"/>
      <c r="L107" s="32"/>
    </row>
    <row r="108" s="30" customFormat="1" customHeight="1" spans="1:15">
      <c r="A108" s="31"/>
      <c r="B108" s="32"/>
      <c r="C108" s="33"/>
      <c r="D108" s="32"/>
      <c r="E108" s="32"/>
      <c r="F108" s="32"/>
      <c r="G108" s="32"/>
      <c r="H108" s="34"/>
      <c r="I108" s="34"/>
      <c r="J108" s="32"/>
      <c r="K108" s="32"/>
      <c r="L108" s="32"/>
    </row>
    <row r="109" s="30" customFormat="1" customHeight="1" spans="1:15">
      <c r="A109" s="31"/>
      <c r="B109" s="32"/>
      <c r="C109" s="33"/>
      <c r="D109" s="32"/>
      <c r="E109" s="32"/>
      <c r="F109" s="32"/>
      <c r="G109" s="32"/>
      <c r="H109" s="34"/>
      <c r="I109" s="34"/>
      <c r="J109" s="32"/>
      <c r="K109" s="32"/>
      <c r="L109" s="32"/>
    </row>
    <row r="110" s="30" customFormat="1" customHeight="1" spans="1:15">
      <c r="A110" s="31"/>
      <c r="B110" s="32"/>
      <c r="C110" s="33"/>
      <c r="D110" s="32"/>
      <c r="E110" s="32"/>
      <c r="F110" s="32"/>
      <c r="G110" s="32"/>
      <c r="H110" s="34"/>
      <c r="I110" s="34"/>
      <c r="J110" s="32"/>
      <c r="K110" s="32"/>
      <c r="L110" s="32"/>
    </row>
    <row r="111" s="30" customFormat="1" customHeight="1" spans="1:15">
      <c r="A111" s="31"/>
      <c r="B111" s="32"/>
      <c r="C111" s="33"/>
      <c r="D111" s="32"/>
      <c r="E111" s="32"/>
      <c r="F111" s="32"/>
      <c r="G111" s="32"/>
      <c r="H111" s="34"/>
      <c r="I111" s="34"/>
      <c r="J111" s="32"/>
      <c r="K111" s="32"/>
      <c r="L111" s="32"/>
    </row>
    <row r="112" s="30" customFormat="1" customHeight="1" spans="1:15">
      <c r="A112" s="31"/>
      <c r="B112" s="32"/>
      <c r="C112" s="33"/>
      <c r="D112" s="32"/>
      <c r="E112" s="32"/>
      <c r="F112" s="32"/>
      <c r="G112" s="32"/>
      <c r="H112" s="34"/>
      <c r="I112" s="34"/>
      <c r="J112" s="32"/>
      <c r="K112" s="32"/>
      <c r="L112" s="32"/>
    </row>
    <row r="113" s="30" customFormat="1" customHeight="1" spans="1:12">
      <c r="A113" s="31"/>
      <c r="B113" s="32"/>
      <c r="C113" s="33"/>
      <c r="D113" s="32"/>
      <c r="E113" s="32"/>
      <c r="F113" s="32"/>
      <c r="G113" s="32"/>
      <c r="H113" s="34"/>
      <c r="I113" s="34"/>
      <c r="J113" s="32"/>
      <c r="K113" s="32"/>
      <c r="L113" s="32"/>
    </row>
    <row r="114" s="30" customFormat="1" customHeight="1" spans="1:12">
      <c r="A114" s="31"/>
      <c r="B114" s="32"/>
      <c r="C114" s="33"/>
      <c r="D114" s="32"/>
      <c r="E114" s="32"/>
      <c r="F114" s="32"/>
      <c r="G114" s="32"/>
      <c r="H114" s="34"/>
      <c r="I114" s="34"/>
      <c r="J114" s="32"/>
      <c r="K114" s="32"/>
      <c r="L114" s="32"/>
    </row>
    <row r="115" s="30" customFormat="1" customHeight="1" spans="1:12">
      <c r="A115" s="31"/>
      <c r="B115" s="32"/>
      <c r="C115" s="33"/>
      <c r="D115" s="32"/>
      <c r="E115" s="32"/>
      <c r="F115" s="32"/>
      <c r="G115" s="32"/>
      <c r="H115" s="34"/>
      <c r="I115" s="34"/>
      <c r="J115" s="32"/>
      <c r="K115" s="32"/>
      <c r="L115" s="32"/>
    </row>
    <row r="116" s="30" customFormat="1" customHeight="1" spans="1:12">
      <c r="A116" s="31"/>
      <c r="B116" s="32"/>
      <c r="C116" s="33"/>
      <c r="D116" s="32"/>
      <c r="E116" s="32"/>
      <c r="F116" s="32"/>
      <c r="G116" s="32"/>
      <c r="H116" s="34"/>
      <c r="I116" s="34"/>
      <c r="J116" s="32"/>
      <c r="K116" s="32"/>
      <c r="L116" s="32"/>
    </row>
    <row r="117" s="30" customFormat="1" customHeight="1" spans="1:12">
      <c r="A117" s="31"/>
      <c r="B117" s="32"/>
      <c r="C117" s="33"/>
      <c r="D117" s="32"/>
      <c r="E117" s="32"/>
      <c r="F117" s="32"/>
      <c r="G117" s="32"/>
      <c r="H117" s="34"/>
      <c r="I117" s="34"/>
      <c r="J117" s="32"/>
      <c r="K117" s="32"/>
      <c r="L117" s="32"/>
    </row>
    <row r="118" s="30" customFormat="1" customHeight="1" spans="1:12">
      <c r="A118" s="31"/>
      <c r="B118" s="32"/>
      <c r="C118" s="33"/>
      <c r="D118" s="32"/>
      <c r="E118" s="32"/>
      <c r="F118" s="32"/>
      <c r="G118" s="32"/>
      <c r="H118" s="34"/>
      <c r="I118" s="34"/>
      <c r="J118" s="32"/>
      <c r="K118" s="32"/>
      <c r="L118" s="32"/>
    </row>
    <row r="119" s="30" customFormat="1" customHeight="1" spans="1:12">
      <c r="A119" s="31"/>
      <c r="B119" s="32"/>
      <c r="C119" s="33"/>
      <c r="D119" s="32"/>
      <c r="E119" s="32"/>
      <c r="F119" s="32"/>
      <c r="G119" s="32"/>
      <c r="H119" s="34"/>
      <c r="I119" s="34"/>
      <c r="J119" s="32"/>
      <c r="K119" s="32"/>
      <c r="L119" s="32"/>
    </row>
    <row r="120" s="30" customFormat="1" customHeight="1" spans="1:12">
      <c r="A120" s="31"/>
      <c r="B120" s="32"/>
      <c r="C120" s="33"/>
      <c r="D120" s="32"/>
      <c r="E120" s="32"/>
      <c r="F120" s="32"/>
      <c r="G120" s="32"/>
      <c r="H120" s="34"/>
      <c r="I120" s="34"/>
      <c r="J120" s="32"/>
      <c r="K120" s="32"/>
      <c r="L120" s="32"/>
    </row>
    <row r="121" s="30" customFormat="1" customHeight="1" spans="1:12">
      <c r="A121" s="31"/>
      <c r="B121" s="32"/>
      <c r="C121" s="33"/>
      <c r="D121" s="32"/>
      <c r="E121" s="32"/>
      <c r="F121" s="32"/>
      <c r="G121" s="32"/>
      <c r="H121" s="34"/>
      <c r="I121" s="34"/>
      <c r="J121" s="32"/>
      <c r="K121" s="32"/>
      <c r="L121" s="32"/>
    </row>
    <row r="122" s="30" customFormat="1" customHeight="1" spans="1:12">
      <c r="A122" s="31"/>
      <c r="B122" s="32"/>
      <c r="C122" s="33"/>
      <c r="D122" s="32"/>
      <c r="E122" s="32"/>
      <c r="F122" s="32"/>
      <c r="G122" s="32"/>
      <c r="H122" s="34"/>
      <c r="I122" s="34"/>
      <c r="J122" s="32"/>
      <c r="K122" s="32"/>
      <c r="L122" s="32"/>
    </row>
    <row r="123" s="30" customFormat="1" customHeight="1" spans="1:12">
      <c r="A123" s="31"/>
      <c r="B123" s="32"/>
      <c r="C123" s="33"/>
      <c r="D123" s="32"/>
      <c r="E123" s="32"/>
      <c r="F123" s="32"/>
      <c r="G123" s="32"/>
      <c r="H123" s="34"/>
      <c r="I123" s="34"/>
      <c r="J123" s="32"/>
      <c r="K123" s="32"/>
      <c r="L123" s="32"/>
    </row>
    <row r="124" s="30" customFormat="1" customHeight="1" spans="1:12">
      <c r="A124" s="31"/>
      <c r="B124" s="32"/>
      <c r="C124" s="33"/>
      <c r="D124" s="32"/>
      <c r="E124" s="32"/>
      <c r="F124" s="32"/>
      <c r="G124" s="32"/>
      <c r="H124" s="34"/>
      <c r="I124" s="34"/>
      <c r="J124" s="32"/>
      <c r="K124" s="32"/>
      <c r="L124" s="32"/>
    </row>
    <row r="125" s="30" customFormat="1" customHeight="1" spans="1:12">
      <c r="A125" s="31"/>
      <c r="B125" s="32"/>
      <c r="C125" s="33"/>
      <c r="D125" s="32"/>
      <c r="E125" s="32"/>
      <c r="F125" s="32"/>
      <c r="G125" s="32"/>
      <c r="H125" s="34"/>
      <c r="I125" s="34"/>
      <c r="J125" s="32"/>
      <c r="K125" s="32"/>
      <c r="L125" s="32"/>
    </row>
    <row r="126" s="30" customFormat="1" customHeight="1" spans="1:12">
      <c r="A126" s="31"/>
      <c r="B126" s="32"/>
      <c r="C126" s="33"/>
      <c r="D126" s="32"/>
      <c r="E126" s="32"/>
      <c r="F126" s="32"/>
      <c r="G126" s="32"/>
      <c r="H126" s="34"/>
      <c r="I126" s="34"/>
      <c r="J126" s="32"/>
      <c r="K126" s="32"/>
      <c r="L126" s="32"/>
    </row>
    <row r="127" s="30" customFormat="1" customHeight="1" spans="1:12">
      <c r="A127" s="31"/>
      <c r="B127" s="32"/>
      <c r="C127" s="33"/>
      <c r="D127" s="32"/>
      <c r="E127" s="32"/>
      <c r="F127" s="32"/>
      <c r="G127" s="32"/>
      <c r="H127" s="34"/>
      <c r="I127" s="34"/>
      <c r="J127" s="32"/>
      <c r="K127" s="32"/>
      <c r="L127" s="32"/>
    </row>
    <row r="128" s="30" customFormat="1" customHeight="1" spans="1:12">
      <c r="A128" s="31"/>
      <c r="B128" s="32"/>
      <c r="C128" s="33"/>
      <c r="D128" s="32"/>
      <c r="E128" s="32"/>
      <c r="F128" s="32"/>
      <c r="G128" s="32"/>
      <c r="H128" s="34"/>
      <c r="I128" s="34"/>
      <c r="J128" s="32"/>
      <c r="K128" s="32"/>
      <c r="L128" s="32"/>
    </row>
    <row r="129" s="30" customFormat="1" customHeight="1" spans="1:12">
      <c r="A129" s="31"/>
      <c r="B129" s="32"/>
      <c r="C129" s="33"/>
      <c r="D129" s="32"/>
      <c r="E129" s="32"/>
      <c r="F129" s="32"/>
      <c r="G129" s="32"/>
      <c r="H129" s="34"/>
      <c r="I129" s="34"/>
      <c r="J129" s="32"/>
      <c r="K129" s="32"/>
      <c r="L129" s="32"/>
    </row>
    <row r="130" s="30" customFormat="1" customHeight="1" spans="1:12">
      <c r="A130" s="31"/>
      <c r="B130" s="32"/>
      <c r="C130" s="33"/>
      <c r="D130" s="32"/>
      <c r="E130" s="32"/>
      <c r="F130" s="32"/>
      <c r="G130" s="32"/>
      <c r="H130" s="34"/>
      <c r="I130" s="34"/>
      <c r="J130" s="32"/>
      <c r="K130" s="32"/>
      <c r="L130" s="32"/>
    </row>
    <row r="131" s="30" customFormat="1" customHeight="1" spans="1:12">
      <c r="A131" s="31"/>
      <c r="B131" s="32"/>
      <c r="C131" s="33"/>
      <c r="D131" s="32"/>
      <c r="E131" s="32"/>
      <c r="F131" s="32"/>
      <c r="G131" s="32"/>
      <c r="H131" s="34"/>
      <c r="I131" s="34"/>
      <c r="J131" s="32"/>
      <c r="K131" s="32"/>
      <c r="L131" s="32"/>
    </row>
    <row r="132" s="30" customFormat="1" customHeight="1" spans="1:12">
      <c r="A132" s="31"/>
      <c r="B132" s="32"/>
      <c r="C132" s="33"/>
      <c r="D132" s="32"/>
      <c r="E132" s="32"/>
      <c r="F132" s="32"/>
      <c r="G132" s="32"/>
      <c r="H132" s="34"/>
      <c r="I132" s="34"/>
      <c r="J132" s="32"/>
      <c r="K132" s="32"/>
      <c r="L132" s="32"/>
    </row>
    <row r="133" s="30" customFormat="1" customHeight="1" spans="1:12">
      <c r="A133" s="31"/>
      <c r="B133" s="32"/>
      <c r="C133" s="33"/>
      <c r="D133" s="32"/>
      <c r="E133" s="32"/>
      <c r="F133" s="32"/>
      <c r="G133" s="32"/>
      <c r="H133" s="34"/>
      <c r="I133" s="34"/>
      <c r="J133" s="32"/>
      <c r="K133" s="32"/>
      <c r="L133" s="32"/>
    </row>
    <row r="134" s="30" customFormat="1" customHeight="1" spans="1:12">
      <c r="A134" s="31"/>
      <c r="B134" s="32"/>
      <c r="C134" s="33"/>
      <c r="D134" s="32"/>
      <c r="E134" s="32"/>
      <c r="F134" s="32"/>
      <c r="G134" s="32"/>
      <c r="H134" s="34"/>
      <c r="I134" s="34"/>
      <c r="J134" s="32"/>
      <c r="K134" s="32"/>
      <c r="L134" s="32"/>
    </row>
    <row r="135" s="30" customFormat="1" customHeight="1" spans="1:12">
      <c r="A135" s="31"/>
      <c r="B135" s="32"/>
      <c r="C135" s="33"/>
      <c r="D135" s="32"/>
      <c r="E135" s="32"/>
      <c r="F135" s="32"/>
      <c r="G135" s="32"/>
      <c r="H135" s="34"/>
      <c r="I135" s="34"/>
      <c r="J135" s="32"/>
      <c r="K135" s="32"/>
      <c r="L135" s="32"/>
    </row>
    <row r="136" s="30" customFormat="1" customHeight="1" spans="1:12">
      <c r="A136" s="31"/>
      <c r="B136" s="32"/>
      <c r="C136" s="33"/>
      <c r="D136" s="32"/>
      <c r="E136" s="32"/>
      <c r="F136" s="32"/>
      <c r="G136" s="32"/>
      <c r="H136" s="34"/>
      <c r="I136" s="34"/>
      <c r="J136" s="32"/>
      <c r="K136" s="32"/>
      <c r="L136" s="32"/>
    </row>
    <row r="137" s="30" customFormat="1" customHeight="1" spans="1:12">
      <c r="A137" s="31"/>
      <c r="B137" s="32"/>
      <c r="C137" s="33"/>
      <c r="D137" s="32"/>
      <c r="E137" s="32"/>
      <c r="F137" s="32"/>
      <c r="G137" s="32"/>
      <c r="H137" s="34"/>
      <c r="I137" s="34"/>
      <c r="J137" s="32"/>
      <c r="K137" s="32"/>
      <c r="L137" s="32"/>
    </row>
    <row r="138" s="30" customFormat="1" customHeight="1" spans="1:12">
      <c r="A138" s="31"/>
      <c r="B138" s="32"/>
      <c r="C138" s="33"/>
      <c r="D138" s="32"/>
      <c r="E138" s="32"/>
      <c r="F138" s="32"/>
      <c r="G138" s="32"/>
      <c r="H138" s="34"/>
      <c r="I138" s="34"/>
      <c r="J138" s="32"/>
      <c r="K138" s="32"/>
      <c r="L138" s="32"/>
    </row>
    <row r="139" s="30" customFormat="1" customHeight="1" spans="1:12">
      <c r="A139" s="31"/>
      <c r="B139" s="32"/>
      <c r="C139" s="33"/>
      <c r="D139" s="32"/>
      <c r="E139" s="32"/>
      <c r="F139" s="32"/>
      <c r="G139" s="32"/>
      <c r="H139" s="34"/>
      <c r="I139" s="34"/>
      <c r="J139" s="32"/>
      <c r="K139" s="32"/>
      <c r="L139" s="32"/>
    </row>
    <row r="140" s="30" customFormat="1" customHeight="1" spans="1:12">
      <c r="A140" s="31"/>
      <c r="B140" s="32"/>
      <c r="C140" s="33"/>
      <c r="D140" s="32"/>
      <c r="E140" s="32"/>
      <c r="F140" s="32"/>
      <c r="G140" s="32"/>
      <c r="H140" s="34"/>
      <c r="I140" s="34"/>
      <c r="J140" s="32"/>
      <c r="K140" s="32"/>
      <c r="L140" s="32"/>
    </row>
    <row r="141" s="30" customFormat="1" customHeight="1" spans="1:12">
      <c r="A141" s="31"/>
      <c r="B141" s="32"/>
      <c r="C141" s="33"/>
      <c r="D141" s="32"/>
      <c r="E141" s="32"/>
      <c r="F141" s="32"/>
      <c r="G141" s="32"/>
      <c r="H141" s="34"/>
      <c r="I141" s="34"/>
      <c r="J141" s="32"/>
      <c r="K141" s="32"/>
      <c r="L141" s="32"/>
    </row>
    <row r="142" s="30" customFormat="1" customHeight="1" spans="1:12">
      <c r="A142" s="31"/>
      <c r="B142" s="32"/>
      <c r="C142" s="33"/>
      <c r="D142" s="32"/>
      <c r="E142" s="32"/>
      <c r="F142" s="32"/>
      <c r="G142" s="32"/>
      <c r="H142" s="34"/>
      <c r="I142" s="34"/>
      <c r="J142" s="32"/>
      <c r="K142" s="32"/>
      <c r="L142" s="32"/>
    </row>
    <row r="143" s="30" customFormat="1" customHeight="1" spans="1:12">
      <c r="A143" s="31"/>
      <c r="B143" s="32"/>
      <c r="C143" s="33"/>
      <c r="D143" s="32"/>
      <c r="E143" s="32"/>
      <c r="F143" s="32"/>
      <c r="G143" s="32"/>
      <c r="H143" s="34"/>
      <c r="I143" s="34"/>
      <c r="J143" s="32"/>
      <c r="K143" s="32"/>
      <c r="L143" s="32"/>
    </row>
    <row r="144" s="30" customFormat="1" customHeight="1" spans="1:12">
      <c r="A144" s="31"/>
      <c r="B144" s="32"/>
      <c r="C144" s="33"/>
      <c r="D144" s="32"/>
      <c r="E144" s="32"/>
      <c r="F144" s="32"/>
      <c r="G144" s="32"/>
      <c r="H144" s="34"/>
      <c r="I144" s="34"/>
      <c r="J144" s="32"/>
      <c r="K144" s="32"/>
      <c r="L144" s="32"/>
    </row>
    <row r="145" s="30" customFormat="1" customHeight="1" spans="1:12">
      <c r="A145" s="31"/>
      <c r="B145" s="32"/>
      <c r="C145" s="33"/>
      <c r="D145" s="32"/>
      <c r="E145" s="32"/>
      <c r="F145" s="32"/>
      <c r="G145" s="32"/>
      <c r="H145" s="34"/>
      <c r="I145" s="34"/>
      <c r="J145" s="32"/>
      <c r="K145" s="32"/>
      <c r="L145" s="32"/>
    </row>
    <row r="146" s="30" customFormat="1" customHeight="1" spans="1:12">
      <c r="A146" s="31"/>
      <c r="B146" s="32"/>
      <c r="C146" s="33"/>
      <c r="D146" s="32"/>
      <c r="E146" s="32"/>
      <c r="F146" s="32"/>
      <c r="G146" s="32"/>
      <c r="H146" s="34"/>
      <c r="I146" s="34"/>
      <c r="J146" s="32"/>
      <c r="K146" s="32"/>
      <c r="L146" s="32"/>
    </row>
    <row r="147" s="30" customFormat="1" customHeight="1" spans="1:12">
      <c r="A147" s="31"/>
      <c r="B147" s="32"/>
      <c r="C147" s="33"/>
      <c r="D147" s="32"/>
      <c r="E147" s="32"/>
      <c r="F147" s="32"/>
      <c r="G147" s="32"/>
      <c r="H147" s="34"/>
      <c r="I147" s="34"/>
      <c r="J147" s="32"/>
      <c r="K147" s="32"/>
      <c r="L147" s="32"/>
    </row>
    <row r="148" s="30" customFormat="1" customHeight="1" spans="1:12">
      <c r="A148" s="31"/>
      <c r="B148" s="32"/>
      <c r="C148" s="33"/>
      <c r="D148" s="32"/>
      <c r="E148" s="32"/>
      <c r="F148" s="32"/>
      <c r="G148" s="32"/>
      <c r="H148" s="34"/>
      <c r="I148" s="34"/>
      <c r="J148" s="32"/>
      <c r="K148" s="32"/>
      <c r="L148" s="32"/>
    </row>
    <row r="149" s="30" customFormat="1" customHeight="1" spans="1:12">
      <c r="A149" s="31"/>
      <c r="B149" s="32"/>
      <c r="C149" s="33"/>
      <c r="D149" s="32"/>
      <c r="E149" s="32"/>
      <c r="F149" s="32"/>
      <c r="G149" s="32"/>
      <c r="H149" s="34"/>
      <c r="I149" s="34"/>
      <c r="J149" s="32"/>
      <c r="K149" s="32"/>
      <c r="L149" s="32"/>
    </row>
    <row r="150" s="30" customFormat="1" customHeight="1" spans="1:12">
      <c r="A150" s="31"/>
      <c r="B150" s="32"/>
      <c r="C150" s="33"/>
      <c r="D150" s="32"/>
      <c r="E150" s="32"/>
      <c r="F150" s="32"/>
      <c r="G150" s="32"/>
      <c r="H150" s="34"/>
      <c r="I150" s="34"/>
      <c r="J150" s="32"/>
      <c r="K150" s="32"/>
      <c r="L150" s="32"/>
    </row>
    <row r="151" s="30" customFormat="1" customHeight="1" spans="1:12">
      <c r="A151" s="31"/>
      <c r="B151" s="32"/>
      <c r="C151" s="33"/>
      <c r="D151" s="32"/>
      <c r="E151" s="32"/>
      <c r="F151" s="32"/>
      <c r="G151" s="32"/>
      <c r="H151" s="34"/>
      <c r="I151" s="34"/>
      <c r="J151" s="32"/>
      <c r="K151" s="32"/>
      <c r="L151" s="32"/>
    </row>
    <row r="152" s="30" customFormat="1" customHeight="1" spans="1:12">
      <c r="A152" s="31"/>
      <c r="B152" s="32"/>
      <c r="C152" s="33"/>
      <c r="D152" s="32"/>
      <c r="E152" s="32"/>
      <c r="F152" s="32"/>
      <c r="G152" s="32"/>
      <c r="H152" s="34"/>
      <c r="I152" s="34"/>
      <c r="J152" s="32"/>
      <c r="K152" s="32"/>
      <c r="L152" s="32"/>
    </row>
    <row r="153" s="30" customFormat="1" customHeight="1" spans="1:12">
      <c r="A153" s="31"/>
      <c r="B153" s="32"/>
      <c r="C153" s="33"/>
      <c r="D153" s="32"/>
      <c r="E153" s="32"/>
      <c r="F153" s="32"/>
      <c r="G153" s="32"/>
      <c r="H153" s="34"/>
      <c r="I153" s="34"/>
      <c r="J153" s="32"/>
      <c r="K153" s="32"/>
      <c r="L153" s="32"/>
    </row>
    <row r="154" s="30" customFormat="1" customHeight="1" spans="1:12">
      <c r="A154" s="31"/>
      <c r="B154" s="32"/>
      <c r="C154" s="33"/>
      <c r="D154" s="32"/>
      <c r="E154" s="32"/>
      <c r="F154" s="32"/>
      <c r="G154" s="32"/>
      <c r="H154" s="34"/>
      <c r="I154" s="34"/>
      <c r="J154" s="32"/>
      <c r="K154" s="32"/>
      <c r="L154" s="32"/>
    </row>
    <row r="155" s="30" customFormat="1" customHeight="1" spans="1:12">
      <c r="A155" s="31"/>
      <c r="B155" s="32"/>
      <c r="C155" s="33"/>
      <c r="D155" s="32"/>
      <c r="E155" s="32"/>
      <c r="F155" s="32"/>
      <c r="G155" s="32"/>
      <c r="H155" s="34"/>
      <c r="I155" s="34"/>
      <c r="J155" s="32"/>
      <c r="K155" s="32"/>
      <c r="L155" s="32"/>
    </row>
    <row r="156" s="30" customFormat="1" customHeight="1" spans="1:12">
      <c r="A156" s="31"/>
      <c r="B156" s="32"/>
      <c r="C156" s="33"/>
      <c r="D156" s="32"/>
      <c r="E156" s="32"/>
      <c r="F156" s="32"/>
      <c r="G156" s="32"/>
      <c r="H156" s="34"/>
      <c r="I156" s="34"/>
      <c r="J156" s="32"/>
      <c r="K156" s="32"/>
      <c r="L156" s="32"/>
    </row>
    <row r="157" s="30" customFormat="1" customHeight="1" spans="1:12">
      <c r="A157" s="31"/>
      <c r="B157" s="32"/>
      <c r="C157" s="33"/>
      <c r="D157" s="32"/>
      <c r="E157" s="32"/>
      <c r="F157" s="32"/>
      <c r="G157" s="32"/>
      <c r="H157" s="34"/>
      <c r="I157" s="34"/>
      <c r="J157" s="32"/>
      <c r="K157" s="32"/>
      <c r="L157" s="32"/>
    </row>
    <row r="158" s="30" customFormat="1" customHeight="1" spans="1:12">
      <c r="A158" s="31"/>
      <c r="B158" s="32"/>
      <c r="C158" s="33"/>
      <c r="D158" s="32"/>
      <c r="E158" s="32"/>
      <c r="F158" s="32"/>
      <c r="G158" s="32"/>
      <c r="H158" s="34"/>
      <c r="I158" s="34"/>
      <c r="J158" s="32"/>
      <c r="K158" s="32"/>
      <c r="L158" s="32"/>
    </row>
    <row r="159" s="30" customFormat="1" customHeight="1" spans="1:12">
      <c r="A159" s="31"/>
      <c r="B159" s="32"/>
      <c r="C159" s="33"/>
      <c r="D159" s="32"/>
      <c r="E159" s="32"/>
      <c r="F159" s="32"/>
      <c r="G159" s="32"/>
      <c r="H159" s="34"/>
      <c r="I159" s="34"/>
      <c r="J159" s="32"/>
      <c r="K159" s="32"/>
      <c r="L159" s="32"/>
    </row>
    <row r="160" s="30" customFormat="1" customHeight="1" spans="1:12">
      <c r="A160" s="31"/>
      <c r="B160" s="32"/>
      <c r="C160" s="33"/>
      <c r="D160" s="32"/>
      <c r="E160" s="32"/>
      <c r="F160" s="32"/>
      <c r="G160" s="32"/>
      <c r="H160" s="34"/>
      <c r="I160" s="34"/>
      <c r="J160" s="32"/>
      <c r="K160" s="32"/>
      <c r="L160" s="32"/>
    </row>
    <row r="161" s="30" customFormat="1" customHeight="1" spans="1:12">
      <c r="A161" s="31"/>
      <c r="B161" s="32"/>
      <c r="C161" s="33"/>
      <c r="D161" s="32"/>
      <c r="E161" s="32"/>
      <c r="F161" s="32"/>
      <c r="G161" s="32"/>
      <c r="H161" s="34"/>
      <c r="I161" s="34"/>
      <c r="J161" s="32"/>
      <c r="K161" s="32"/>
      <c r="L161" s="32"/>
    </row>
    <row r="162" s="30" customFormat="1" customHeight="1" spans="1:12">
      <c r="A162" s="31"/>
      <c r="B162" s="32"/>
      <c r="C162" s="33"/>
      <c r="D162" s="32"/>
      <c r="E162" s="32"/>
      <c r="F162" s="32"/>
      <c r="G162" s="32"/>
      <c r="H162" s="34"/>
      <c r="I162" s="34"/>
      <c r="J162" s="32"/>
      <c r="K162" s="32"/>
      <c r="L162" s="32"/>
    </row>
    <row r="163" s="30" customFormat="1" customHeight="1" spans="1:12">
      <c r="A163" s="31"/>
      <c r="B163" s="32"/>
      <c r="C163" s="33"/>
      <c r="D163" s="32"/>
      <c r="E163" s="32"/>
      <c r="F163" s="32"/>
      <c r="G163" s="32"/>
      <c r="H163" s="34"/>
      <c r="I163" s="34"/>
      <c r="J163" s="32"/>
      <c r="K163" s="32"/>
      <c r="L163" s="32"/>
    </row>
    <row r="164" s="30" customFormat="1" customHeight="1" spans="1:12">
      <c r="A164" s="31"/>
      <c r="B164" s="32"/>
      <c r="C164" s="33"/>
      <c r="D164" s="32"/>
      <c r="E164" s="32"/>
      <c r="F164" s="32"/>
      <c r="G164" s="32"/>
      <c r="H164" s="34"/>
      <c r="I164" s="34"/>
      <c r="J164" s="32"/>
      <c r="K164" s="32"/>
      <c r="L164" s="32"/>
    </row>
    <row r="165" s="30" customFormat="1" customHeight="1" spans="1:12">
      <c r="A165" s="31"/>
      <c r="B165" s="32"/>
      <c r="C165" s="33"/>
      <c r="D165" s="32"/>
      <c r="E165" s="32"/>
      <c r="F165" s="32"/>
      <c r="G165" s="32"/>
      <c r="H165" s="34"/>
      <c r="I165" s="34"/>
      <c r="J165" s="32"/>
      <c r="K165" s="32"/>
      <c r="L165" s="32"/>
    </row>
    <row r="166" s="30" customFormat="1" customHeight="1" spans="1:12">
      <c r="A166" s="31"/>
      <c r="B166" s="32"/>
      <c r="C166" s="33"/>
      <c r="D166" s="32"/>
      <c r="E166" s="32"/>
      <c r="F166" s="32"/>
      <c r="G166" s="32"/>
      <c r="H166" s="34"/>
      <c r="I166" s="34"/>
      <c r="J166" s="32"/>
      <c r="K166" s="32"/>
      <c r="L166" s="32"/>
    </row>
    <row r="167" s="30" customFormat="1" customHeight="1" spans="1:12">
      <c r="A167" s="31"/>
      <c r="B167" s="32"/>
      <c r="C167" s="33"/>
      <c r="D167" s="32"/>
      <c r="E167" s="32"/>
      <c r="F167" s="32"/>
      <c r="G167" s="32"/>
      <c r="H167" s="34"/>
      <c r="I167" s="34"/>
      <c r="J167" s="32"/>
      <c r="K167" s="32"/>
      <c r="L167" s="32"/>
    </row>
    <row r="168" s="30" customFormat="1" customHeight="1" spans="1:12">
      <c r="A168" s="31"/>
      <c r="B168" s="32"/>
      <c r="C168" s="33"/>
      <c r="D168" s="32"/>
      <c r="E168" s="32"/>
      <c r="F168" s="32"/>
      <c r="G168" s="32"/>
      <c r="H168" s="34"/>
      <c r="I168" s="34"/>
      <c r="J168" s="32"/>
      <c r="K168" s="32"/>
      <c r="L168" s="32"/>
    </row>
    <row r="169" s="30" customFormat="1" customHeight="1" spans="1:12">
      <c r="A169" s="31"/>
      <c r="B169" s="32"/>
      <c r="C169" s="33"/>
      <c r="D169" s="32"/>
      <c r="E169" s="32"/>
      <c r="F169" s="32"/>
      <c r="G169" s="32"/>
      <c r="H169" s="34"/>
      <c r="I169" s="34"/>
      <c r="J169" s="32"/>
      <c r="K169" s="32"/>
      <c r="L169" s="32"/>
    </row>
    <row r="170" s="30" customFormat="1" customHeight="1" spans="1:12">
      <c r="A170" s="31"/>
      <c r="B170" s="32"/>
      <c r="C170" s="33"/>
      <c r="D170" s="32"/>
      <c r="E170" s="32"/>
      <c r="F170" s="32"/>
      <c r="G170" s="32"/>
      <c r="H170" s="34"/>
      <c r="I170" s="34"/>
      <c r="J170" s="32"/>
      <c r="K170" s="32"/>
      <c r="L170" s="32"/>
    </row>
    <row r="171" s="30" customFormat="1" customHeight="1" spans="1:12">
      <c r="A171" s="31"/>
      <c r="B171" s="32"/>
      <c r="C171" s="33"/>
      <c r="D171" s="32"/>
      <c r="E171" s="32"/>
      <c r="F171" s="32"/>
      <c r="G171" s="32"/>
      <c r="H171" s="34"/>
      <c r="I171" s="34"/>
      <c r="J171" s="32"/>
      <c r="K171" s="32"/>
      <c r="L171" s="32"/>
    </row>
    <row r="172" s="30" customFormat="1" customHeight="1" spans="1:12">
      <c r="A172" s="31"/>
      <c r="B172" s="32"/>
      <c r="C172" s="33"/>
      <c r="D172" s="32"/>
      <c r="E172" s="32"/>
      <c r="F172" s="32"/>
      <c r="G172" s="32"/>
      <c r="H172" s="34"/>
      <c r="I172" s="34"/>
      <c r="J172" s="32"/>
      <c r="K172" s="32"/>
      <c r="L172" s="32"/>
    </row>
    <row r="173" s="30" customFormat="1" customHeight="1" spans="1:12">
      <c r="A173" s="31"/>
      <c r="B173" s="32"/>
      <c r="C173" s="33"/>
      <c r="D173" s="32"/>
      <c r="E173" s="32"/>
      <c r="F173" s="32"/>
      <c r="G173" s="32"/>
      <c r="H173" s="34"/>
      <c r="I173" s="34"/>
      <c r="J173" s="32"/>
      <c r="K173" s="32"/>
      <c r="L173" s="32"/>
    </row>
    <row r="174" s="30" customFormat="1" customHeight="1" spans="1:12">
      <c r="A174" s="31"/>
      <c r="B174" s="32"/>
      <c r="C174" s="33"/>
      <c r="D174" s="32"/>
      <c r="E174" s="32"/>
      <c r="F174" s="32"/>
      <c r="G174" s="32"/>
      <c r="H174" s="34"/>
      <c r="I174" s="34"/>
      <c r="J174" s="32"/>
      <c r="K174" s="32"/>
      <c r="L174" s="32"/>
    </row>
    <row r="175" s="30" customFormat="1" customHeight="1" spans="1:12">
      <c r="A175" s="31"/>
      <c r="B175" s="32"/>
      <c r="C175" s="33"/>
      <c r="D175" s="32"/>
      <c r="E175" s="32"/>
      <c r="F175" s="32"/>
      <c r="G175" s="32"/>
      <c r="H175" s="34"/>
      <c r="I175" s="34"/>
      <c r="J175" s="32"/>
      <c r="K175" s="32"/>
      <c r="L175" s="32"/>
    </row>
    <row r="176" s="30" customFormat="1" customHeight="1" spans="1:12">
      <c r="A176" s="31"/>
      <c r="B176" s="32"/>
      <c r="C176" s="33"/>
      <c r="D176" s="32"/>
      <c r="E176" s="32"/>
      <c r="F176" s="32"/>
      <c r="G176" s="32"/>
      <c r="H176" s="34"/>
      <c r="I176" s="34"/>
      <c r="J176" s="32"/>
      <c r="K176" s="32"/>
      <c r="L176" s="32"/>
    </row>
    <row r="177" s="30" customFormat="1" customHeight="1" spans="1:12">
      <c r="A177" s="31"/>
      <c r="B177" s="32"/>
      <c r="C177" s="33"/>
      <c r="D177" s="32"/>
      <c r="E177" s="32"/>
      <c r="F177" s="32"/>
      <c r="G177" s="32"/>
      <c r="H177" s="34"/>
      <c r="I177" s="34"/>
      <c r="J177" s="32"/>
      <c r="K177" s="32"/>
      <c r="L177" s="32"/>
    </row>
    <row r="178" s="30" customFormat="1" customHeight="1" spans="1:12">
      <c r="A178" s="31"/>
      <c r="B178" s="32"/>
      <c r="C178" s="33"/>
      <c r="D178" s="32"/>
      <c r="E178" s="32"/>
      <c r="F178" s="32"/>
      <c r="G178" s="32"/>
      <c r="H178" s="34"/>
      <c r="I178" s="34"/>
      <c r="J178" s="32"/>
      <c r="K178" s="32"/>
      <c r="L178" s="32"/>
    </row>
    <row r="179" s="30" customFormat="1" customHeight="1" spans="1:12">
      <c r="A179" s="31"/>
      <c r="B179" s="32"/>
      <c r="C179" s="33"/>
      <c r="D179" s="32"/>
      <c r="E179" s="32"/>
      <c r="F179" s="32"/>
      <c r="G179" s="32"/>
      <c r="H179" s="34"/>
      <c r="I179" s="34"/>
      <c r="J179" s="32"/>
      <c r="K179" s="32"/>
      <c r="L179" s="32"/>
    </row>
    <row r="180" s="30" customFormat="1" customHeight="1" spans="1:12">
      <c r="A180" s="31"/>
      <c r="B180" s="32"/>
      <c r="C180" s="33"/>
      <c r="D180" s="32"/>
      <c r="E180" s="32"/>
      <c r="F180" s="32"/>
      <c r="G180" s="32"/>
      <c r="H180" s="34"/>
      <c r="I180" s="34"/>
      <c r="J180" s="32"/>
      <c r="K180" s="32"/>
      <c r="L180" s="32"/>
    </row>
    <row r="181" s="30" customFormat="1" customHeight="1" spans="1:12">
      <c r="A181" s="31"/>
      <c r="B181" s="32"/>
      <c r="C181" s="33"/>
      <c r="D181" s="32"/>
      <c r="E181" s="32"/>
      <c r="F181" s="32"/>
      <c r="G181" s="32"/>
      <c r="H181" s="34"/>
      <c r="I181" s="34"/>
      <c r="J181" s="32"/>
      <c r="K181" s="32"/>
      <c r="L181" s="32"/>
    </row>
    <row r="182" s="30" customFormat="1" customHeight="1" spans="1:12">
      <c r="A182" s="31"/>
      <c r="B182" s="32"/>
      <c r="C182" s="33"/>
      <c r="D182" s="32"/>
      <c r="E182" s="32"/>
      <c r="F182" s="32"/>
      <c r="G182" s="32"/>
      <c r="H182" s="34"/>
      <c r="I182" s="34"/>
      <c r="J182" s="32"/>
      <c r="K182" s="32"/>
      <c r="L182" s="32"/>
    </row>
    <row r="183" s="30" customFormat="1" customHeight="1" spans="1:12">
      <c r="A183" s="31"/>
      <c r="B183" s="32"/>
      <c r="C183" s="33"/>
      <c r="D183" s="32"/>
      <c r="E183" s="32"/>
      <c r="F183" s="32"/>
      <c r="G183" s="32"/>
      <c r="H183" s="34"/>
      <c r="I183" s="34"/>
      <c r="J183" s="32"/>
      <c r="K183" s="32"/>
      <c r="L183" s="32"/>
    </row>
    <row r="184" s="30" customFormat="1" customHeight="1" spans="1:12">
      <c r="A184" s="31"/>
      <c r="B184" s="32"/>
      <c r="C184" s="33"/>
      <c r="D184" s="32"/>
      <c r="E184" s="32"/>
      <c r="F184" s="32"/>
      <c r="G184" s="32"/>
      <c r="H184" s="34"/>
      <c r="I184" s="34"/>
      <c r="J184" s="32"/>
      <c r="K184" s="32"/>
      <c r="L184" s="32"/>
    </row>
    <row r="185" s="30" customFormat="1" customHeight="1" spans="1:12">
      <c r="A185" s="31"/>
      <c r="B185" s="32"/>
      <c r="C185" s="33"/>
      <c r="D185" s="32"/>
      <c r="E185" s="32"/>
      <c r="F185" s="32"/>
      <c r="G185" s="32"/>
      <c r="H185" s="34"/>
      <c r="I185" s="34"/>
      <c r="J185" s="32"/>
      <c r="K185" s="32"/>
      <c r="L185" s="32"/>
    </row>
    <row r="186" s="30" customFormat="1" customHeight="1" spans="1:12">
      <c r="A186" s="31"/>
      <c r="B186" s="32"/>
      <c r="C186" s="33"/>
      <c r="D186" s="32"/>
      <c r="E186" s="32"/>
      <c r="F186" s="32"/>
      <c r="G186" s="32"/>
      <c r="H186" s="34"/>
      <c r="I186" s="34"/>
      <c r="J186" s="32"/>
      <c r="K186" s="32"/>
      <c r="L186" s="32"/>
    </row>
    <row r="187" s="30" customFormat="1" customHeight="1" spans="1:12">
      <c r="A187" s="31"/>
      <c r="B187" s="32"/>
      <c r="C187" s="33"/>
      <c r="D187" s="32"/>
      <c r="E187" s="32"/>
      <c r="F187" s="32"/>
      <c r="G187" s="32"/>
      <c r="H187" s="34"/>
      <c r="I187" s="34"/>
      <c r="J187" s="32"/>
      <c r="K187" s="32"/>
      <c r="L187" s="32"/>
    </row>
    <row r="188" s="30" customFormat="1" customHeight="1" spans="1:12">
      <c r="A188" s="31"/>
      <c r="B188" s="32"/>
      <c r="C188" s="33"/>
      <c r="D188" s="32"/>
      <c r="E188" s="32"/>
      <c r="F188" s="32"/>
      <c r="G188" s="32"/>
      <c r="H188" s="34"/>
      <c r="I188" s="34"/>
      <c r="J188" s="32"/>
      <c r="K188" s="32"/>
      <c r="L188" s="32"/>
    </row>
    <row r="189" s="30" customFormat="1" customHeight="1" spans="1:12">
      <c r="A189" s="31"/>
      <c r="B189" s="32"/>
      <c r="C189" s="33"/>
      <c r="D189" s="32"/>
      <c r="E189" s="32"/>
      <c r="F189" s="32"/>
      <c r="G189" s="32"/>
      <c r="H189" s="34"/>
      <c r="I189" s="34"/>
      <c r="J189" s="32"/>
      <c r="K189" s="32"/>
      <c r="L189" s="32"/>
    </row>
    <row r="239" s="30" customFormat="1" customHeight="1" spans="1:12">
      <c r="A239" s="31"/>
      <c r="B239" s="32"/>
      <c r="C239" s="33"/>
      <c r="D239" s="32"/>
      <c r="E239" s="32"/>
      <c r="F239" s="32"/>
      <c r="G239" s="32"/>
      <c r="H239" s="34"/>
      <c r="I239" s="34"/>
      <c r="J239" s="32"/>
      <c r="K239" s="32"/>
      <c r="L239" s="32"/>
    </row>
    <row r="240" s="30" customFormat="1" customHeight="1" spans="1:12">
      <c r="A240" s="31"/>
      <c r="B240" s="32"/>
      <c r="C240" s="33"/>
      <c r="D240" s="32"/>
      <c r="E240" s="32"/>
      <c r="F240" s="32"/>
      <c r="G240" s="32"/>
      <c r="H240" s="34"/>
      <c r="I240" s="34"/>
      <c r="J240" s="32"/>
      <c r="K240" s="32"/>
      <c r="L240" s="32"/>
    </row>
  </sheetData>
  <sheetCalcPr fullCalcOnLoad="1"/>
  <autoFilter xmlns:etc="http://www.wps.cn/officeDocument/2017/etCustomData" ref="A1:Q240" etc:filterBottomFollowUsedRange="0">
    <extLst/>
  </autoFilter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9"/>
  <sheetViews>
    <sheetView topLeftCell="C1" workbookViewId="0">
      <pane ySplit="1" topLeftCell="A2" activePane="bottomLeft" state="frozen"/>
      <selection/>
      <selection pane="bottomLeft" activeCell="C34" sqref="C34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2" width="9" style="23"/>
    <col min="13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9.5</v>
      </c>
      <c r="C2" s="28">
        <f ca="1">SUM(O2:O3)/B2</f>
        <v>1.04619883040936</v>
      </c>
      <c r="D2" s="5" t="s">
        <v>107</v>
      </c>
      <c r="E2" s="5" t="s">
        <v>108</v>
      </c>
      <c r="F2" s="6">
        <v>260</v>
      </c>
      <c r="G2" s="5" t="s">
        <v>24</v>
      </c>
      <c r="H2" s="6">
        <f ca="1" t="array" ref="H2">INDEX(成本核算表!J:J,MATCH(1,(成本核算表!D:D=E2)*(成本核算表!C:C=G2),0))</f>
        <v>50</v>
      </c>
      <c r="I2" s="6">
        <v>326</v>
      </c>
      <c r="J2" s="6">
        <f ca="1" t="shared" ref="J2:J65" si="0">H2*I2</f>
        <v>16300</v>
      </c>
      <c r="K2" s="6">
        <v>4</v>
      </c>
      <c r="L2" s="6"/>
      <c r="M2" s="6">
        <f ca="1">K2*H2</f>
        <v>200</v>
      </c>
      <c r="N2" s="6">
        <f ca="1" t="shared" ref="N2:N65" si="1">J2-M2+L2</f>
        <v>16100</v>
      </c>
      <c r="O2" s="6">
        <f ca="1" t="shared" ref="O2:O65" si="2">N2/3600</f>
        <v>4.47222222222222</v>
      </c>
      <c r="P2" s="6"/>
      <c r="Q2" s="6"/>
    </row>
    <row r="3" s="21" customFormat="1" ht="20" customHeight="1" spans="1:17">
      <c r="A3" s="27">
        <v>46082</v>
      </c>
      <c r="B3" s="6"/>
      <c r="C3" s="28"/>
      <c r="D3" s="5" t="s">
        <v>107</v>
      </c>
      <c r="E3" s="5" t="s">
        <v>108</v>
      </c>
      <c r="F3" s="6">
        <v>260</v>
      </c>
      <c r="G3" s="5" t="s">
        <v>25</v>
      </c>
      <c r="H3" s="6">
        <f ca="1" t="array" ref="H3">INDEX(成本核算表!J:J,MATCH(1,(成本核算表!D:D=E3)*(成本核算表!C:C=G3),0))</f>
        <v>60</v>
      </c>
      <c r="I3" s="6">
        <v>328</v>
      </c>
      <c r="J3" s="6">
        <f ca="1" t="shared" si="0"/>
        <v>19680</v>
      </c>
      <c r="K3" s="6"/>
      <c r="L3" s="6"/>
      <c r="M3" s="6"/>
      <c r="N3" s="6">
        <f ca="1" t="shared" si="1"/>
        <v>19680</v>
      </c>
      <c r="O3" s="6">
        <f ca="1" t="shared" si="2"/>
        <v>5.46666666666667</v>
      </c>
      <c r="P3" s="6"/>
      <c r="Q3" s="6"/>
    </row>
    <row r="4" s="21" customFormat="1" ht="20" customHeight="1" spans="1:17">
      <c r="A4" s="27">
        <v>46083</v>
      </c>
      <c r="B4" s="6">
        <v>11</v>
      </c>
      <c r="C4" s="28">
        <f ca="1">SUM(O4:O5)/B4</f>
        <v>1.37575757575758</v>
      </c>
      <c r="D4" s="5" t="s">
        <v>17</v>
      </c>
      <c r="E4" s="6" t="s">
        <v>18</v>
      </c>
      <c r="F4" s="6">
        <v>1942</v>
      </c>
      <c r="G4" s="5" t="s">
        <v>19</v>
      </c>
      <c r="H4" s="6">
        <f ca="1" t="array" ref="H4">INDEX(成本核算表!J:J,MATCH(1,(成本核算表!D:D=E4)*(成本核算表!C:C=G4),0))</f>
        <v>48</v>
      </c>
      <c r="I4" s="6">
        <v>507</v>
      </c>
      <c r="J4" s="6">
        <f ca="1" t="shared" si="0"/>
        <v>24336</v>
      </c>
      <c r="K4" s="6"/>
      <c r="L4" s="6"/>
      <c r="M4" s="6"/>
      <c r="N4" s="6">
        <f ca="1" t="shared" si="1"/>
        <v>24336</v>
      </c>
      <c r="O4" s="6">
        <f ca="1" t="shared" si="2"/>
        <v>6.76</v>
      </c>
      <c r="P4" s="6"/>
      <c r="Q4" s="6"/>
    </row>
    <row r="5" s="21" customFormat="1" ht="20" customHeight="1" spans="1:17">
      <c r="A5" s="27">
        <v>46083</v>
      </c>
      <c r="B5" s="6"/>
      <c r="C5" s="28"/>
      <c r="D5" s="5" t="s">
        <v>20</v>
      </c>
      <c r="E5" s="6" t="s">
        <v>18</v>
      </c>
      <c r="F5" s="6">
        <v>1942</v>
      </c>
      <c r="G5" s="5" t="s">
        <v>19</v>
      </c>
      <c r="H5" s="6">
        <f ca="1" t="array" ref="H5">INDEX(成本核算表!J:J,MATCH(1,(成本核算表!D:D=E5)*(成本核算表!C:C=G5),0))</f>
        <v>48</v>
      </c>
      <c r="I5" s="6">
        <v>628</v>
      </c>
      <c r="J5" s="6">
        <f ca="1" t="shared" si="0"/>
        <v>30144</v>
      </c>
      <c r="K5" s="6"/>
      <c r="L5" s="6"/>
      <c r="M5" s="6"/>
      <c r="N5" s="6">
        <f ca="1" t="shared" si="1"/>
        <v>30144</v>
      </c>
      <c r="O5" s="6">
        <f ca="1" t="shared" si="2"/>
        <v>8.37333333333333</v>
      </c>
      <c r="P5" s="6"/>
      <c r="Q5" s="6"/>
    </row>
    <row r="6" s="21" customFormat="1" ht="20" customHeight="1" spans="1:17">
      <c r="A6" s="6"/>
      <c r="B6" s="6"/>
      <c r="C6" s="28"/>
      <c r="D6" s="6"/>
      <c r="E6" s="6"/>
      <c r="F6" s="6"/>
      <c r="G6" s="6"/>
      <c r="H6" s="6"/>
      <c r="I6" s="6"/>
      <c r="J6" s="6">
        <f t="shared" si="0"/>
        <v>0</v>
      </c>
      <c r="K6" s="6"/>
      <c r="L6" s="6"/>
      <c r="M6" s="6"/>
      <c r="N6" s="6">
        <f t="shared" si="1"/>
        <v>0</v>
      </c>
      <c r="O6" s="6">
        <f t="shared" si="2"/>
        <v>0</v>
      </c>
      <c r="P6" s="6"/>
      <c r="Q6" s="6"/>
    </row>
    <row r="7" s="21" customFormat="1" ht="20" customHeight="1" spans="1:17">
      <c r="A7" s="6"/>
      <c r="B7" s="6"/>
      <c r="C7" s="28"/>
      <c r="D7" s="6"/>
      <c r="E7" s="6"/>
      <c r="F7" s="6"/>
      <c r="G7" s="6"/>
      <c r="H7" s="6"/>
      <c r="I7" s="6"/>
      <c r="J7" s="6">
        <f t="shared" si="0"/>
        <v>0</v>
      </c>
      <c r="K7" s="6"/>
      <c r="L7" s="6"/>
      <c r="M7" s="6"/>
      <c r="N7" s="6">
        <f t="shared" si="1"/>
        <v>0</v>
      </c>
      <c r="O7" s="6">
        <f t="shared" si="2"/>
        <v>0</v>
      </c>
      <c r="P7" s="6"/>
      <c r="Q7" s="6"/>
    </row>
    <row r="8" s="21" customFormat="1" ht="20" customHeight="1" spans="1:17">
      <c r="A8" s="27">
        <v>46086</v>
      </c>
      <c r="B8" s="6">
        <v>11</v>
      </c>
      <c r="C8" s="28">
        <f ca="1">O8/B8</f>
        <v>1.01548821548822</v>
      </c>
      <c r="D8" s="6"/>
      <c r="E8" s="5" t="s">
        <v>101</v>
      </c>
      <c r="F8" s="6">
        <v>138.8</v>
      </c>
      <c r="G8" s="5" t="s">
        <v>102</v>
      </c>
      <c r="H8" s="6">
        <f ca="1" t="array" ref="H8">INDEX(成本核算表!J:J,MATCH(1,(成本核算表!D:D=E8)*(成本核算表!C:C=G8),0))</f>
        <v>160</v>
      </c>
      <c r="I8" s="6">
        <f>754/3</f>
        <v>251.333333333333</v>
      </c>
      <c r="J8" s="6">
        <f ca="1" t="shared" si="0"/>
        <v>40213.3333333333</v>
      </c>
      <c r="K8" s="6"/>
      <c r="L8" s="6"/>
      <c r="M8" s="6">
        <f ca="1">K8*H8</f>
        <v>0</v>
      </c>
      <c r="N8" s="6">
        <f ca="1" t="shared" si="1"/>
        <v>40213.3333333333</v>
      </c>
      <c r="O8" s="6">
        <f ca="1" t="shared" si="2"/>
        <v>11.1703703703704</v>
      </c>
      <c r="P8" s="6"/>
      <c r="Q8" s="6"/>
    </row>
    <row r="9" s="21" customFormat="1" ht="20" customHeight="1" spans="1:17">
      <c r="A9" s="27">
        <v>46087</v>
      </c>
      <c r="B9" s="6">
        <v>11</v>
      </c>
      <c r="C9" s="28">
        <f ca="1">SUM(O9:O11)/B9</f>
        <v>1.03626262626263</v>
      </c>
      <c r="D9" s="5" t="s">
        <v>115</v>
      </c>
      <c r="E9" s="5" t="s">
        <v>116</v>
      </c>
      <c r="F9" s="6">
        <v>138.8</v>
      </c>
      <c r="G9" s="5" t="s">
        <v>22</v>
      </c>
      <c r="H9" s="6">
        <f ca="1" t="array" ref="H9">INDEX(成本核算表!J:J,MATCH(1,(成本核算表!D:D=E9)*(成本核算表!C:C=G9),0))</f>
        <v>300</v>
      </c>
      <c r="I9" s="6">
        <v>17</v>
      </c>
      <c r="J9" s="6">
        <f ca="1" t="shared" si="0"/>
        <v>5100</v>
      </c>
      <c r="K9" s="6"/>
      <c r="L9" s="6"/>
      <c r="M9" s="6"/>
      <c r="N9" s="6">
        <f ca="1" t="shared" si="1"/>
        <v>5100</v>
      </c>
      <c r="O9" s="6">
        <f ca="1" t="shared" si="2"/>
        <v>1.41666666666667</v>
      </c>
      <c r="P9" s="6"/>
      <c r="Q9" s="6"/>
    </row>
    <row r="10" s="21" customFormat="1" ht="20" customHeight="1" spans="1:17">
      <c r="A10" s="27">
        <v>46087</v>
      </c>
      <c r="B10" s="6"/>
      <c r="C10" s="28"/>
      <c r="D10" s="5" t="s">
        <v>117</v>
      </c>
      <c r="E10" s="5" t="s">
        <v>118</v>
      </c>
      <c r="F10" s="6">
        <v>138.8</v>
      </c>
      <c r="G10" s="5" t="s">
        <v>22</v>
      </c>
      <c r="H10" s="6">
        <f ca="1" t="array" ref="H10">INDEX(成本核算表!J:J,MATCH(1,(成本核算表!D:D=E10)*(成本核算表!C:C=G10),0))</f>
        <v>276</v>
      </c>
      <c r="I10" s="6">
        <v>62</v>
      </c>
      <c r="J10" s="6">
        <f ca="1" t="shared" si="0"/>
        <v>17112</v>
      </c>
      <c r="K10" s="6">
        <v>6</v>
      </c>
      <c r="L10" s="6"/>
      <c r="M10" s="6">
        <f ca="1">K10*H10</f>
        <v>1656</v>
      </c>
      <c r="N10" s="6">
        <f ca="1" t="shared" si="1"/>
        <v>15456</v>
      </c>
      <c r="O10" s="6">
        <f ca="1" t="shared" si="2"/>
        <v>4.29333333333333</v>
      </c>
      <c r="P10" s="6"/>
      <c r="Q10" s="6"/>
    </row>
    <row r="11" s="21" customFormat="1" ht="20" customHeight="1" spans="1:17">
      <c r="A11" s="27">
        <v>46087</v>
      </c>
      <c r="B11" s="6"/>
      <c r="C11" s="28"/>
      <c r="D11" s="6"/>
      <c r="E11" s="5" t="s">
        <v>101</v>
      </c>
      <c r="F11" s="6">
        <v>138.8</v>
      </c>
      <c r="G11" s="5" t="s">
        <v>22</v>
      </c>
      <c r="H11" s="6">
        <f ca="1" t="array" ref="H11">INDEX(成本核算表!J:J,MATCH(1,(成本核算表!D:D=E11)*(成本核算表!C:C=G11),0))</f>
        <v>160</v>
      </c>
      <c r="I11" s="6">
        <f>384/3</f>
        <v>128</v>
      </c>
      <c r="J11" s="6">
        <f ca="1" t="shared" si="0"/>
        <v>20480</v>
      </c>
      <c r="K11" s="6"/>
      <c r="L11" s="6"/>
      <c r="M11" s="6"/>
      <c r="N11" s="6">
        <f ca="1" t="shared" si="1"/>
        <v>20480</v>
      </c>
      <c r="O11" s="6">
        <f ca="1" t="shared" si="2"/>
        <v>5.68888888888889</v>
      </c>
      <c r="P11" s="6"/>
      <c r="Q11" s="6"/>
    </row>
    <row r="12" s="21" customFormat="1" ht="20" customHeight="1" spans="1:17">
      <c r="A12" s="27">
        <v>46088</v>
      </c>
      <c r="B12" s="6">
        <v>11</v>
      </c>
      <c r="C12" s="28"/>
      <c r="D12" s="5" t="s">
        <v>135</v>
      </c>
      <c r="E12" s="5" t="s">
        <v>136</v>
      </c>
      <c r="F12" s="6">
        <v>190</v>
      </c>
      <c r="G12" s="5" t="s">
        <v>22</v>
      </c>
      <c r="H12" s="6">
        <f ca="1" t="array" ref="H12">INDEX(成本核算表!J:J,MATCH(1,(成本核算表!D:D=E12)*(成本核算表!C:C=G12),0))</f>
        <v>160</v>
      </c>
      <c r="I12" s="6">
        <v>270</v>
      </c>
      <c r="J12" s="6">
        <f ca="1" t="shared" si="0"/>
        <v>43200</v>
      </c>
      <c r="K12" s="6"/>
      <c r="L12" s="6"/>
      <c r="M12" s="6"/>
      <c r="N12" s="6">
        <f ca="1" t="shared" si="1"/>
        <v>43200</v>
      </c>
      <c r="O12" s="6">
        <f ca="1" t="shared" si="2"/>
        <v>12</v>
      </c>
      <c r="P12" s="6"/>
      <c r="Q12" s="6"/>
    </row>
    <row r="13" s="21" customFormat="1" ht="20" customHeight="1" spans="1:17">
      <c r="A13" s="27">
        <v>46089</v>
      </c>
      <c r="B13" s="6">
        <v>9.5</v>
      </c>
      <c r="C13" s="28">
        <f ca="1" t="shared" ref="C13:C17" si="3">SUM(O13:O14)/B13</f>
        <v>1.30409356725146</v>
      </c>
      <c r="D13" s="5" t="s">
        <v>107</v>
      </c>
      <c r="E13" s="5" t="s">
        <v>108</v>
      </c>
      <c r="F13" s="6">
        <v>260</v>
      </c>
      <c r="G13" s="5" t="s">
        <v>24</v>
      </c>
      <c r="H13" s="6">
        <f ca="1" t="array" ref="H13">INDEX(成本核算表!J:J,MATCH(1,(成本核算表!D:D=E13)*(成本核算表!C:C=G13),0))</f>
        <v>50</v>
      </c>
      <c r="I13" s="6">
        <v>340</v>
      </c>
      <c r="J13" s="6">
        <f ca="1" t="shared" si="0"/>
        <v>17000</v>
      </c>
      <c r="K13" s="6"/>
      <c r="L13" s="6">
        <v>7200</v>
      </c>
      <c r="M13" s="6"/>
      <c r="N13" s="6">
        <f ca="1" t="shared" si="1"/>
        <v>24200</v>
      </c>
      <c r="O13" s="6">
        <f ca="1" t="shared" si="2"/>
        <v>6.72222222222222</v>
      </c>
      <c r="P13" s="6"/>
      <c r="Q13" s="5" t="s">
        <v>109</v>
      </c>
    </row>
    <row r="14" s="21" customFormat="1" ht="20" customHeight="1" spans="1:17">
      <c r="A14" s="27">
        <v>46089</v>
      </c>
      <c r="B14" s="6"/>
      <c r="C14" s="28"/>
      <c r="D14" s="5" t="s">
        <v>107</v>
      </c>
      <c r="E14" s="5" t="s">
        <v>108</v>
      </c>
      <c r="F14" s="6">
        <v>260</v>
      </c>
      <c r="G14" s="5" t="s">
        <v>25</v>
      </c>
      <c r="H14" s="6">
        <f ca="1" t="array" ref="H14">INDEX(成本核算表!J:J,MATCH(1,(成本核算表!D:D=E14)*(成本核算表!C:C=G14),0))</f>
        <v>60</v>
      </c>
      <c r="I14" s="6">
        <v>340</v>
      </c>
      <c r="J14" s="6">
        <f ca="1" t="shared" si="0"/>
        <v>20400</v>
      </c>
      <c r="K14" s="6"/>
      <c r="L14" s="6"/>
      <c r="M14" s="6"/>
      <c r="N14" s="6">
        <f ca="1" t="shared" si="1"/>
        <v>20400</v>
      </c>
      <c r="O14" s="6">
        <f ca="1" t="shared" si="2"/>
        <v>5.66666666666667</v>
      </c>
      <c r="P14" s="6"/>
      <c r="Q14" s="6"/>
    </row>
    <row r="15" s="21" customFormat="1" ht="20" customHeight="1" spans="1:17">
      <c r="A15" s="27">
        <v>46090</v>
      </c>
      <c r="B15" s="6">
        <v>11</v>
      </c>
      <c r="C15" s="28">
        <f ca="1" t="shared" si="3"/>
        <v>1.29292929292929</v>
      </c>
      <c r="D15" s="5" t="s">
        <v>107</v>
      </c>
      <c r="E15" s="5" t="s">
        <v>108</v>
      </c>
      <c r="F15" s="6">
        <v>260</v>
      </c>
      <c r="G15" s="5" t="s">
        <v>24</v>
      </c>
      <c r="H15" s="6">
        <f ca="1" t="array" ref="H15">INDEX(成本核算表!J:J,MATCH(1,(成本核算表!D:D=E15)*(成本核算表!C:C=G15),0))</f>
        <v>50</v>
      </c>
      <c r="I15" s="6">
        <v>400</v>
      </c>
      <c r="J15" s="6">
        <f ca="1" t="shared" si="0"/>
        <v>20000</v>
      </c>
      <c r="K15" s="6"/>
      <c r="L15" s="6">
        <v>7200</v>
      </c>
      <c r="M15" s="6"/>
      <c r="N15" s="6">
        <f ca="1" t="shared" si="1"/>
        <v>27200</v>
      </c>
      <c r="O15" s="6">
        <f ca="1" t="shared" si="2"/>
        <v>7.55555555555556</v>
      </c>
      <c r="P15" s="6"/>
      <c r="Q15" s="5" t="s">
        <v>109</v>
      </c>
    </row>
    <row r="16" s="21" customFormat="1" ht="20" customHeight="1" spans="1:17">
      <c r="A16" s="27">
        <v>46090</v>
      </c>
      <c r="B16" s="6"/>
      <c r="C16" s="28"/>
      <c r="D16" s="5" t="s">
        <v>107</v>
      </c>
      <c r="E16" s="5" t="s">
        <v>108</v>
      </c>
      <c r="F16" s="6">
        <v>260</v>
      </c>
      <c r="G16" s="5" t="s">
        <v>25</v>
      </c>
      <c r="H16" s="6">
        <f ca="1" t="array" ref="H16">INDEX(成本核算表!J:J,MATCH(1,(成本核算表!D:D=E16)*(成本核算表!C:C=G16),0))</f>
        <v>60</v>
      </c>
      <c r="I16" s="6">
        <v>400</v>
      </c>
      <c r="J16" s="6">
        <f ca="1" t="shared" si="0"/>
        <v>24000</v>
      </c>
      <c r="K16" s="6"/>
      <c r="L16" s="6"/>
      <c r="M16" s="6"/>
      <c r="N16" s="6">
        <f ca="1" t="shared" si="1"/>
        <v>24000</v>
      </c>
      <c r="O16" s="6">
        <f ca="1" t="shared" si="2"/>
        <v>6.66666666666667</v>
      </c>
      <c r="P16" s="6"/>
      <c r="Q16" s="6"/>
    </row>
    <row r="17" s="21" customFormat="1" ht="20" customHeight="1" spans="1:17">
      <c r="A17" s="27">
        <v>46091</v>
      </c>
      <c r="B17" s="6">
        <v>11</v>
      </c>
      <c r="C17" s="28">
        <f ca="1" t="shared" si="3"/>
        <v>1.29292929292929</v>
      </c>
      <c r="D17" s="5" t="s">
        <v>107</v>
      </c>
      <c r="E17" s="5" t="s">
        <v>108</v>
      </c>
      <c r="F17" s="6">
        <v>260</v>
      </c>
      <c r="G17" s="5" t="s">
        <v>24</v>
      </c>
      <c r="H17" s="6">
        <f ca="1" t="array" ref="H17">INDEX(成本核算表!J:J,MATCH(1,(成本核算表!D:D=E17)*(成本核算表!C:C=G17),0))</f>
        <v>50</v>
      </c>
      <c r="I17" s="6">
        <v>400</v>
      </c>
      <c r="J17" s="6">
        <f ca="1" t="shared" si="0"/>
        <v>20000</v>
      </c>
      <c r="K17" s="6"/>
      <c r="L17" s="6">
        <v>7200</v>
      </c>
      <c r="M17" s="6"/>
      <c r="N17" s="6">
        <f ca="1" t="shared" si="1"/>
        <v>27200</v>
      </c>
      <c r="O17" s="6">
        <f ca="1" t="shared" si="2"/>
        <v>7.55555555555556</v>
      </c>
      <c r="P17" s="6"/>
      <c r="Q17" s="5" t="s">
        <v>109</v>
      </c>
    </row>
    <row r="18" s="21" customFormat="1" ht="20" customHeight="1" spans="1:17">
      <c r="A18" s="27">
        <v>46091</v>
      </c>
      <c r="B18" s="6"/>
      <c r="C18" s="28"/>
      <c r="D18" s="5" t="s">
        <v>107</v>
      </c>
      <c r="E18" s="5" t="s">
        <v>108</v>
      </c>
      <c r="F18" s="6">
        <v>260</v>
      </c>
      <c r="G18" s="5" t="s">
        <v>25</v>
      </c>
      <c r="H18" s="6">
        <f ca="1" t="array" ref="H18">INDEX(成本核算表!J:J,MATCH(1,(成本核算表!D:D=E18)*(成本核算表!C:C=G18),0))</f>
        <v>60</v>
      </c>
      <c r="I18" s="6">
        <v>400</v>
      </c>
      <c r="J18" s="6">
        <f ca="1" t="shared" si="0"/>
        <v>24000</v>
      </c>
      <c r="K18" s="6"/>
      <c r="L18" s="6"/>
      <c r="M18" s="6"/>
      <c r="N18" s="6">
        <f ca="1" t="shared" si="1"/>
        <v>24000</v>
      </c>
      <c r="O18" s="6">
        <f ca="1" t="shared" si="2"/>
        <v>6.66666666666667</v>
      </c>
      <c r="P18" s="6"/>
      <c r="Q18" s="6"/>
    </row>
    <row r="19" s="21" customFormat="1" ht="20" customHeight="1" spans="1:17">
      <c r="A19" s="27">
        <v>46092</v>
      </c>
      <c r="B19" s="6">
        <v>11</v>
      </c>
      <c r="C19" s="28">
        <f ca="1" t="shared" ref="C19:C24" si="4">SUM(O19:O20)/B19</f>
        <v>0.968181818181818</v>
      </c>
      <c r="D19" s="5" t="s">
        <v>77</v>
      </c>
      <c r="E19" s="5" t="s">
        <v>78</v>
      </c>
      <c r="F19" s="6">
        <v>1960</v>
      </c>
      <c r="G19" s="5" t="s">
        <v>22</v>
      </c>
      <c r="H19" s="6">
        <f ca="1" t="array" ref="H19">INDEX(成本核算表!J:J,MATCH(1,(成本核算表!D:D=E19)*(成本核算表!C:C=G19),0))</f>
        <v>60</v>
      </c>
      <c r="I19" s="6">
        <v>239</v>
      </c>
      <c r="J19" s="6">
        <f ca="1" t="shared" si="0"/>
        <v>14340</v>
      </c>
      <c r="K19" s="6"/>
      <c r="L19" s="6"/>
      <c r="M19" s="6"/>
      <c r="N19" s="6">
        <f ca="1" t="shared" si="1"/>
        <v>14340</v>
      </c>
      <c r="O19" s="6">
        <f ca="1" t="shared" si="2"/>
        <v>3.98333333333333</v>
      </c>
      <c r="P19" s="6"/>
      <c r="Q19" s="6"/>
    </row>
    <row r="20" s="21" customFormat="1" ht="20" customHeight="1" spans="1:17">
      <c r="A20" s="27">
        <v>46092</v>
      </c>
      <c r="B20" s="6"/>
      <c r="C20" s="28"/>
      <c r="D20" s="5" t="s">
        <v>84</v>
      </c>
      <c r="E20" s="5" t="s">
        <v>78</v>
      </c>
      <c r="F20" s="6">
        <v>780</v>
      </c>
      <c r="G20" s="5" t="s">
        <v>22</v>
      </c>
      <c r="H20" s="6">
        <f ca="1" t="array" ref="H20">INDEX(成本核算表!J:J,MATCH(1,(成本核算表!D:D=E20)*(成本核算表!C:C=G20),0))</f>
        <v>60</v>
      </c>
      <c r="I20" s="6">
        <v>400</v>
      </c>
      <c r="J20" s="6">
        <f ca="1" t="shared" si="0"/>
        <v>24000</v>
      </c>
      <c r="K20" s="6"/>
      <c r="L20" s="6"/>
      <c r="M20" s="6"/>
      <c r="N20" s="6">
        <f ca="1" t="shared" si="1"/>
        <v>24000</v>
      </c>
      <c r="O20" s="6">
        <f ca="1" t="shared" si="2"/>
        <v>6.66666666666667</v>
      </c>
      <c r="P20" s="6"/>
      <c r="Q20" s="6"/>
    </row>
    <row r="21" s="21" customFormat="1" ht="20" customHeight="1" spans="1:17">
      <c r="A21" s="27">
        <v>46093</v>
      </c>
      <c r="B21" s="6">
        <v>11</v>
      </c>
      <c r="C21" s="28">
        <f ca="1" t="shared" si="4"/>
        <v>1.11111111111111</v>
      </c>
      <c r="D21" s="5" t="s">
        <v>107</v>
      </c>
      <c r="E21" s="5" t="s">
        <v>108</v>
      </c>
      <c r="F21" s="6">
        <v>260</v>
      </c>
      <c r="G21" s="5" t="s">
        <v>24</v>
      </c>
      <c r="H21" s="6">
        <f ca="1" t="array" ref="H21">INDEX(成本核算表!J:J,MATCH(1,(成本核算表!D:D=E21)*(成本核算表!C:C=G21),0))</f>
        <v>50</v>
      </c>
      <c r="I21" s="6">
        <v>400</v>
      </c>
      <c r="J21" s="6">
        <f ca="1" t="shared" si="0"/>
        <v>20000</v>
      </c>
      <c r="K21" s="6"/>
      <c r="L21" s="6"/>
      <c r="M21" s="6"/>
      <c r="N21" s="6">
        <f ca="1" t="shared" si="1"/>
        <v>20000</v>
      </c>
      <c r="O21" s="6">
        <f ca="1" t="shared" si="2"/>
        <v>5.55555555555556</v>
      </c>
      <c r="P21" s="6"/>
      <c r="Q21" s="6"/>
    </row>
    <row r="22" s="21" customFormat="1" ht="20" customHeight="1" spans="1:17">
      <c r="A22" s="27">
        <v>46093</v>
      </c>
      <c r="B22" s="6"/>
      <c r="C22" s="28"/>
      <c r="D22" s="5" t="s">
        <v>107</v>
      </c>
      <c r="E22" s="5" t="s">
        <v>108</v>
      </c>
      <c r="F22" s="6">
        <v>260</v>
      </c>
      <c r="G22" s="5" t="s">
        <v>25</v>
      </c>
      <c r="H22" s="6">
        <f ca="1" t="array" ref="H22">INDEX(成本核算表!J:J,MATCH(1,(成本核算表!D:D=E22)*(成本核算表!C:C=G22),0))</f>
        <v>60</v>
      </c>
      <c r="I22" s="6">
        <v>400</v>
      </c>
      <c r="J22" s="6">
        <f ca="1" t="shared" si="0"/>
        <v>24000</v>
      </c>
      <c r="K22" s="6"/>
      <c r="L22" s="6"/>
      <c r="M22" s="6"/>
      <c r="N22" s="6">
        <f ca="1" t="shared" si="1"/>
        <v>24000</v>
      </c>
      <c r="O22" s="6">
        <f ca="1" t="shared" si="2"/>
        <v>6.66666666666667</v>
      </c>
      <c r="P22" s="6"/>
      <c r="Q22" s="6"/>
    </row>
    <row r="23" s="21" customFormat="1" ht="20" customHeight="1" spans="1:17">
      <c r="A23" s="27">
        <v>46094</v>
      </c>
      <c r="B23" s="6">
        <v>11</v>
      </c>
      <c r="C23" s="28">
        <f ca="1">SUM(O23/B23)</f>
        <v>1.1780303030303</v>
      </c>
      <c r="D23" s="5" t="s">
        <v>17</v>
      </c>
      <c r="E23" s="6" t="s">
        <v>18</v>
      </c>
      <c r="F23" s="6">
        <v>1942</v>
      </c>
      <c r="G23" s="5" t="s">
        <v>140</v>
      </c>
      <c r="H23" s="6">
        <f ca="1" t="array" ref="H23">INDEX(成本核算表!J:J,MATCH(1,(成本核算表!D:D=E23)*(成本核算表!C:C=G23),0))</f>
        <v>30</v>
      </c>
      <c r="I23" s="6">
        <f>1555</f>
        <v>1555</v>
      </c>
      <c r="J23" s="6">
        <f ca="1" t="shared" si="0"/>
        <v>46650</v>
      </c>
      <c r="K23" s="6"/>
      <c r="L23" s="6"/>
      <c r="M23" s="6"/>
      <c r="N23" s="6">
        <f ca="1" t="shared" si="1"/>
        <v>46650</v>
      </c>
      <c r="O23" s="6">
        <f ca="1" t="shared" si="2"/>
        <v>12.9583333333333</v>
      </c>
      <c r="P23" s="6"/>
      <c r="Q23" s="6"/>
    </row>
    <row r="24" s="21" customFormat="1" ht="20" customHeight="1" spans="1:17">
      <c r="A24" s="27">
        <v>46095</v>
      </c>
      <c r="B24" s="6">
        <v>11</v>
      </c>
      <c r="C24" s="28">
        <f ca="1" t="shared" si="4"/>
        <v>1.11111111111111</v>
      </c>
      <c r="D24" s="5" t="s">
        <v>107</v>
      </c>
      <c r="E24" s="5" t="s">
        <v>108</v>
      </c>
      <c r="F24" s="6">
        <v>260</v>
      </c>
      <c r="G24" s="5" t="s">
        <v>24</v>
      </c>
      <c r="H24" s="6">
        <f ca="1" t="array" ref="H24">INDEX(成本核算表!J:J,MATCH(1,(成本核算表!D:D=E24)*(成本核算表!C:C=G24),0))</f>
        <v>50</v>
      </c>
      <c r="I24" s="6">
        <v>400</v>
      </c>
      <c r="J24" s="6">
        <f ca="1" t="shared" si="0"/>
        <v>20000</v>
      </c>
      <c r="K24" s="6"/>
      <c r="L24" s="6"/>
      <c r="M24" s="6"/>
      <c r="N24" s="6">
        <f ca="1" t="shared" si="1"/>
        <v>20000</v>
      </c>
      <c r="O24" s="6">
        <f ca="1" t="shared" si="2"/>
        <v>5.55555555555556</v>
      </c>
      <c r="P24" s="6"/>
      <c r="Q24" s="6"/>
    </row>
    <row r="25" s="21" customFormat="1" ht="20" customHeight="1" spans="1:17">
      <c r="A25" s="27">
        <v>46095</v>
      </c>
      <c r="B25" s="6"/>
      <c r="C25" s="28"/>
      <c r="D25" s="5" t="s">
        <v>107</v>
      </c>
      <c r="E25" s="5" t="s">
        <v>108</v>
      </c>
      <c r="F25" s="6">
        <v>260</v>
      </c>
      <c r="G25" s="5" t="s">
        <v>25</v>
      </c>
      <c r="H25" s="6">
        <f ca="1" t="array" ref="H25">INDEX(成本核算表!J:J,MATCH(1,(成本核算表!D:D=E25)*(成本核算表!C:C=G25),0))</f>
        <v>60</v>
      </c>
      <c r="I25" s="6">
        <v>400</v>
      </c>
      <c r="J25" s="6">
        <f ca="1" t="shared" si="0"/>
        <v>24000</v>
      </c>
      <c r="K25" s="6"/>
      <c r="L25" s="6"/>
      <c r="M25" s="6"/>
      <c r="N25" s="6">
        <f ca="1" t="shared" si="1"/>
        <v>24000</v>
      </c>
      <c r="O25" s="6">
        <f ca="1" t="shared" si="2"/>
        <v>6.66666666666667</v>
      </c>
      <c r="P25" s="6"/>
      <c r="Q25" s="6"/>
    </row>
    <row r="26" s="21" customFormat="1" ht="20" customHeight="1" spans="1:17">
      <c r="A26" s="27">
        <v>46096</v>
      </c>
      <c r="B26" s="6">
        <v>9.5</v>
      </c>
      <c r="C26" s="28">
        <f ca="1">SUM(O26:O28)/B26</f>
        <v>0.996491228070175</v>
      </c>
      <c r="D26" s="5" t="s">
        <v>87</v>
      </c>
      <c r="E26" s="5" t="s">
        <v>52</v>
      </c>
      <c r="F26" s="6">
        <v>950</v>
      </c>
      <c r="G26" s="5" t="s">
        <v>70</v>
      </c>
      <c r="H26" s="6">
        <f ca="1" t="array" ref="H26">INDEX(成本核算表!J:J,MATCH(1,(成本核算表!D:D=E26)*(成本核算表!C:C=G26),0))</f>
        <v>12</v>
      </c>
      <c r="I26" s="6">
        <v>1000</v>
      </c>
      <c r="J26" s="6">
        <f ca="1" t="shared" si="0"/>
        <v>12000</v>
      </c>
      <c r="K26" s="6"/>
      <c r="L26" s="6"/>
      <c r="M26" s="6"/>
      <c r="N26" s="6">
        <f ca="1" t="shared" si="1"/>
        <v>12000</v>
      </c>
      <c r="O26" s="6">
        <f ca="1" t="shared" si="2"/>
        <v>3.33333333333333</v>
      </c>
      <c r="P26" s="6"/>
      <c r="Q26" s="6"/>
    </row>
    <row r="27" s="21" customFormat="1" ht="20" customHeight="1" spans="1:17">
      <c r="A27" s="27">
        <v>46096</v>
      </c>
      <c r="B27" s="6"/>
      <c r="C27" s="28"/>
      <c r="D27" s="5" t="s">
        <v>88</v>
      </c>
      <c r="E27" s="5" t="s">
        <v>52</v>
      </c>
      <c r="F27" s="6">
        <v>950</v>
      </c>
      <c r="G27" s="5" t="s">
        <v>70</v>
      </c>
      <c r="H27" s="6">
        <f ca="1" t="array" ref="H27">INDEX(成本核算表!J:J,MATCH(1,(成本核算表!D:D=E27)*(成本核算表!C:C=G27),0))</f>
        <v>12</v>
      </c>
      <c r="I27" s="6">
        <v>1200</v>
      </c>
      <c r="J27" s="6">
        <f ca="1" t="shared" si="0"/>
        <v>14400</v>
      </c>
      <c r="K27" s="6"/>
      <c r="L27" s="6"/>
      <c r="M27" s="6"/>
      <c r="N27" s="6">
        <f ca="1" t="shared" si="1"/>
        <v>14400</v>
      </c>
      <c r="O27" s="6">
        <f ca="1" t="shared" si="2"/>
        <v>4</v>
      </c>
      <c r="P27" s="6"/>
      <c r="Q27" s="6"/>
    </row>
    <row r="28" s="21" customFormat="1" ht="20" customHeight="1" spans="1:17">
      <c r="A28" s="27">
        <v>46096</v>
      </c>
      <c r="B28" s="6"/>
      <c r="C28" s="28"/>
      <c r="D28" s="5" t="s">
        <v>150</v>
      </c>
      <c r="E28" s="5" t="s">
        <v>52</v>
      </c>
      <c r="F28" s="6">
        <v>950</v>
      </c>
      <c r="G28" s="5" t="s">
        <v>70</v>
      </c>
      <c r="H28" s="6">
        <f ca="1" t="array" ref="H28">INDEX(成本核算表!J:J,MATCH(1,(成本核算表!D:D=E28)*(成本核算表!C:C=G28),0))</f>
        <v>12</v>
      </c>
      <c r="I28" s="6">
        <v>640</v>
      </c>
      <c r="J28" s="6">
        <f ca="1" t="shared" si="0"/>
        <v>7680</v>
      </c>
      <c r="K28" s="6"/>
      <c r="L28" s="6"/>
      <c r="M28" s="6"/>
      <c r="N28" s="6">
        <f ca="1" t="shared" si="1"/>
        <v>7680</v>
      </c>
      <c r="O28" s="6">
        <f ca="1" t="shared" si="2"/>
        <v>2.13333333333333</v>
      </c>
      <c r="P28" s="6"/>
      <c r="Q28" s="6"/>
    </row>
    <row r="29" s="21" customFormat="1" ht="20" customHeight="1" spans="1:17">
      <c r="A29" s="6"/>
      <c r="B29" s="6"/>
      <c r="C29" s="28"/>
      <c r="D29" s="6"/>
      <c r="E29" s="6"/>
      <c r="F29" s="6"/>
      <c r="G29" s="6"/>
      <c r="H29" s="6">
        <f ca="1" t="array" ref="H29">INDEX(成本核算表!J:J,MATCH(1,(成本核算表!D:D=E29)*(成本核算表!C:C=G29),0))</f>
        <v>0</v>
      </c>
      <c r="I29" s="6"/>
      <c r="J29" s="6">
        <f ca="1" t="shared" si="0"/>
        <v>0</v>
      </c>
      <c r="K29" s="6"/>
      <c r="L29" s="6"/>
      <c r="M29" s="6"/>
      <c r="N29" s="6">
        <f ca="1" t="shared" si="1"/>
        <v>0</v>
      </c>
      <c r="O29" s="6">
        <f ca="1" t="shared" si="2"/>
        <v>0</v>
      </c>
      <c r="P29" s="6"/>
      <c r="Q29" s="6"/>
    </row>
    <row r="30" s="21" customFormat="1" ht="20" customHeight="1" spans="1:17">
      <c r="A30" s="6"/>
      <c r="B30" s="6"/>
      <c r="C30" s="28"/>
      <c r="D30" s="6"/>
      <c r="E30" s="6"/>
      <c r="F30" s="6"/>
      <c r="G30" s="6"/>
      <c r="H30" s="6">
        <f ca="1" t="array" ref="H30">INDEX(成本核算表!J:J,MATCH(1,(成本核算表!D:D=E30)*(成本核算表!C:C=G30),0))</f>
        <v>0</v>
      </c>
      <c r="I30" s="6"/>
      <c r="J30" s="6">
        <f ca="1" t="shared" si="0"/>
        <v>0</v>
      </c>
      <c r="K30" s="6"/>
      <c r="L30" s="6"/>
      <c r="M30" s="6"/>
      <c r="N30" s="6">
        <f ca="1" t="shared" si="1"/>
        <v>0</v>
      </c>
      <c r="O30" s="6">
        <f ca="1" t="shared" si="2"/>
        <v>0</v>
      </c>
      <c r="P30" s="6"/>
      <c r="Q30" s="6"/>
    </row>
    <row r="31" s="21" customFormat="1" ht="20" customHeight="1" spans="1:17">
      <c r="A31" s="27">
        <v>46099</v>
      </c>
      <c r="B31" s="6">
        <v>11</v>
      </c>
      <c r="C31" s="28">
        <f ca="1">SUM(O31/B31)</f>
        <v>1.10227272727273</v>
      </c>
      <c r="D31" s="5" t="s">
        <v>177</v>
      </c>
      <c r="E31" s="5" t="s">
        <v>178</v>
      </c>
      <c r="F31" s="6">
        <v>2440</v>
      </c>
      <c r="G31" s="5" t="s">
        <v>19</v>
      </c>
      <c r="H31" s="6">
        <f ca="1" t="array" ref="H31">INDEX(成本核算表!J:J,MATCH(1,(成本核算表!D:D=E31)*(成本核算表!C:C=G31),0))</f>
        <v>450</v>
      </c>
      <c r="I31" s="6">
        <v>65</v>
      </c>
      <c r="J31" s="6">
        <f ca="1" t="shared" si="0"/>
        <v>29250</v>
      </c>
      <c r="K31" s="6"/>
      <c r="L31" s="6">
        <f>4*3600</f>
        <v>14400</v>
      </c>
      <c r="M31" s="6"/>
      <c r="N31" s="6">
        <f ca="1" t="shared" si="1"/>
        <v>43650</v>
      </c>
      <c r="O31" s="6">
        <f ca="1" t="shared" si="2"/>
        <v>12.125</v>
      </c>
      <c r="P31" s="6"/>
      <c r="Q31" s="6"/>
    </row>
    <row r="32" s="21" customFormat="1" ht="20" customHeight="1" spans="1:17">
      <c r="A32" s="27">
        <v>46100</v>
      </c>
      <c r="B32" s="6">
        <v>11</v>
      </c>
      <c r="C32" s="28">
        <f ca="1">(O32+O33)/B32</f>
        <v>1.10227272727273</v>
      </c>
      <c r="D32" s="5" t="s">
        <v>177</v>
      </c>
      <c r="E32" s="5" t="s">
        <v>178</v>
      </c>
      <c r="F32" s="6">
        <v>2440</v>
      </c>
      <c r="G32" s="5" t="s">
        <v>19</v>
      </c>
      <c r="H32" s="6">
        <f ca="1" t="array" ref="H32">INDEX(成本核算表!J:J,MATCH(1,(成本核算表!D:D=E32)*(成本核算表!C:C=G32),0))</f>
        <v>450</v>
      </c>
      <c r="I32" s="6">
        <v>49</v>
      </c>
      <c r="J32" s="6">
        <f ca="1" t="shared" si="0"/>
        <v>22050</v>
      </c>
      <c r="K32" s="6"/>
      <c r="L32" s="6">
        <f>4*3600</f>
        <v>14400</v>
      </c>
      <c r="M32" s="6"/>
      <c r="N32" s="6">
        <f ca="1" t="shared" si="1"/>
        <v>36450</v>
      </c>
      <c r="O32" s="6">
        <f ca="1" t="shared" si="2"/>
        <v>10.125</v>
      </c>
      <c r="P32" s="6"/>
      <c r="Q32" s="6"/>
    </row>
    <row r="33" s="21" customFormat="1" ht="20" customHeight="1" spans="1:17">
      <c r="A33" s="27">
        <v>46100</v>
      </c>
      <c r="B33" s="6"/>
      <c r="C33" s="28"/>
      <c r="D33" s="5" t="s">
        <v>100</v>
      </c>
      <c r="E33" s="5" t="s">
        <v>96</v>
      </c>
      <c r="F33" s="6">
        <v>2400</v>
      </c>
      <c r="G33" s="5" t="s">
        <v>19</v>
      </c>
      <c r="H33" s="6">
        <f ca="1" t="array" ref="H33">INDEX(成本核算表!J:J,MATCH(1,(成本核算表!D:D=E33)*(成本核算表!C:C=G33),0))</f>
        <v>15</v>
      </c>
      <c r="I33" s="6">
        <v>480</v>
      </c>
      <c r="J33" s="6">
        <f ca="1" t="shared" si="0"/>
        <v>7200</v>
      </c>
      <c r="K33" s="6"/>
      <c r="L33" s="6"/>
      <c r="M33" s="6"/>
      <c r="N33" s="6">
        <f ca="1" t="shared" si="1"/>
        <v>7200</v>
      </c>
      <c r="O33" s="6">
        <f ca="1" t="shared" si="2"/>
        <v>2</v>
      </c>
      <c r="P33" s="6"/>
      <c r="Q33" s="6"/>
    </row>
    <row r="34" s="21" customFormat="1" ht="20" customHeight="1" spans="1:17">
      <c r="A34" s="27">
        <v>46101</v>
      </c>
      <c r="B34" s="6">
        <v>11</v>
      </c>
      <c r="C34" s="28">
        <f ca="1">SUM(O34:O37)/B34</f>
        <v>0.871893939393939</v>
      </c>
      <c r="D34" s="5" t="s">
        <v>252</v>
      </c>
      <c r="E34" s="5" t="s">
        <v>52</v>
      </c>
      <c r="F34" s="6">
        <v>1000</v>
      </c>
      <c r="G34" s="5" t="s">
        <v>70</v>
      </c>
      <c r="H34" s="6">
        <f ca="1" t="array" ref="H34">INDEX(成本核算表!J:J,MATCH(1,(成本核算表!D:D=E34)*(成本核算表!C:C=G34),0))</f>
        <v>12</v>
      </c>
      <c r="I34" s="6">
        <v>624</v>
      </c>
      <c r="J34" s="6">
        <f ca="1" t="shared" si="0"/>
        <v>7488</v>
      </c>
      <c r="K34" s="6"/>
      <c r="L34" s="6"/>
      <c r="M34" s="6"/>
      <c r="N34" s="6">
        <f ca="1" t="shared" si="1"/>
        <v>7488</v>
      </c>
      <c r="O34" s="6">
        <f ca="1" t="shared" si="2"/>
        <v>2.08</v>
      </c>
      <c r="P34" s="6"/>
      <c r="Q34" s="6"/>
    </row>
    <row r="35" s="21" customFormat="1" ht="20" customHeight="1" spans="1:17">
      <c r="A35" s="27">
        <v>46101</v>
      </c>
      <c r="B35" s="6"/>
      <c r="C35" s="28"/>
      <c r="D35" s="5" t="s">
        <v>253</v>
      </c>
      <c r="E35" s="5" t="s">
        <v>52</v>
      </c>
      <c r="F35" s="6">
        <v>1150</v>
      </c>
      <c r="G35" s="5" t="s">
        <v>70</v>
      </c>
      <c r="H35" s="6">
        <f ca="1" t="array" ref="H35">INDEX(成本核算表!J:J,MATCH(1,(成本核算表!D:D=E35)*(成本核算表!C:C=G35),0))</f>
        <v>12</v>
      </c>
      <c r="I35" s="6">
        <v>772</v>
      </c>
      <c r="J35" s="6">
        <f ca="1" t="shared" si="0"/>
        <v>9264</v>
      </c>
      <c r="K35" s="6"/>
      <c r="L35" s="6"/>
      <c r="M35" s="6"/>
      <c r="N35" s="6">
        <f ca="1" t="shared" si="1"/>
        <v>9264</v>
      </c>
      <c r="O35" s="6">
        <f ca="1" t="shared" si="2"/>
        <v>2.57333333333333</v>
      </c>
      <c r="P35" s="6"/>
      <c r="Q35" s="6"/>
    </row>
    <row r="36" s="21" customFormat="1" ht="20" customHeight="1" spans="1:17">
      <c r="A36" s="27">
        <v>46101</v>
      </c>
      <c r="B36" s="6"/>
      <c r="C36" s="28"/>
      <c r="D36" s="5" t="s">
        <v>254</v>
      </c>
      <c r="E36" s="5" t="s">
        <v>255</v>
      </c>
      <c r="F36" s="6">
        <v>1501.4</v>
      </c>
      <c r="G36" s="5" t="s">
        <v>44</v>
      </c>
      <c r="H36" s="6">
        <f ca="1" t="array" ref="H36">INDEX(成本核算表!J:J,MATCH(1,(成本核算表!D:D=E36)*(成本核算表!C:C=G36),0))</f>
        <v>25</v>
      </c>
      <c r="I36" s="6">
        <v>183</v>
      </c>
      <c r="J36" s="6">
        <f ca="1" t="shared" si="0"/>
        <v>4575</v>
      </c>
      <c r="K36" s="6"/>
      <c r="L36" s="6"/>
      <c r="M36" s="6"/>
      <c r="N36" s="6">
        <f ca="1" t="shared" si="1"/>
        <v>4575</v>
      </c>
      <c r="O36" s="6">
        <f ca="1" t="shared" si="2"/>
        <v>1.27083333333333</v>
      </c>
      <c r="P36" s="6"/>
      <c r="Q36" s="6"/>
    </row>
    <row r="37" s="21" customFormat="1" ht="20" customHeight="1" spans="1:17">
      <c r="A37" s="27">
        <v>46101</v>
      </c>
      <c r="B37" s="6"/>
      <c r="C37" s="28"/>
      <c r="D37" s="5" t="s">
        <v>256</v>
      </c>
      <c r="E37" s="5" t="s">
        <v>178</v>
      </c>
      <c r="F37" s="6">
        <v>2440</v>
      </c>
      <c r="G37" s="5" t="s">
        <v>44</v>
      </c>
      <c r="H37" s="6">
        <f ca="1" t="array" ref="H37">INDEX(成本核算表!J:J,MATCH(1,(成本核算表!D:D=E37)*(成本核算表!C:C=G37),0))</f>
        <v>240</v>
      </c>
      <c r="I37" s="6">
        <v>55</v>
      </c>
      <c r="J37" s="6">
        <f ca="1" t="shared" si="0"/>
        <v>13200</v>
      </c>
      <c r="K37" s="6"/>
      <c r="L37" s="6"/>
      <c r="M37" s="6"/>
      <c r="N37" s="6">
        <f ca="1" t="shared" si="1"/>
        <v>13200</v>
      </c>
      <c r="O37" s="6">
        <f ca="1" t="shared" si="2"/>
        <v>3.66666666666667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0"/>
        <v>0</v>
      </c>
      <c r="K38" s="6"/>
      <c r="L38" s="6"/>
      <c r="M38" s="6"/>
      <c r="N38" s="6">
        <f ca="1" t="shared" si="1"/>
        <v>0</v>
      </c>
      <c r="O38" s="6">
        <f ca="1" t="shared" si="2"/>
        <v>0</v>
      </c>
      <c r="P38" s="6"/>
      <c r="Q38" s="6"/>
    </row>
    <row r="39" s="21" customFormat="1" ht="20" customHeight="1" spans="1:17">
      <c r="A39" s="6"/>
      <c r="B39" s="6"/>
      <c r="C39" s="28"/>
      <c r="D39" s="6"/>
      <c r="E39" s="6"/>
      <c r="F39" s="6"/>
      <c r="G39" s="6"/>
      <c r="H39" s="6">
        <f ca="1" t="array" ref="H39">INDEX(成本核算表!J:J,MATCH(1,(成本核算表!D:D=E39)*(成本核算表!C:C=G39),0))</f>
        <v>0</v>
      </c>
      <c r="I39" s="6"/>
      <c r="J39" s="6">
        <f ca="1" t="shared" si="0"/>
        <v>0</v>
      </c>
      <c r="K39" s="6"/>
      <c r="L39" s="6"/>
      <c r="M39" s="6"/>
      <c r="N39" s="6">
        <f ca="1" t="shared" si="1"/>
        <v>0</v>
      </c>
      <c r="O39" s="6">
        <f ca="1" t="shared" si="2"/>
        <v>0</v>
      </c>
      <c r="P39" s="6"/>
      <c r="Q39" s="6"/>
    </row>
    <row r="40" s="21" customFormat="1" ht="20" customHeight="1" spans="1:17">
      <c r="A40" s="6"/>
      <c r="B40" s="6"/>
      <c r="C40" s="28"/>
      <c r="D40" s="6"/>
      <c r="E40" s="6"/>
      <c r="F40" s="6"/>
      <c r="G40" s="6"/>
      <c r="H40" s="6">
        <f ca="1" t="array" ref="H40">INDEX(成本核算表!J:J,MATCH(1,(成本核算表!D:D=E40)*(成本核算表!C:C=G40),0))</f>
        <v>0</v>
      </c>
      <c r="I40" s="6"/>
      <c r="J40" s="6">
        <f ca="1" t="shared" si="0"/>
        <v>0</v>
      </c>
      <c r="K40" s="6"/>
      <c r="L40" s="6"/>
      <c r="M40" s="6"/>
      <c r="N40" s="6">
        <f ca="1" t="shared" si="1"/>
        <v>0</v>
      </c>
      <c r="O40" s="6">
        <f ca="1" t="shared" si="2"/>
        <v>0</v>
      </c>
      <c r="P40" s="6"/>
      <c r="Q40" s="6"/>
    </row>
    <row r="41" s="21" customFormat="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0"/>
        <v>0</v>
      </c>
      <c r="K41" s="6"/>
      <c r="L41" s="6"/>
      <c r="M41" s="6"/>
      <c r="N41" s="6">
        <f ca="1" t="shared" si="1"/>
        <v>0</v>
      </c>
      <c r="O41" s="6">
        <f ca="1" t="shared" si="2"/>
        <v>0</v>
      </c>
      <c r="P41" s="6"/>
      <c r="Q41" s="6"/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0"/>
        <v>0</v>
      </c>
      <c r="K42" s="23"/>
      <c r="L42" s="23"/>
      <c r="N42" s="6">
        <f ca="1" t="shared" si="1"/>
        <v>0</v>
      </c>
      <c r="O42" s="6">
        <f ca="1" t="shared" si="2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0"/>
        <v>0</v>
      </c>
      <c r="K43" s="23"/>
      <c r="L43" s="23"/>
      <c r="N43" s="6">
        <f ca="1" t="shared" si="1"/>
        <v>0</v>
      </c>
      <c r="O43" s="6">
        <f ca="1" t="shared" si="2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0"/>
        <v>0</v>
      </c>
      <c r="K44" s="23"/>
      <c r="L44" s="23"/>
      <c r="N44" s="6">
        <f ca="1" t="shared" si="1"/>
        <v>0</v>
      </c>
      <c r="O44" s="6">
        <f ca="1" t="shared" si="2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0"/>
        <v>0</v>
      </c>
      <c r="K45" s="23"/>
      <c r="L45" s="23"/>
      <c r="N45" s="6">
        <f ca="1" t="shared" si="1"/>
        <v>0</v>
      </c>
      <c r="O45" s="6">
        <f ca="1" t="shared" si="2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0"/>
        <v>0</v>
      </c>
      <c r="K46" s="23"/>
      <c r="L46" s="23"/>
      <c r="N46" s="6">
        <f ca="1" t="shared" si="1"/>
        <v>0</v>
      </c>
      <c r="O46" s="6">
        <f ca="1" t="shared" si="2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0"/>
        <v>0</v>
      </c>
      <c r="K47" s="23"/>
      <c r="L47" s="23"/>
      <c r="N47" s="6">
        <f ca="1" t="shared" si="1"/>
        <v>0</v>
      </c>
      <c r="O47" s="6">
        <f ca="1" t="shared" si="2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0"/>
        <v>0</v>
      </c>
      <c r="K48" s="23"/>
      <c r="L48" s="23"/>
      <c r="N48" s="6">
        <f ca="1" t="shared" si="1"/>
        <v>0</v>
      </c>
      <c r="O48" s="6">
        <f ca="1" t="shared" si="2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0"/>
        <v>0</v>
      </c>
      <c r="K49" s="23"/>
      <c r="L49" s="23"/>
      <c r="N49" s="6">
        <f ca="1" t="shared" si="1"/>
        <v>0</v>
      </c>
      <c r="O49" s="6">
        <f ca="1" t="shared" si="2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0"/>
        <v>0</v>
      </c>
      <c r="K50" s="23"/>
      <c r="L50" s="23"/>
      <c r="N50" s="6">
        <f ca="1" t="shared" si="1"/>
        <v>0</v>
      </c>
      <c r="O50" s="6">
        <f ca="1" t="shared" si="2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0"/>
        <v>0</v>
      </c>
      <c r="K51" s="23"/>
      <c r="L51" s="23"/>
      <c r="N51" s="6">
        <f ca="1" t="shared" si="1"/>
        <v>0</v>
      </c>
      <c r="O51" s="6">
        <f ca="1" t="shared" si="2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0"/>
        <v>0</v>
      </c>
      <c r="K52" s="23"/>
      <c r="L52" s="23"/>
      <c r="N52" s="6">
        <f ca="1" t="shared" si="1"/>
        <v>0</v>
      </c>
      <c r="O52" s="6">
        <f ca="1" t="shared" si="2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0"/>
        <v>0</v>
      </c>
      <c r="K53" s="23"/>
      <c r="L53" s="23"/>
      <c r="N53" s="6">
        <f ca="1" t="shared" si="1"/>
        <v>0</v>
      </c>
      <c r="O53" s="6">
        <f ca="1" t="shared" si="2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0"/>
        <v>0</v>
      </c>
      <c r="K54" s="23"/>
      <c r="L54" s="23"/>
      <c r="N54" s="6">
        <f ca="1" t="shared" si="1"/>
        <v>0</v>
      </c>
      <c r="O54" s="6">
        <f ca="1" t="shared" si="2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0"/>
        <v>0</v>
      </c>
      <c r="K55" s="23"/>
      <c r="L55" s="23"/>
      <c r="N55" s="6">
        <f ca="1" t="shared" si="1"/>
        <v>0</v>
      </c>
      <c r="O55" s="6">
        <f ca="1" t="shared" si="2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0"/>
        <v>0</v>
      </c>
      <c r="K56" s="23"/>
      <c r="L56" s="23"/>
      <c r="N56" s="6">
        <f ca="1" t="shared" si="1"/>
        <v>0</v>
      </c>
      <c r="O56" s="6">
        <f ca="1" t="shared" si="2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0"/>
        <v>0</v>
      </c>
      <c r="K57" s="23"/>
      <c r="L57" s="23"/>
      <c r="N57" s="6">
        <f ca="1" t="shared" si="1"/>
        <v>0</v>
      </c>
      <c r="O57" s="6">
        <f ca="1" t="shared" si="2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0"/>
        <v>0</v>
      </c>
      <c r="K58" s="23"/>
      <c r="L58" s="23"/>
      <c r="N58" s="6">
        <f ca="1" t="shared" si="1"/>
        <v>0</v>
      </c>
      <c r="O58" s="6">
        <f ca="1" t="shared" si="2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0"/>
        <v>0</v>
      </c>
      <c r="K59" s="23"/>
      <c r="L59" s="23"/>
      <c r="N59" s="6">
        <f ca="1" t="shared" si="1"/>
        <v>0</v>
      </c>
      <c r="O59" s="6">
        <f ca="1" t="shared" si="2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0"/>
        <v>0</v>
      </c>
      <c r="K60" s="23"/>
      <c r="L60" s="23"/>
      <c r="N60" s="6">
        <f ca="1" t="shared" si="1"/>
        <v>0</v>
      </c>
      <c r="O60" s="6">
        <f ca="1" t="shared" si="2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0"/>
        <v>0</v>
      </c>
      <c r="K61" s="23"/>
      <c r="L61" s="23"/>
      <c r="N61" s="6">
        <f ca="1" t="shared" si="1"/>
        <v>0</v>
      </c>
      <c r="O61" s="6">
        <f ca="1" t="shared" si="2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0"/>
        <v>0</v>
      </c>
      <c r="K62" s="23"/>
      <c r="L62" s="23"/>
      <c r="N62" s="6">
        <f ca="1" t="shared" si="1"/>
        <v>0</v>
      </c>
      <c r="O62" s="6">
        <f ca="1" t="shared" si="2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0"/>
        <v>0</v>
      </c>
      <c r="K63" s="23"/>
      <c r="L63" s="23"/>
      <c r="N63" s="6">
        <f ca="1" t="shared" si="1"/>
        <v>0</v>
      </c>
      <c r="O63" s="6">
        <f ca="1" t="shared" si="2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0"/>
        <v>0</v>
      </c>
      <c r="K64" s="23"/>
      <c r="L64" s="23"/>
      <c r="N64" s="6">
        <f ca="1" t="shared" si="1"/>
        <v>0</v>
      </c>
      <c r="O64" s="6">
        <f ca="1" t="shared" si="2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0"/>
        <v>0</v>
      </c>
      <c r="K65" s="23"/>
      <c r="L65" s="23"/>
      <c r="N65" s="6">
        <f ca="1" t="shared" si="1"/>
        <v>0</v>
      </c>
      <c r="O65" s="6">
        <f ca="1" t="shared" si="2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101" si="5">H66*I66</f>
        <v>0</v>
      </c>
      <c r="K66" s="23"/>
      <c r="L66" s="23"/>
      <c r="N66" s="6">
        <f ca="1" t="shared" ref="N66:N101" si="6">J66-M66+L66</f>
        <v>0</v>
      </c>
      <c r="O66" s="6">
        <f ca="1" t="shared" ref="O66:O101" si="7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5"/>
        <v>0</v>
      </c>
      <c r="K67" s="23"/>
      <c r="L67" s="23"/>
      <c r="N67" s="6">
        <f ca="1" t="shared" si="6"/>
        <v>0</v>
      </c>
      <c r="O67" s="6">
        <f ca="1" t="shared" si="7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5"/>
        <v>0</v>
      </c>
      <c r="K68" s="23"/>
      <c r="L68" s="23"/>
      <c r="N68" s="6">
        <f ca="1" t="shared" si="6"/>
        <v>0</v>
      </c>
      <c r="O68" s="6">
        <f ca="1" t="shared" si="7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5"/>
        <v>0</v>
      </c>
      <c r="K69" s="23"/>
      <c r="L69" s="23"/>
      <c r="N69" s="6">
        <f ca="1" t="shared" si="6"/>
        <v>0</v>
      </c>
      <c r="O69" s="6">
        <f ca="1" t="shared" si="7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5"/>
        <v>0</v>
      </c>
      <c r="K70" s="23"/>
      <c r="L70" s="23"/>
      <c r="N70" s="6">
        <f ca="1" t="shared" si="6"/>
        <v>0</v>
      </c>
      <c r="O70" s="6">
        <f ca="1" t="shared" si="7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5"/>
        <v>0</v>
      </c>
      <c r="K71" s="23"/>
      <c r="L71" s="23"/>
      <c r="N71" s="6">
        <f ca="1" t="shared" si="6"/>
        <v>0</v>
      </c>
      <c r="O71" s="6">
        <f ca="1" t="shared" si="7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5"/>
        <v>0</v>
      </c>
      <c r="K72" s="23"/>
      <c r="L72" s="23"/>
      <c r="N72" s="6">
        <f ca="1" t="shared" si="6"/>
        <v>0</v>
      </c>
      <c r="O72" s="6">
        <f ca="1" t="shared" si="7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5"/>
        <v>0</v>
      </c>
      <c r="K73" s="23"/>
      <c r="L73" s="23"/>
      <c r="N73" s="6">
        <f ca="1" t="shared" si="6"/>
        <v>0</v>
      </c>
      <c r="O73" s="6">
        <f ca="1" t="shared" si="7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5"/>
        <v>0</v>
      </c>
      <c r="K74" s="23"/>
      <c r="L74" s="23"/>
      <c r="N74" s="6">
        <f ca="1" t="shared" si="6"/>
        <v>0</v>
      </c>
      <c r="O74" s="6">
        <f ca="1" t="shared" si="7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5"/>
        <v>0</v>
      </c>
      <c r="K75" s="23"/>
      <c r="L75" s="23"/>
      <c r="N75" s="6">
        <f ca="1" t="shared" si="6"/>
        <v>0</v>
      </c>
      <c r="O75" s="6">
        <f ca="1" t="shared" si="7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5"/>
        <v>0</v>
      </c>
      <c r="K76" s="23"/>
      <c r="L76" s="23"/>
      <c r="N76" s="6">
        <f ca="1" t="shared" si="6"/>
        <v>0</v>
      </c>
      <c r="O76" s="6">
        <f ca="1" t="shared" si="7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5"/>
        <v>0</v>
      </c>
      <c r="K77" s="23"/>
      <c r="L77" s="23"/>
      <c r="N77" s="6">
        <f ca="1" t="shared" si="6"/>
        <v>0</v>
      </c>
      <c r="O77" s="6">
        <f ca="1" t="shared" si="7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5"/>
        <v>0</v>
      </c>
      <c r="K78" s="23"/>
      <c r="L78" s="23"/>
      <c r="N78" s="6">
        <f ca="1" t="shared" si="6"/>
        <v>0</v>
      </c>
      <c r="O78" s="6">
        <f ca="1" t="shared" si="7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5"/>
        <v>0</v>
      </c>
      <c r="K79" s="23"/>
      <c r="L79" s="23"/>
      <c r="N79" s="6">
        <f ca="1" t="shared" si="6"/>
        <v>0</v>
      </c>
      <c r="O79" s="6">
        <f ca="1" t="shared" si="7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5"/>
        <v>0</v>
      </c>
      <c r="K80" s="23"/>
      <c r="L80" s="23"/>
      <c r="N80" s="6">
        <f ca="1" t="shared" si="6"/>
        <v>0</v>
      </c>
      <c r="O80" s="6">
        <f ca="1" t="shared" si="7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5"/>
        <v>0</v>
      </c>
      <c r="K81" s="23"/>
      <c r="L81" s="23"/>
      <c r="N81" s="6">
        <f ca="1" t="shared" si="6"/>
        <v>0</v>
      </c>
      <c r="O81" s="6">
        <f ca="1" t="shared" si="7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5"/>
        <v>0</v>
      </c>
      <c r="K82" s="23"/>
      <c r="L82" s="23"/>
      <c r="N82" s="6">
        <f ca="1" t="shared" si="6"/>
        <v>0</v>
      </c>
      <c r="O82" s="6">
        <f ca="1" t="shared" si="7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5"/>
        <v>0</v>
      </c>
      <c r="K83" s="23"/>
      <c r="L83" s="23"/>
      <c r="N83" s="6">
        <f ca="1" t="shared" si="6"/>
        <v>0</v>
      </c>
      <c r="O83" s="6">
        <f ca="1" t="shared" si="7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5"/>
        <v>0</v>
      </c>
      <c r="K84" s="23"/>
      <c r="L84" s="23"/>
      <c r="N84" s="6">
        <f ca="1" t="shared" si="6"/>
        <v>0</v>
      </c>
      <c r="O84" s="6">
        <f ca="1" t="shared" si="7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5"/>
        <v>0</v>
      </c>
      <c r="K85" s="23"/>
      <c r="L85" s="23"/>
      <c r="N85" s="6">
        <f ca="1" t="shared" si="6"/>
        <v>0</v>
      </c>
      <c r="O85" s="6">
        <f ca="1" t="shared" si="7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5"/>
        <v>0</v>
      </c>
      <c r="K86" s="23"/>
      <c r="L86" s="23"/>
      <c r="N86" s="6">
        <f ca="1" t="shared" si="6"/>
        <v>0</v>
      </c>
      <c r="O86" s="6">
        <f ca="1" t="shared" si="7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5"/>
        <v>0</v>
      </c>
      <c r="K87" s="23"/>
      <c r="L87" s="23"/>
      <c r="N87" s="6">
        <f ca="1" t="shared" si="6"/>
        <v>0</v>
      </c>
      <c r="O87" s="6">
        <f ca="1" t="shared" si="7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5"/>
        <v>0</v>
      </c>
      <c r="K88" s="23"/>
      <c r="L88" s="23"/>
      <c r="N88" s="6">
        <f ca="1" t="shared" si="6"/>
        <v>0</v>
      </c>
      <c r="O88" s="6">
        <f ca="1" t="shared" si="7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5"/>
        <v>0</v>
      </c>
      <c r="K89" s="23"/>
      <c r="L89" s="23"/>
      <c r="N89" s="6">
        <f ca="1" t="shared" si="6"/>
        <v>0</v>
      </c>
      <c r="O89" s="6">
        <f ca="1" t="shared" si="7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5"/>
        <v>0</v>
      </c>
      <c r="K90" s="23"/>
      <c r="L90" s="23"/>
      <c r="N90" s="6">
        <f ca="1" t="shared" si="6"/>
        <v>0</v>
      </c>
      <c r="O90" s="6">
        <f ca="1" t="shared" si="7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5"/>
        <v>0</v>
      </c>
      <c r="K91" s="23"/>
      <c r="L91" s="23"/>
      <c r="N91" s="6">
        <f ca="1" t="shared" si="6"/>
        <v>0</v>
      </c>
      <c r="O91" s="6">
        <f ca="1" t="shared" si="7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5"/>
        <v>0</v>
      </c>
      <c r="K92" s="23"/>
      <c r="L92" s="23"/>
      <c r="N92" s="6">
        <f ca="1" t="shared" si="6"/>
        <v>0</v>
      </c>
      <c r="O92" s="6">
        <f ca="1" t="shared" si="7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5"/>
        <v>0</v>
      </c>
      <c r="K93" s="23"/>
      <c r="L93" s="23"/>
      <c r="N93" s="6">
        <f ca="1" t="shared" si="6"/>
        <v>0</v>
      </c>
      <c r="O93" s="6">
        <f ca="1" t="shared" si="7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5"/>
        <v>0</v>
      </c>
      <c r="K94" s="23"/>
      <c r="L94" s="23"/>
      <c r="N94" s="6">
        <f ca="1" t="shared" si="6"/>
        <v>0</v>
      </c>
      <c r="O94" s="6">
        <f ca="1" t="shared" si="7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5"/>
        <v>0</v>
      </c>
      <c r="K95" s="23"/>
      <c r="L95" s="23"/>
      <c r="N95" s="6">
        <f ca="1" t="shared" si="6"/>
        <v>0</v>
      </c>
      <c r="O95" s="6">
        <f ca="1" t="shared" si="7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5"/>
        <v>0</v>
      </c>
      <c r="K96" s="23"/>
      <c r="L96" s="23"/>
      <c r="N96" s="6">
        <f ca="1" t="shared" si="6"/>
        <v>0</v>
      </c>
      <c r="O96" s="6">
        <f ca="1" t="shared" si="7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5"/>
        <v>0</v>
      </c>
      <c r="K97" s="23"/>
      <c r="L97" s="23"/>
      <c r="N97" s="6">
        <f ca="1" t="shared" si="6"/>
        <v>0</v>
      </c>
      <c r="O97" s="6">
        <f ca="1" t="shared" si="7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5"/>
        <v>0</v>
      </c>
      <c r="K98" s="23"/>
      <c r="L98" s="23"/>
      <c r="N98" s="6">
        <f ca="1" t="shared" si="6"/>
        <v>0</v>
      </c>
      <c r="O98" s="6">
        <f ca="1" t="shared" si="7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5"/>
        <v>0</v>
      </c>
      <c r="K99" s="23"/>
      <c r="L99" s="23"/>
      <c r="N99" s="6">
        <f ca="1" t="shared" si="6"/>
        <v>0</v>
      </c>
      <c r="O99" s="6">
        <f ca="1" t="shared" si="7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5"/>
        <v>0</v>
      </c>
      <c r="K100" s="23"/>
      <c r="L100" s="23"/>
      <c r="N100" s="6">
        <f ca="1" t="shared" si="6"/>
        <v>0</v>
      </c>
      <c r="O100" s="6">
        <f ca="1" t="shared" si="7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5"/>
        <v>0</v>
      </c>
      <c r="K101" s="23"/>
      <c r="L101" s="23"/>
      <c r="N101" s="6">
        <f ca="1" t="shared" si="6"/>
        <v>0</v>
      </c>
      <c r="O101" s="6">
        <f ca="1" t="shared" si="7"/>
        <v>0</v>
      </c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</sheetData>
  <sheetCalcPr fullCalcOnLoad="1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8"/>
  <sheetViews>
    <sheetView topLeftCell="B1" workbookViewId="0">
      <pane ySplit="1" topLeftCell="A3" activePane="bottomLeft" state="frozen"/>
      <selection/>
      <selection pane="bottomLeft" activeCell="J27" sqref="J10:J108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9" style="23"/>
    <col min="8" max="8" width="14.125" style="25"/>
    <col min="9" max="9" width="11" style="25" customWidth="1"/>
    <col min="10" max="10" width="9.875" style="23" customWidth="1"/>
    <col min="11" max="11" width="12.625" style="23"/>
    <col min="12" max="12" width="9" style="23"/>
    <col min="13" max="15" width="12.625" style="21"/>
    <col min="16" max="16" width="9" style="21"/>
    <col min="17" max="17" width="14" style="21" customWidth="1"/>
    <col min="18" max="16384" width="9" style="21"/>
  </cols>
  <sheetData>
    <row r="1" s="21" customFormat="1" ht="27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11"/>
      <c r="B2" s="11"/>
      <c r="C2" s="4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="21" customFormat="1" ht="20" customHeight="1" spans="1:17">
      <c r="A3" s="27"/>
      <c r="B3" s="6"/>
      <c r="C3" s="28"/>
      <c r="D3" s="5"/>
      <c r="E3" s="5"/>
      <c r="F3" s="6"/>
      <c r="G3" s="5"/>
      <c r="H3" s="6"/>
      <c r="I3" s="6"/>
      <c r="J3" s="6">
        <f t="shared" ref="J3:J13" si="0">H3*I3</f>
        <v>0</v>
      </c>
      <c r="K3" s="6"/>
      <c r="L3" s="6"/>
      <c r="M3" s="6">
        <f t="shared" ref="M3:M13" si="1">K3*H3</f>
        <v>0</v>
      </c>
      <c r="N3" s="6">
        <f t="shared" ref="N3:N13" si="2">J3-M3+L3</f>
        <v>0</v>
      </c>
      <c r="O3" s="6">
        <f t="shared" ref="O3:O13" si="3">N3/3600</f>
        <v>0</v>
      </c>
      <c r="P3" s="6"/>
      <c r="Q3" s="5"/>
    </row>
    <row r="4" s="21" customFormat="1" ht="20" customHeight="1" spans="1:17">
      <c r="A4" s="27"/>
      <c r="B4" s="6"/>
      <c r="C4" s="28"/>
      <c r="D4" s="5"/>
      <c r="E4" s="5"/>
      <c r="F4" s="6"/>
      <c r="G4" s="5"/>
      <c r="H4" s="6"/>
      <c r="I4" s="6"/>
      <c r="J4" s="6">
        <f t="shared" si="0"/>
        <v>0</v>
      </c>
      <c r="K4" s="6"/>
      <c r="L4" s="6"/>
      <c r="M4" s="6">
        <f t="shared" si="1"/>
        <v>0</v>
      </c>
      <c r="N4" s="6">
        <f t="shared" si="2"/>
        <v>0</v>
      </c>
      <c r="O4" s="6">
        <f t="shared" si="3"/>
        <v>0</v>
      </c>
      <c r="P4" s="6"/>
      <c r="Q4" s="6"/>
    </row>
    <row r="5" s="21" customFormat="1" ht="20" customHeight="1" spans="1:17">
      <c r="A5" s="27"/>
      <c r="B5" s="6"/>
      <c r="C5" s="28"/>
      <c r="D5" s="5"/>
      <c r="E5" s="5"/>
      <c r="F5" s="6"/>
      <c r="G5" s="5"/>
      <c r="H5" s="6"/>
      <c r="I5" s="6"/>
      <c r="J5" s="6">
        <f t="shared" si="0"/>
        <v>0</v>
      </c>
      <c r="K5" s="6"/>
      <c r="L5" s="6"/>
      <c r="M5" s="6">
        <f t="shared" si="1"/>
        <v>0</v>
      </c>
      <c r="N5" s="6">
        <f t="shared" si="2"/>
        <v>0</v>
      </c>
      <c r="O5" s="6">
        <f t="shared" si="3"/>
        <v>0</v>
      </c>
      <c r="P5" s="6"/>
      <c r="Q5" s="5"/>
    </row>
    <row r="6" s="21" customFormat="1" ht="20" customHeight="1" spans="1:17">
      <c r="A6" s="27"/>
      <c r="B6" s="6"/>
      <c r="C6" s="28"/>
      <c r="D6" s="5"/>
      <c r="E6" s="5"/>
      <c r="F6" s="6"/>
      <c r="G6" s="5"/>
      <c r="H6" s="6"/>
      <c r="I6" s="6"/>
      <c r="J6" s="6">
        <f t="shared" si="0"/>
        <v>0</v>
      </c>
      <c r="K6" s="6"/>
      <c r="L6" s="6"/>
      <c r="M6" s="6">
        <f t="shared" si="1"/>
        <v>0</v>
      </c>
      <c r="N6" s="6">
        <f t="shared" si="2"/>
        <v>0</v>
      </c>
      <c r="O6" s="6">
        <f t="shared" si="3"/>
        <v>0</v>
      </c>
      <c r="P6" s="6"/>
      <c r="Q6" s="6"/>
    </row>
    <row r="7" s="21" customFormat="1" ht="20" customHeight="1" spans="1:17">
      <c r="A7" s="27">
        <v>46087</v>
      </c>
      <c r="B7" s="6">
        <v>11</v>
      </c>
      <c r="C7" s="28"/>
      <c r="D7" s="6"/>
      <c r="E7" s="6"/>
      <c r="F7" s="6"/>
      <c r="G7" s="6"/>
      <c r="H7" s="6"/>
      <c r="I7" s="6"/>
      <c r="J7" s="6">
        <f t="shared" si="0"/>
        <v>0</v>
      </c>
      <c r="K7" s="6"/>
      <c r="L7" s="6">
        <f>3600*11</f>
        <v>39600</v>
      </c>
      <c r="M7" s="6">
        <f t="shared" si="1"/>
        <v>0</v>
      </c>
      <c r="N7" s="6">
        <f t="shared" si="2"/>
        <v>39600</v>
      </c>
      <c r="O7" s="6">
        <f t="shared" si="3"/>
        <v>11</v>
      </c>
      <c r="P7" s="6"/>
      <c r="Q7" s="6"/>
    </row>
    <row r="8" s="21" customFormat="1" ht="20" customHeight="1" spans="1:17">
      <c r="A8" s="27"/>
      <c r="B8" s="6"/>
      <c r="C8" s="28"/>
      <c r="D8" s="6"/>
      <c r="E8" s="6"/>
      <c r="F8" s="6"/>
      <c r="G8" s="6"/>
      <c r="H8" s="6"/>
      <c r="I8" s="6"/>
      <c r="J8" s="6">
        <f t="shared" si="0"/>
        <v>0</v>
      </c>
      <c r="K8" s="6"/>
      <c r="L8" s="6"/>
      <c r="M8" s="6">
        <f t="shared" si="1"/>
        <v>0</v>
      </c>
      <c r="N8" s="6">
        <f t="shared" si="2"/>
        <v>0</v>
      </c>
      <c r="O8" s="6">
        <f t="shared" si="3"/>
        <v>0</v>
      </c>
      <c r="P8" s="6"/>
      <c r="Q8" s="6"/>
    </row>
    <row r="9" s="21" customFormat="1" ht="20" customHeight="1" spans="1:17">
      <c r="A9" s="27">
        <v>46089</v>
      </c>
      <c r="B9" s="6">
        <v>11</v>
      </c>
      <c r="C9" s="28"/>
      <c r="D9" s="6"/>
      <c r="E9" s="6"/>
      <c r="F9" s="6"/>
      <c r="G9" s="6"/>
      <c r="H9" s="6"/>
      <c r="I9" s="6"/>
      <c r="J9" s="6">
        <f t="shared" si="0"/>
        <v>0</v>
      </c>
      <c r="K9" s="6"/>
      <c r="L9" s="6">
        <v>39600</v>
      </c>
      <c r="M9" s="6">
        <f t="shared" si="1"/>
        <v>0</v>
      </c>
      <c r="N9" s="6">
        <f t="shared" si="2"/>
        <v>39600</v>
      </c>
      <c r="O9" s="6">
        <f t="shared" si="3"/>
        <v>11</v>
      </c>
      <c r="P9" s="6"/>
      <c r="Q9" s="6"/>
    </row>
    <row r="10" s="21" customFormat="1" ht="20" customHeight="1" spans="1:17">
      <c r="A10" s="27">
        <v>46090</v>
      </c>
      <c r="B10" s="6">
        <v>11</v>
      </c>
      <c r="C10" s="28"/>
      <c r="D10" s="6"/>
      <c r="E10" s="6"/>
      <c r="F10" s="6"/>
      <c r="G10" s="6"/>
      <c r="H10" s="6"/>
      <c r="I10" s="6"/>
      <c r="J10" s="6">
        <f t="shared" si="0"/>
        <v>0</v>
      </c>
      <c r="K10" s="6"/>
      <c r="L10" s="6">
        <v>39600</v>
      </c>
      <c r="M10" s="6">
        <f t="shared" si="1"/>
        <v>0</v>
      </c>
      <c r="N10" s="6">
        <f t="shared" si="2"/>
        <v>39600</v>
      </c>
      <c r="O10" s="6">
        <f t="shared" si="3"/>
        <v>11</v>
      </c>
      <c r="P10" s="6"/>
      <c r="Q10" s="6"/>
    </row>
    <row r="11" s="21" customFormat="1" ht="20" customHeight="1" spans="1:17">
      <c r="A11" s="27">
        <v>46091</v>
      </c>
      <c r="B11" s="6">
        <v>11</v>
      </c>
      <c r="C11" s="28"/>
      <c r="D11" s="6"/>
      <c r="E11" s="6"/>
      <c r="F11" s="6"/>
      <c r="G11" s="6"/>
      <c r="H11" s="6"/>
      <c r="I11" s="6"/>
      <c r="J11" s="6">
        <f t="shared" si="0"/>
        <v>0</v>
      </c>
      <c r="K11" s="6"/>
      <c r="L11" s="6">
        <v>39600</v>
      </c>
      <c r="M11" s="6">
        <f t="shared" si="1"/>
        <v>0</v>
      </c>
      <c r="N11" s="6">
        <f t="shared" si="2"/>
        <v>39600</v>
      </c>
      <c r="O11" s="6">
        <f t="shared" si="3"/>
        <v>11</v>
      </c>
      <c r="P11" s="6"/>
      <c r="Q11" s="6"/>
    </row>
    <row r="12" s="21" customFormat="1" ht="20" customHeight="1" spans="1:17">
      <c r="A12" s="27">
        <v>46092</v>
      </c>
      <c r="B12" s="6">
        <v>11</v>
      </c>
      <c r="C12" s="29">
        <f ca="1" t="shared" ref="C12:C14" si="4">O12/B12</f>
        <v>0.775252525252525</v>
      </c>
      <c r="D12" s="5" t="s">
        <v>203</v>
      </c>
      <c r="E12" s="6" t="s">
        <v>55</v>
      </c>
      <c r="F12" s="6">
        <v>950</v>
      </c>
      <c r="G12" s="5" t="s">
        <v>126</v>
      </c>
      <c r="H12" s="6">
        <f ca="1" t="array" ref="H12">INDEX(成本核算表!J:J,MATCH(1,(成本核算表!D:D=E12)*(成本核算表!C:C=G12),0))</f>
        <v>20</v>
      </c>
      <c r="I12" s="6">
        <f>900+635</f>
        <v>1535</v>
      </c>
      <c r="J12" s="6">
        <f ca="1" t="shared" si="0"/>
        <v>30700</v>
      </c>
      <c r="K12" s="6"/>
      <c r="L12" s="6"/>
      <c r="M12" s="6">
        <f ca="1" t="shared" si="1"/>
        <v>0</v>
      </c>
      <c r="N12" s="6">
        <f ca="1" t="shared" si="2"/>
        <v>30700</v>
      </c>
      <c r="O12" s="6">
        <f ca="1" t="shared" si="3"/>
        <v>8.52777777777778</v>
      </c>
      <c r="P12" s="6"/>
      <c r="Q12" s="6"/>
    </row>
    <row r="13" s="21" customFormat="1" ht="20" customHeight="1" spans="1:17">
      <c r="A13" s="27">
        <v>46093</v>
      </c>
      <c r="B13" s="6">
        <v>11</v>
      </c>
      <c r="C13" s="29">
        <f ca="1" t="shared" si="4"/>
        <v>0.944444444444445</v>
      </c>
      <c r="D13" s="5" t="s">
        <v>203</v>
      </c>
      <c r="E13" s="6" t="s">
        <v>55</v>
      </c>
      <c r="F13" s="6">
        <v>950</v>
      </c>
      <c r="G13" s="5" t="s">
        <v>126</v>
      </c>
      <c r="H13" s="6">
        <f ca="1" t="array" ref="H13">INDEX(成本核算表!J:J,MATCH(1,(成本核算表!D:D=E13)*(成本核算表!C:C=G13),0))</f>
        <v>20</v>
      </c>
      <c r="I13" s="6">
        <f>265+900+680+25</f>
        <v>1870</v>
      </c>
      <c r="J13" s="6">
        <f ca="1" t="shared" si="0"/>
        <v>37400</v>
      </c>
      <c r="K13" s="6"/>
      <c r="L13" s="6"/>
      <c r="M13" s="6">
        <f ca="1" t="shared" si="1"/>
        <v>0</v>
      </c>
      <c r="N13" s="6">
        <f ca="1" t="shared" si="2"/>
        <v>37400</v>
      </c>
      <c r="O13" s="6">
        <f ca="1" t="shared" si="3"/>
        <v>10.3888888888889</v>
      </c>
      <c r="P13" s="6"/>
      <c r="Q13" s="6"/>
    </row>
    <row r="14" s="21" customFormat="1" ht="20" customHeight="1" spans="1:17">
      <c r="A14" s="27">
        <v>46094</v>
      </c>
      <c r="B14" s="6">
        <v>11</v>
      </c>
      <c r="C14" s="29">
        <f ca="1" t="shared" si="4"/>
        <v>0.938383838383838</v>
      </c>
      <c r="D14" s="6"/>
      <c r="E14" s="6" t="s">
        <v>55</v>
      </c>
      <c r="F14" s="5" t="s">
        <v>209</v>
      </c>
      <c r="G14" s="5" t="s">
        <v>126</v>
      </c>
      <c r="H14" s="6">
        <f ca="1" t="array" ref="H14">INDEX(成本核算表!J:J,MATCH(1,(成本核算表!D:D=E14)*(成本核算表!C:C=G14),0))</f>
        <v>20</v>
      </c>
      <c r="I14" s="6">
        <f>135+442+605+230+320+126</f>
        <v>1858</v>
      </c>
      <c r="J14" s="6">
        <f ca="1" t="shared" ref="J13:J65" si="5">H14*I14</f>
        <v>37160</v>
      </c>
      <c r="K14" s="6"/>
      <c r="L14" s="6"/>
      <c r="M14" s="6">
        <f ca="1" t="shared" ref="M13:M65" si="6">K14*H14</f>
        <v>0</v>
      </c>
      <c r="N14" s="6">
        <f ca="1" t="shared" ref="N13:N65" si="7">J14-M14+L14</f>
        <v>37160</v>
      </c>
      <c r="O14" s="6">
        <f ca="1" t="shared" ref="O13:O65" si="8">N14/3600</f>
        <v>10.3222222222222</v>
      </c>
      <c r="P14" s="6"/>
      <c r="Q14" s="6"/>
    </row>
    <row r="15" s="21" customFormat="1" ht="20" customHeight="1" spans="1:17">
      <c r="A15" s="36">
        <v>46095</v>
      </c>
      <c r="B15" s="32">
        <v>11</v>
      </c>
      <c r="C15" s="38">
        <f ca="1">SUM(O15:O18)/B15</f>
        <v>1.0165404040404</v>
      </c>
      <c r="D15" s="42" t="s">
        <v>222</v>
      </c>
      <c r="E15" s="42" t="s">
        <v>55</v>
      </c>
      <c r="F15" s="32">
        <v>950</v>
      </c>
      <c r="G15" s="5" t="s">
        <v>126</v>
      </c>
      <c r="H15" s="37">
        <f ca="1" t="array" ref="H15">INDEX(成本核算表!J:J,MATCH(1,(成本核算表!D:D=E15)*(成本核算表!C:C=G15),0))</f>
        <v>20</v>
      </c>
      <c r="I15" s="37">
        <v>619</v>
      </c>
      <c r="J15" s="37">
        <f ca="1" t="shared" si="5"/>
        <v>12380</v>
      </c>
      <c r="K15" s="6"/>
      <c r="L15" s="6"/>
      <c r="M15" s="6">
        <f ca="1" t="shared" si="6"/>
        <v>0</v>
      </c>
      <c r="N15" s="6">
        <f ca="1" t="shared" si="7"/>
        <v>12380</v>
      </c>
      <c r="O15" s="6">
        <f ca="1" t="shared" si="8"/>
        <v>3.43888888888889</v>
      </c>
      <c r="P15" s="6"/>
      <c r="Q15" s="6"/>
    </row>
    <row r="16" s="21" customFormat="1" ht="20" customHeight="1" spans="1:17">
      <c r="A16" s="36">
        <v>46095</v>
      </c>
      <c r="B16" s="32"/>
      <c r="C16" s="33"/>
      <c r="D16" s="42" t="s">
        <v>223</v>
      </c>
      <c r="E16" s="42" t="s">
        <v>55</v>
      </c>
      <c r="F16" s="32">
        <v>1150</v>
      </c>
      <c r="G16" s="5" t="s">
        <v>126</v>
      </c>
      <c r="H16" s="37">
        <f ca="1" t="array" ref="H16">INDEX(成本核算表!J:J,MATCH(1,(成本核算表!D:D=E16)*(成本核算表!C:C=G16),0))</f>
        <v>20</v>
      </c>
      <c r="I16" s="37">
        <v>259</v>
      </c>
      <c r="J16" s="37">
        <f ca="1" t="shared" si="5"/>
        <v>5180</v>
      </c>
      <c r="K16" s="6"/>
      <c r="L16" s="6"/>
      <c r="M16" s="6">
        <f ca="1" t="shared" si="6"/>
        <v>0</v>
      </c>
      <c r="N16" s="6">
        <f ca="1" t="shared" si="7"/>
        <v>5180</v>
      </c>
      <c r="O16" s="6">
        <f ca="1" t="shared" si="8"/>
        <v>1.43888888888889</v>
      </c>
      <c r="P16" s="6"/>
      <c r="Q16" s="6"/>
    </row>
    <row r="17" s="21" customFormat="1" ht="20" customHeight="1" spans="1:17">
      <c r="A17" s="36">
        <v>46095</v>
      </c>
      <c r="B17" s="32"/>
      <c r="C17" s="33"/>
      <c r="D17" s="5" t="s">
        <v>106</v>
      </c>
      <c r="E17" s="5" t="s">
        <v>34</v>
      </c>
      <c r="F17" s="37"/>
      <c r="G17" s="5" t="s">
        <v>126</v>
      </c>
      <c r="H17" s="37">
        <f ca="1" t="array" ref="H17">INDEX(成本核算表!J:J,MATCH(1,(成本核算表!D:D=E17)*(成本核算表!C:C=G17),0))</f>
        <v>120</v>
      </c>
      <c r="I17" s="37">
        <f>56+31+30+26</f>
        <v>143</v>
      </c>
      <c r="J17" s="37">
        <f ca="1" t="shared" si="5"/>
        <v>17160</v>
      </c>
      <c r="K17" s="6"/>
      <c r="L17" s="6"/>
      <c r="M17" s="6">
        <f ca="1" t="shared" si="6"/>
        <v>0</v>
      </c>
      <c r="N17" s="6">
        <f ca="1" t="shared" si="7"/>
        <v>17160</v>
      </c>
      <c r="O17" s="6">
        <f ca="1" t="shared" si="8"/>
        <v>4.76666666666667</v>
      </c>
      <c r="P17" s="6"/>
      <c r="Q17" s="6"/>
    </row>
    <row r="18" s="21" customFormat="1" ht="20" customHeight="1" spans="1:17">
      <c r="A18" s="36">
        <v>46095</v>
      </c>
      <c r="B18" s="32"/>
      <c r="C18" s="33"/>
      <c r="D18" s="5" t="s">
        <v>106</v>
      </c>
      <c r="E18" s="5" t="s">
        <v>23</v>
      </c>
      <c r="F18" s="37"/>
      <c r="G18" s="5" t="s">
        <v>126</v>
      </c>
      <c r="H18" s="37">
        <v>45</v>
      </c>
      <c r="I18" s="37">
        <f>63+60</f>
        <v>123</v>
      </c>
      <c r="J18" s="37">
        <f t="shared" si="5"/>
        <v>5535</v>
      </c>
      <c r="K18" s="6"/>
      <c r="L18" s="6"/>
      <c r="M18" s="6">
        <f t="shared" si="6"/>
        <v>0</v>
      </c>
      <c r="N18" s="6">
        <f t="shared" si="7"/>
        <v>5535</v>
      </c>
      <c r="O18" s="6">
        <f t="shared" si="8"/>
        <v>1.5375</v>
      </c>
      <c r="P18" s="6"/>
      <c r="Q18" s="6"/>
    </row>
    <row r="19" s="21" customFormat="1" ht="20" customHeight="1" spans="1:17">
      <c r="A19" s="27">
        <v>46096</v>
      </c>
      <c r="B19" s="6">
        <v>9.5</v>
      </c>
      <c r="C19" s="28">
        <f ca="1">SUM(O19:O21)/B19</f>
        <v>1.28538011695906</v>
      </c>
      <c r="D19" s="5" t="s">
        <v>107</v>
      </c>
      <c r="E19" s="5" t="s">
        <v>108</v>
      </c>
      <c r="F19" s="6">
        <v>260</v>
      </c>
      <c r="G19" s="5" t="s">
        <v>24</v>
      </c>
      <c r="H19" s="6">
        <f ca="1" t="array" ref="H19">INDEX(成本核算表!J:J,MATCH(1,(成本核算表!D:D=E19)*(成本核算表!C:C=G19),0))</f>
        <v>50</v>
      </c>
      <c r="I19" s="6">
        <v>356</v>
      </c>
      <c r="J19" s="6">
        <f ca="1" t="shared" si="5"/>
        <v>17800</v>
      </c>
      <c r="K19" s="6"/>
      <c r="L19" s="6"/>
      <c r="M19" s="6">
        <f ca="1" t="shared" si="6"/>
        <v>0</v>
      </c>
      <c r="N19" s="6">
        <f ca="1" t="shared" si="7"/>
        <v>17800</v>
      </c>
      <c r="O19" s="6">
        <f ca="1" t="shared" si="8"/>
        <v>4.94444444444444</v>
      </c>
      <c r="P19" s="6"/>
      <c r="Q19" s="6"/>
    </row>
    <row r="20" s="21" customFormat="1" ht="20" customHeight="1" spans="1:17">
      <c r="A20" s="27">
        <v>46096</v>
      </c>
      <c r="B20" s="6"/>
      <c r="C20" s="28"/>
      <c r="D20" s="5" t="s">
        <v>107</v>
      </c>
      <c r="E20" s="5" t="s">
        <v>108</v>
      </c>
      <c r="F20" s="6">
        <v>260</v>
      </c>
      <c r="G20" s="5" t="s">
        <v>25</v>
      </c>
      <c r="H20" s="6">
        <f ca="1" t="array" ref="H20">INDEX(成本核算表!J:J,MATCH(1,(成本核算表!D:D=E20)*(成本核算表!C:C=G20),0))</f>
        <v>60</v>
      </c>
      <c r="I20" s="6">
        <v>380</v>
      </c>
      <c r="J20" s="6">
        <f ca="1" t="shared" si="5"/>
        <v>22800</v>
      </c>
      <c r="K20" s="6"/>
      <c r="L20" s="6"/>
      <c r="M20" s="6">
        <f ca="1" t="shared" si="6"/>
        <v>0</v>
      </c>
      <c r="N20" s="6">
        <f ca="1" t="shared" si="7"/>
        <v>22800</v>
      </c>
      <c r="O20" s="6">
        <f ca="1" t="shared" si="8"/>
        <v>6.33333333333333</v>
      </c>
      <c r="P20" s="6"/>
      <c r="Q20" s="6"/>
    </row>
    <row r="21" s="21" customFormat="1" ht="20" customHeight="1" spans="1:17">
      <c r="A21" s="27">
        <v>46096</v>
      </c>
      <c r="B21" s="6"/>
      <c r="C21" s="28"/>
      <c r="D21" s="5" t="s">
        <v>185</v>
      </c>
      <c r="E21" s="5" t="s">
        <v>186</v>
      </c>
      <c r="F21" s="6">
        <v>51.1</v>
      </c>
      <c r="G21" s="5" t="s">
        <v>22</v>
      </c>
      <c r="H21" s="6">
        <f ca="1" t="array" ref="H21">INDEX(成本核算表!J:J,MATCH(1,(成本核算表!D:D=E21)*(成本核算表!C:C=G21),0))</f>
        <v>60</v>
      </c>
      <c r="I21" s="6">
        <v>56</v>
      </c>
      <c r="J21" s="6">
        <f ca="1" t="shared" si="5"/>
        <v>3360</v>
      </c>
      <c r="K21" s="6"/>
      <c r="L21" s="6"/>
      <c r="M21" s="6">
        <f ca="1" t="shared" si="6"/>
        <v>0</v>
      </c>
      <c r="N21" s="6">
        <f ca="1" t="shared" si="7"/>
        <v>3360</v>
      </c>
      <c r="O21" s="6">
        <f ca="1" t="shared" si="8"/>
        <v>0.933333333333333</v>
      </c>
      <c r="P21" s="6"/>
      <c r="Q21" s="6"/>
    </row>
    <row r="22" s="21" customFormat="1" ht="20" customHeight="1" spans="1:17">
      <c r="A22" s="6"/>
      <c r="B22" s="6"/>
      <c r="C22" s="28"/>
      <c r="D22" s="6"/>
      <c r="E22" s="6"/>
      <c r="F22" s="6"/>
      <c r="G22" s="6"/>
      <c r="H22" s="6">
        <f ca="1" t="array" ref="H22">INDEX(成本核算表!J:J,MATCH(1,(成本核算表!D:D=E22)*(成本核算表!C:C=G22),0))</f>
        <v>0</v>
      </c>
      <c r="I22" s="6"/>
      <c r="J22" s="6">
        <f ca="1" t="shared" si="5"/>
        <v>0</v>
      </c>
      <c r="K22" s="6"/>
      <c r="L22" s="6"/>
      <c r="M22" s="6">
        <f ca="1" t="shared" si="6"/>
        <v>0</v>
      </c>
      <c r="N22" s="6">
        <f ca="1" t="shared" si="7"/>
        <v>0</v>
      </c>
      <c r="O22" s="6">
        <f ca="1" t="shared" si="8"/>
        <v>0</v>
      </c>
      <c r="P22" s="6"/>
      <c r="Q22" s="6"/>
    </row>
    <row r="23" s="21" customFormat="1" ht="20" customHeight="1" spans="1:17">
      <c r="A23" s="27">
        <v>46098</v>
      </c>
      <c r="B23" s="6">
        <v>11</v>
      </c>
      <c r="C23" s="29">
        <f ca="1">O23/B23</f>
        <v>0.795454545454545</v>
      </c>
      <c r="D23" s="5" t="s">
        <v>199</v>
      </c>
      <c r="E23" s="5" t="s">
        <v>200</v>
      </c>
      <c r="F23" s="6">
        <v>130</v>
      </c>
      <c r="G23" s="5" t="s">
        <v>22</v>
      </c>
      <c r="H23" s="6">
        <f ca="1" t="array" ref="H23">INDEX(成本核算表!J:J,MATCH(1,(成本核算表!D:D=E23)*(成本核算表!C:C=G23),0))</f>
        <v>70</v>
      </c>
      <c r="I23" s="6">
        <v>450</v>
      </c>
      <c r="J23" s="6">
        <f ca="1" t="shared" si="5"/>
        <v>31500</v>
      </c>
      <c r="K23" s="6"/>
      <c r="L23" s="6"/>
      <c r="M23" s="6">
        <f ca="1" t="shared" si="6"/>
        <v>0</v>
      </c>
      <c r="N23" s="6">
        <f ca="1" t="shared" si="7"/>
        <v>31500</v>
      </c>
      <c r="O23" s="6">
        <f ca="1" t="shared" si="8"/>
        <v>8.75</v>
      </c>
      <c r="P23" s="6"/>
      <c r="Q23" s="6"/>
    </row>
    <row r="24" s="21" customFormat="1" ht="20" customHeight="1" spans="1:17">
      <c r="A24" s="27">
        <v>46099</v>
      </c>
      <c r="B24" s="6">
        <v>11</v>
      </c>
      <c r="C24" s="28">
        <f ca="1">SUM(O24:O25)/B24</f>
        <v>1.11616161616162</v>
      </c>
      <c r="D24" s="5" t="s">
        <v>107</v>
      </c>
      <c r="E24" s="5" t="s">
        <v>108</v>
      </c>
      <c r="F24" s="6">
        <v>260</v>
      </c>
      <c r="G24" s="5" t="s">
        <v>24</v>
      </c>
      <c r="H24" s="6">
        <f ca="1" t="array" ref="H24">INDEX(成本核算表!J:J,MATCH(1,(成本核算表!D:D=E24)*(成本核算表!C:C=G24),0))</f>
        <v>50</v>
      </c>
      <c r="I24" s="6">
        <v>404</v>
      </c>
      <c r="J24" s="6">
        <f ca="1" t="shared" si="5"/>
        <v>20200</v>
      </c>
      <c r="K24" s="6"/>
      <c r="L24" s="6"/>
      <c r="M24" s="6">
        <f ca="1" t="shared" si="6"/>
        <v>0</v>
      </c>
      <c r="N24" s="6">
        <f ca="1" t="shared" si="7"/>
        <v>20200</v>
      </c>
      <c r="O24" s="6">
        <f ca="1" t="shared" si="8"/>
        <v>5.61111111111111</v>
      </c>
      <c r="P24" s="6"/>
      <c r="Q24" s="6"/>
    </row>
    <row r="25" s="21" customFormat="1" ht="20" customHeight="1" spans="1:17">
      <c r="A25" s="27">
        <v>46099</v>
      </c>
      <c r="B25" s="6"/>
      <c r="C25" s="28"/>
      <c r="D25" s="5" t="s">
        <v>107</v>
      </c>
      <c r="E25" s="5" t="s">
        <v>108</v>
      </c>
      <c r="F25" s="6">
        <v>260</v>
      </c>
      <c r="G25" s="5" t="s">
        <v>25</v>
      </c>
      <c r="H25" s="6">
        <f ca="1" t="array" ref="H25">INDEX(成本核算表!J:J,MATCH(1,(成本核算表!D:D=E25)*(成本核算表!C:C=G25),0))</f>
        <v>60</v>
      </c>
      <c r="I25" s="6">
        <v>400</v>
      </c>
      <c r="J25" s="6">
        <f ca="1" t="shared" si="5"/>
        <v>24000</v>
      </c>
      <c r="K25" s="6"/>
      <c r="L25" s="6"/>
      <c r="M25" s="6">
        <f ca="1" t="shared" si="6"/>
        <v>0</v>
      </c>
      <c r="N25" s="6">
        <f ca="1" t="shared" si="7"/>
        <v>24000</v>
      </c>
      <c r="O25" s="6">
        <f ca="1" t="shared" si="8"/>
        <v>6.66666666666667</v>
      </c>
      <c r="P25" s="6"/>
      <c r="Q25" s="6"/>
    </row>
    <row r="26" s="21" customFormat="1" ht="20" customHeight="1" spans="1:17">
      <c r="A26" s="27">
        <v>46100</v>
      </c>
      <c r="B26" s="6">
        <v>11</v>
      </c>
      <c r="C26" s="28">
        <f ca="1">SUM(O26:O27)/B26</f>
        <v>1.11111111111111</v>
      </c>
      <c r="D26" s="5" t="s">
        <v>107</v>
      </c>
      <c r="E26" s="5" t="s">
        <v>108</v>
      </c>
      <c r="F26" s="6">
        <v>260</v>
      </c>
      <c r="G26" s="5" t="s">
        <v>24</v>
      </c>
      <c r="H26" s="6">
        <f ca="1" t="array" ref="H26">INDEX(成本核算表!J:J,MATCH(1,(成本核算表!D:D=E26)*(成本核算表!C:C=G26),0))</f>
        <v>50</v>
      </c>
      <c r="I26" s="6">
        <v>400</v>
      </c>
      <c r="J26" s="6">
        <f ca="1" t="shared" si="5"/>
        <v>20000</v>
      </c>
      <c r="K26" s="6"/>
      <c r="L26" s="6"/>
      <c r="M26" s="6">
        <f ca="1" t="shared" si="6"/>
        <v>0</v>
      </c>
      <c r="N26" s="6">
        <f ca="1" t="shared" si="7"/>
        <v>20000</v>
      </c>
      <c r="O26" s="6">
        <f ca="1" t="shared" si="8"/>
        <v>5.55555555555556</v>
      </c>
      <c r="P26" s="6"/>
      <c r="Q26" s="6"/>
    </row>
    <row r="27" s="21" customFormat="1" ht="20" customHeight="1" spans="1:17">
      <c r="A27" s="27">
        <v>46100</v>
      </c>
      <c r="B27" s="6"/>
      <c r="C27" s="28"/>
      <c r="D27" s="5" t="s">
        <v>107</v>
      </c>
      <c r="E27" s="5" t="s">
        <v>108</v>
      </c>
      <c r="F27" s="6">
        <v>260</v>
      </c>
      <c r="G27" s="5" t="s">
        <v>25</v>
      </c>
      <c r="H27" s="6">
        <f ca="1" t="array" ref="H27">INDEX(成本核算表!J:J,MATCH(1,(成本核算表!D:D=E27)*(成本核算表!C:C=G27),0))</f>
        <v>60</v>
      </c>
      <c r="I27" s="6">
        <v>400</v>
      </c>
      <c r="J27" s="6">
        <f ca="1" t="shared" si="5"/>
        <v>24000</v>
      </c>
      <c r="K27" s="6"/>
      <c r="L27" s="6"/>
      <c r="M27" s="6">
        <f ca="1" t="shared" si="6"/>
        <v>0</v>
      </c>
      <c r="N27" s="6">
        <f ca="1" t="shared" si="7"/>
        <v>24000</v>
      </c>
      <c r="O27" s="6">
        <f ca="1" t="shared" si="8"/>
        <v>6.66666666666667</v>
      </c>
      <c r="P27" s="6"/>
      <c r="Q27" s="6"/>
    </row>
    <row r="28" s="21" customFormat="1" ht="20" customHeight="1" spans="1:17">
      <c r="A28" s="27">
        <v>46101</v>
      </c>
      <c r="B28" s="6">
        <v>11</v>
      </c>
      <c r="C28" s="29">
        <f ca="1">O28/B28</f>
        <v>0.742929292929293</v>
      </c>
      <c r="D28" s="5" t="s">
        <v>199</v>
      </c>
      <c r="E28" s="5" t="s">
        <v>200</v>
      </c>
      <c r="F28" s="6">
        <v>130</v>
      </c>
      <c r="G28" s="5" t="s">
        <v>22</v>
      </c>
      <c r="H28" s="6">
        <f ca="1" t="array" ref="H28">INDEX(成本核算表!J:J,MATCH(1,(成本核算表!D:D=E28)*(成本核算表!C:C=G28),0))</f>
        <v>70</v>
      </c>
      <c r="I28" s="6">
        <v>86</v>
      </c>
      <c r="J28" s="6">
        <f ca="1" t="shared" si="5"/>
        <v>6020</v>
      </c>
      <c r="K28" s="6"/>
      <c r="L28" s="6">
        <f>6.5*3600</f>
        <v>23400</v>
      </c>
      <c r="M28" s="6">
        <f ca="1" t="shared" si="6"/>
        <v>0</v>
      </c>
      <c r="N28" s="6">
        <f ca="1" t="shared" si="7"/>
        <v>29420</v>
      </c>
      <c r="O28" s="6">
        <f ca="1" t="shared" si="8"/>
        <v>8.17222222222222</v>
      </c>
      <c r="P28" s="6"/>
      <c r="Q28" s="5" t="s">
        <v>110</v>
      </c>
    </row>
    <row r="29" s="21" customFormat="1" ht="20" customHeight="1" spans="1:17">
      <c r="A29" s="6"/>
      <c r="B29" s="6"/>
      <c r="C29" s="28"/>
      <c r="D29" s="6"/>
      <c r="E29" s="6"/>
      <c r="F29" s="6"/>
      <c r="G29" s="6"/>
      <c r="H29" s="6">
        <f ca="1" t="array" ref="H29">INDEX(成本核算表!J:J,MATCH(1,(成本核算表!D:D=E29)*(成本核算表!C:C=G29),0))</f>
        <v>0</v>
      </c>
      <c r="I29" s="6"/>
      <c r="J29" s="6">
        <f ca="1" t="shared" si="5"/>
        <v>0</v>
      </c>
      <c r="K29" s="6"/>
      <c r="L29" s="6"/>
      <c r="M29" s="6">
        <f ca="1" t="shared" si="6"/>
        <v>0</v>
      </c>
      <c r="N29" s="6">
        <f ca="1" t="shared" si="7"/>
        <v>0</v>
      </c>
      <c r="O29" s="6">
        <f ca="1" t="shared" si="8"/>
        <v>0</v>
      </c>
      <c r="P29" s="6"/>
      <c r="Q29" s="6"/>
    </row>
    <row r="30" s="21" customFormat="1" ht="20" customHeight="1" spans="1:17">
      <c r="A30" s="6"/>
      <c r="B30" s="6"/>
      <c r="C30" s="28"/>
      <c r="D30" s="6"/>
      <c r="E30" s="6"/>
      <c r="F30" s="6"/>
      <c r="G30" s="6"/>
      <c r="H30" s="6">
        <f ca="1" t="array" ref="H30">INDEX(成本核算表!J:J,MATCH(1,(成本核算表!D:D=E30)*(成本核算表!C:C=G30),0))</f>
        <v>0</v>
      </c>
      <c r="I30" s="6"/>
      <c r="J30" s="6">
        <f ca="1" t="shared" si="5"/>
        <v>0</v>
      </c>
      <c r="K30" s="6"/>
      <c r="L30" s="6"/>
      <c r="M30" s="6">
        <f ca="1" t="shared" si="6"/>
        <v>0</v>
      </c>
      <c r="N30" s="6">
        <f ca="1" t="shared" si="7"/>
        <v>0</v>
      </c>
      <c r="O30" s="6">
        <f ca="1" t="shared" si="8"/>
        <v>0</v>
      </c>
      <c r="P30" s="6"/>
      <c r="Q30" s="6"/>
    </row>
    <row r="31" s="21" customFormat="1" ht="20" customHeight="1" spans="1:17">
      <c r="A31" s="6"/>
      <c r="B31" s="6"/>
      <c r="C31" s="28"/>
      <c r="D31" s="6"/>
      <c r="E31" s="6"/>
      <c r="F31" s="6"/>
      <c r="G31" s="6"/>
      <c r="H31" s="6">
        <f ca="1" t="array" ref="H31">INDEX(成本核算表!J:J,MATCH(1,(成本核算表!D:D=E31)*(成本核算表!C:C=G31),0))</f>
        <v>0</v>
      </c>
      <c r="I31" s="6"/>
      <c r="J31" s="6">
        <f ca="1" t="shared" si="5"/>
        <v>0</v>
      </c>
      <c r="K31" s="6"/>
      <c r="L31" s="6"/>
      <c r="M31" s="6">
        <f ca="1" t="shared" si="6"/>
        <v>0</v>
      </c>
      <c r="N31" s="6">
        <f ca="1" t="shared" si="7"/>
        <v>0</v>
      </c>
      <c r="O31" s="6">
        <f ca="1" t="shared" si="8"/>
        <v>0</v>
      </c>
      <c r="P31" s="6"/>
      <c r="Q31" s="6"/>
    </row>
    <row r="32" s="21" customFormat="1" ht="20" customHeight="1" spans="1:17">
      <c r="A32" s="6"/>
      <c r="B32" s="6"/>
      <c r="C32" s="28"/>
      <c r="D32" s="6"/>
      <c r="E32" s="6"/>
      <c r="F32" s="6"/>
      <c r="G32" s="6"/>
      <c r="H32" s="6">
        <f ca="1" t="array" ref="H32">INDEX(成本核算表!J:J,MATCH(1,(成本核算表!D:D=E32)*(成本核算表!C:C=G32),0))</f>
        <v>0</v>
      </c>
      <c r="I32" s="6"/>
      <c r="J32" s="6">
        <f ca="1" t="shared" si="5"/>
        <v>0</v>
      </c>
      <c r="K32" s="6"/>
      <c r="L32" s="6"/>
      <c r="M32" s="6">
        <f ca="1" t="shared" si="6"/>
        <v>0</v>
      </c>
      <c r="N32" s="6">
        <f ca="1" t="shared" si="7"/>
        <v>0</v>
      </c>
      <c r="O32" s="6">
        <f ca="1" t="shared" si="8"/>
        <v>0</v>
      </c>
      <c r="P32" s="6"/>
      <c r="Q32" s="6"/>
    </row>
    <row r="33" s="21" customFormat="1" ht="20" customHeight="1" spans="1:17">
      <c r="A33" s="6"/>
      <c r="B33" s="6"/>
      <c r="C33" s="28"/>
      <c r="D33" s="6"/>
      <c r="E33" s="6"/>
      <c r="F33" s="6"/>
      <c r="G33" s="6"/>
      <c r="H33" s="6">
        <f ca="1" t="array" ref="H33">INDEX(成本核算表!J:J,MATCH(1,(成本核算表!D:D=E33)*(成本核算表!C:C=G33),0))</f>
        <v>0</v>
      </c>
      <c r="I33" s="6"/>
      <c r="J33" s="6">
        <f ca="1" t="shared" si="5"/>
        <v>0</v>
      </c>
      <c r="K33" s="6"/>
      <c r="L33" s="6"/>
      <c r="M33" s="6">
        <f ca="1" t="shared" si="6"/>
        <v>0</v>
      </c>
      <c r="N33" s="6">
        <f ca="1" t="shared" si="7"/>
        <v>0</v>
      </c>
      <c r="O33" s="6">
        <f ca="1" t="shared" si="8"/>
        <v>0</v>
      </c>
      <c r="P33" s="6"/>
      <c r="Q33" s="6"/>
    </row>
    <row r="34" s="21" customFormat="1" ht="20" customHeight="1" spans="1:17">
      <c r="A34" s="6"/>
      <c r="B34" s="6"/>
      <c r="C34" s="28"/>
      <c r="D34" s="6"/>
      <c r="E34" s="6"/>
      <c r="F34" s="6"/>
      <c r="G34" s="6"/>
      <c r="H34" s="6">
        <f ca="1" t="array" ref="H34">INDEX(成本核算表!J:J,MATCH(1,(成本核算表!D:D=E34)*(成本核算表!C:C=G34),0))</f>
        <v>0</v>
      </c>
      <c r="I34" s="6"/>
      <c r="J34" s="6">
        <f ca="1" t="shared" si="5"/>
        <v>0</v>
      </c>
      <c r="K34" s="6"/>
      <c r="L34" s="6"/>
      <c r="M34" s="6">
        <f ca="1" t="shared" si="6"/>
        <v>0</v>
      </c>
      <c r="N34" s="6">
        <f ca="1" t="shared" si="7"/>
        <v>0</v>
      </c>
      <c r="O34" s="6">
        <f ca="1" t="shared" si="8"/>
        <v>0</v>
      </c>
      <c r="P34" s="6"/>
      <c r="Q34" s="6"/>
    </row>
    <row r="35" s="21" customFormat="1" ht="20" customHeight="1" spans="1:17">
      <c r="A35" s="6"/>
      <c r="B35" s="6"/>
      <c r="C35" s="28"/>
      <c r="D35" s="6"/>
      <c r="E35" s="6"/>
      <c r="F35" s="6"/>
      <c r="G35" s="6"/>
      <c r="H35" s="6">
        <f ca="1" t="array" ref="H35">INDEX(成本核算表!J:J,MATCH(1,(成本核算表!D:D=E35)*(成本核算表!C:C=G35),0))</f>
        <v>0</v>
      </c>
      <c r="I35" s="6"/>
      <c r="J35" s="6">
        <f ca="1" t="shared" si="5"/>
        <v>0</v>
      </c>
      <c r="K35" s="6"/>
      <c r="L35" s="6"/>
      <c r="M35" s="6">
        <f ca="1" t="shared" si="6"/>
        <v>0</v>
      </c>
      <c r="N35" s="6">
        <f ca="1" t="shared" si="7"/>
        <v>0</v>
      </c>
      <c r="O35" s="6">
        <f ca="1" t="shared" si="8"/>
        <v>0</v>
      </c>
      <c r="P35" s="6"/>
      <c r="Q35" s="6"/>
    </row>
    <row r="36" s="21" customFormat="1" ht="20" customHeight="1" spans="1:17">
      <c r="A36" s="6"/>
      <c r="B36" s="6"/>
      <c r="C36" s="28"/>
      <c r="D36" s="6"/>
      <c r="E36" s="6"/>
      <c r="F36" s="6"/>
      <c r="G36" s="6"/>
      <c r="H36" s="6">
        <f ca="1" t="array" ref="H36">INDEX(成本核算表!J:J,MATCH(1,(成本核算表!D:D=E36)*(成本核算表!C:C=G36),0))</f>
        <v>0</v>
      </c>
      <c r="I36" s="6"/>
      <c r="J36" s="6">
        <f ca="1" t="shared" si="5"/>
        <v>0</v>
      </c>
      <c r="K36" s="6"/>
      <c r="L36" s="6"/>
      <c r="M36" s="6">
        <f ca="1" t="shared" si="6"/>
        <v>0</v>
      </c>
      <c r="N36" s="6">
        <f ca="1" t="shared" si="7"/>
        <v>0</v>
      </c>
      <c r="O36" s="6">
        <f ca="1" t="shared" si="8"/>
        <v>0</v>
      </c>
      <c r="P36" s="6"/>
      <c r="Q36" s="6"/>
    </row>
    <row r="37" s="21" customFormat="1" ht="20" customHeight="1" spans="1:17">
      <c r="A37" s="6"/>
      <c r="B37" s="6"/>
      <c r="C37" s="28"/>
      <c r="D37" s="6"/>
      <c r="E37" s="6"/>
      <c r="F37" s="6"/>
      <c r="G37" s="6"/>
      <c r="H37" s="6">
        <f ca="1" t="array" ref="H37">INDEX(成本核算表!J:J,MATCH(1,(成本核算表!D:D=E37)*(成本核算表!C:C=G37),0))</f>
        <v>0</v>
      </c>
      <c r="I37" s="6"/>
      <c r="J37" s="6">
        <f ca="1" t="shared" si="5"/>
        <v>0</v>
      </c>
      <c r="K37" s="6"/>
      <c r="L37" s="6"/>
      <c r="M37" s="6">
        <f ca="1" t="shared" si="6"/>
        <v>0</v>
      </c>
      <c r="N37" s="6">
        <f ca="1" t="shared" si="7"/>
        <v>0</v>
      </c>
      <c r="O37" s="6">
        <f ca="1" t="shared" si="8"/>
        <v>0</v>
      </c>
      <c r="P37" s="6"/>
      <c r="Q37" s="6"/>
    </row>
    <row r="38" s="21" customFormat="1" ht="20" customHeight="1" spans="1:17">
      <c r="A38" s="6"/>
      <c r="B38" s="6"/>
      <c r="C38" s="28"/>
      <c r="D38" s="6"/>
      <c r="E38" s="6"/>
      <c r="F38" s="6"/>
      <c r="G38" s="6"/>
      <c r="H38" s="6">
        <f ca="1" t="array" ref="H38">INDEX(成本核算表!J:J,MATCH(1,(成本核算表!D:D=E38)*(成本核算表!C:C=G38),0))</f>
        <v>0</v>
      </c>
      <c r="I38" s="6"/>
      <c r="J38" s="6">
        <f ca="1" t="shared" si="5"/>
        <v>0</v>
      </c>
      <c r="K38" s="6"/>
      <c r="L38" s="6"/>
      <c r="M38" s="6">
        <f ca="1" t="shared" si="6"/>
        <v>0</v>
      </c>
      <c r="N38" s="6">
        <f ca="1" t="shared" si="7"/>
        <v>0</v>
      </c>
      <c r="O38" s="6">
        <f ca="1" t="shared" si="8"/>
        <v>0</v>
      </c>
      <c r="P38" s="6"/>
      <c r="Q38" s="6"/>
    </row>
    <row r="39" s="21" customFormat="1" ht="20" customHeight="1" spans="1:17">
      <c r="A39" s="22"/>
      <c r="B39" s="23"/>
      <c r="C39" s="24"/>
      <c r="D39" s="23"/>
      <c r="E39" s="23"/>
      <c r="F39" s="23"/>
      <c r="G39" s="23"/>
      <c r="H39" s="6">
        <f ca="1" t="array" ref="H39">INDEX(成本核算表!J:J,MATCH(1,(成本核算表!D:D=E39)*(成本核算表!C:C=G39),0))</f>
        <v>0</v>
      </c>
      <c r="I39" s="6"/>
      <c r="J39" s="6">
        <f ca="1" t="shared" si="5"/>
        <v>0</v>
      </c>
      <c r="K39" s="23"/>
      <c r="L39" s="23"/>
      <c r="M39" s="6">
        <f ca="1" t="shared" si="6"/>
        <v>0</v>
      </c>
      <c r="N39" s="6">
        <f ca="1" t="shared" si="7"/>
        <v>0</v>
      </c>
      <c r="O39" s="6">
        <f ca="1" t="shared" si="8"/>
        <v>0</v>
      </c>
    </row>
    <row r="40" s="21" customFormat="1" ht="20" customHeight="1" spans="1:17">
      <c r="A40" s="22"/>
      <c r="B40" s="23"/>
      <c r="C40" s="24"/>
      <c r="D40" s="23"/>
      <c r="E40" s="23"/>
      <c r="F40" s="23"/>
      <c r="G40" s="23"/>
      <c r="H40" s="6">
        <f ca="1" t="array" ref="H40">INDEX(成本核算表!J:J,MATCH(1,(成本核算表!D:D=E40)*(成本核算表!C:C=G40),0))</f>
        <v>0</v>
      </c>
      <c r="I40" s="6"/>
      <c r="J40" s="6">
        <f ca="1" t="shared" si="5"/>
        <v>0</v>
      </c>
      <c r="K40" s="23"/>
      <c r="L40" s="23"/>
      <c r="M40" s="6">
        <f ca="1" t="shared" si="6"/>
        <v>0</v>
      </c>
      <c r="N40" s="6">
        <f ca="1" t="shared" si="7"/>
        <v>0</v>
      </c>
      <c r="O40" s="6">
        <f ca="1" t="shared" si="8"/>
        <v>0</v>
      </c>
    </row>
    <row r="41" s="21" customFormat="1" ht="20" customHeight="1" spans="1:17">
      <c r="A41" s="22"/>
      <c r="B41" s="23"/>
      <c r="C41" s="24"/>
      <c r="D41" s="23"/>
      <c r="E41" s="23"/>
      <c r="F41" s="23"/>
      <c r="G41" s="23"/>
      <c r="H41" s="6">
        <f ca="1" t="array" ref="H41">INDEX(成本核算表!J:J,MATCH(1,(成本核算表!D:D=E41)*(成本核算表!C:C=G41),0))</f>
        <v>0</v>
      </c>
      <c r="I41" s="6"/>
      <c r="J41" s="6">
        <f ca="1" t="shared" si="5"/>
        <v>0</v>
      </c>
      <c r="K41" s="23"/>
      <c r="L41" s="23"/>
      <c r="M41" s="6">
        <f ca="1" t="shared" si="6"/>
        <v>0</v>
      </c>
      <c r="N41" s="6">
        <f ca="1" t="shared" si="7"/>
        <v>0</v>
      </c>
      <c r="O41" s="6">
        <f ca="1" t="shared" si="8"/>
        <v>0</v>
      </c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5"/>
        <v>0</v>
      </c>
      <c r="K42" s="23"/>
      <c r="L42" s="23"/>
      <c r="M42" s="6">
        <f ca="1" t="shared" si="6"/>
        <v>0</v>
      </c>
      <c r="N42" s="6">
        <f ca="1" t="shared" si="7"/>
        <v>0</v>
      </c>
      <c r="O42" s="6">
        <f ca="1" t="shared" si="8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5"/>
        <v>0</v>
      </c>
      <c r="K43" s="23"/>
      <c r="L43" s="23"/>
      <c r="M43" s="6">
        <f ca="1" t="shared" si="6"/>
        <v>0</v>
      </c>
      <c r="N43" s="6">
        <f ca="1" t="shared" si="7"/>
        <v>0</v>
      </c>
      <c r="O43" s="6">
        <f ca="1" t="shared" si="8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5"/>
        <v>0</v>
      </c>
      <c r="K44" s="23"/>
      <c r="L44" s="23"/>
      <c r="M44" s="6">
        <f ca="1" t="shared" si="6"/>
        <v>0</v>
      </c>
      <c r="N44" s="6">
        <f ca="1" t="shared" si="7"/>
        <v>0</v>
      </c>
      <c r="O44" s="6">
        <f ca="1" t="shared" si="8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5"/>
        <v>0</v>
      </c>
      <c r="K45" s="23"/>
      <c r="L45" s="23"/>
      <c r="M45" s="6">
        <f ca="1" t="shared" si="6"/>
        <v>0</v>
      </c>
      <c r="N45" s="6">
        <f ca="1" t="shared" si="7"/>
        <v>0</v>
      </c>
      <c r="O45" s="6">
        <f ca="1" t="shared" si="8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5"/>
        <v>0</v>
      </c>
      <c r="K46" s="23"/>
      <c r="L46" s="23"/>
      <c r="M46" s="6">
        <f ca="1" t="shared" si="6"/>
        <v>0</v>
      </c>
      <c r="N46" s="6">
        <f ca="1" t="shared" si="7"/>
        <v>0</v>
      </c>
      <c r="O46" s="6">
        <f ca="1" t="shared" si="8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5"/>
        <v>0</v>
      </c>
      <c r="K47" s="23"/>
      <c r="L47" s="23"/>
      <c r="M47" s="6">
        <f ca="1" t="shared" si="6"/>
        <v>0</v>
      </c>
      <c r="N47" s="6">
        <f ca="1" t="shared" si="7"/>
        <v>0</v>
      </c>
      <c r="O47" s="6">
        <f ca="1" t="shared" si="8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5"/>
        <v>0</v>
      </c>
      <c r="K48" s="23"/>
      <c r="L48" s="23"/>
      <c r="M48" s="6">
        <f ca="1" t="shared" si="6"/>
        <v>0</v>
      </c>
      <c r="N48" s="6">
        <f ca="1" t="shared" si="7"/>
        <v>0</v>
      </c>
      <c r="O48" s="6">
        <f ca="1" t="shared" si="8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5"/>
        <v>0</v>
      </c>
      <c r="K49" s="23"/>
      <c r="L49" s="23"/>
      <c r="M49" s="6">
        <f ca="1" t="shared" si="6"/>
        <v>0</v>
      </c>
      <c r="N49" s="6">
        <f ca="1" t="shared" si="7"/>
        <v>0</v>
      </c>
      <c r="O49" s="6">
        <f ca="1" t="shared" si="8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5"/>
        <v>0</v>
      </c>
      <c r="K50" s="23"/>
      <c r="L50" s="23"/>
      <c r="M50" s="6">
        <f ca="1" t="shared" si="6"/>
        <v>0</v>
      </c>
      <c r="N50" s="6">
        <f ca="1" t="shared" si="7"/>
        <v>0</v>
      </c>
      <c r="O50" s="6">
        <f ca="1" t="shared" si="8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5"/>
        <v>0</v>
      </c>
      <c r="K51" s="23"/>
      <c r="L51" s="23"/>
      <c r="M51" s="6">
        <f ca="1" t="shared" si="6"/>
        <v>0</v>
      </c>
      <c r="N51" s="6">
        <f ca="1" t="shared" si="7"/>
        <v>0</v>
      </c>
      <c r="O51" s="6">
        <f ca="1" t="shared" si="8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5"/>
        <v>0</v>
      </c>
      <c r="K52" s="23"/>
      <c r="L52" s="23"/>
      <c r="M52" s="6">
        <f ca="1" t="shared" si="6"/>
        <v>0</v>
      </c>
      <c r="N52" s="6">
        <f ca="1" t="shared" si="7"/>
        <v>0</v>
      </c>
      <c r="O52" s="6">
        <f ca="1" t="shared" si="8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5"/>
        <v>0</v>
      </c>
      <c r="K53" s="23"/>
      <c r="L53" s="23"/>
      <c r="M53" s="6">
        <f ca="1" t="shared" si="6"/>
        <v>0</v>
      </c>
      <c r="N53" s="6">
        <f ca="1" t="shared" si="7"/>
        <v>0</v>
      </c>
      <c r="O53" s="6">
        <f ca="1" t="shared" si="8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5"/>
        <v>0</v>
      </c>
      <c r="K54" s="23"/>
      <c r="L54" s="23"/>
      <c r="M54" s="6">
        <f ca="1" t="shared" si="6"/>
        <v>0</v>
      </c>
      <c r="N54" s="6">
        <f ca="1" t="shared" si="7"/>
        <v>0</v>
      </c>
      <c r="O54" s="6">
        <f ca="1" t="shared" si="8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5"/>
        <v>0</v>
      </c>
      <c r="K55" s="23"/>
      <c r="L55" s="23"/>
      <c r="M55" s="6">
        <f ca="1" t="shared" si="6"/>
        <v>0</v>
      </c>
      <c r="N55" s="6">
        <f ca="1" t="shared" si="7"/>
        <v>0</v>
      </c>
      <c r="O55" s="6">
        <f ca="1" t="shared" si="8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5"/>
        <v>0</v>
      </c>
      <c r="K56" s="23"/>
      <c r="L56" s="23"/>
      <c r="M56" s="6">
        <f ca="1" t="shared" si="6"/>
        <v>0</v>
      </c>
      <c r="N56" s="6">
        <f ca="1" t="shared" si="7"/>
        <v>0</v>
      </c>
      <c r="O56" s="6">
        <f ca="1" t="shared" si="8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5"/>
        <v>0</v>
      </c>
      <c r="K57" s="23"/>
      <c r="L57" s="23"/>
      <c r="M57" s="6">
        <f ca="1" t="shared" si="6"/>
        <v>0</v>
      </c>
      <c r="N57" s="6">
        <f ca="1" t="shared" si="7"/>
        <v>0</v>
      </c>
      <c r="O57" s="6">
        <f ca="1" t="shared" si="8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5"/>
        <v>0</v>
      </c>
      <c r="K58" s="23"/>
      <c r="L58" s="23"/>
      <c r="M58" s="6">
        <f ca="1" t="shared" si="6"/>
        <v>0</v>
      </c>
      <c r="N58" s="6">
        <f ca="1" t="shared" si="7"/>
        <v>0</v>
      </c>
      <c r="O58" s="6">
        <f ca="1" t="shared" si="8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5"/>
        <v>0</v>
      </c>
      <c r="K59" s="23"/>
      <c r="L59" s="23"/>
      <c r="M59" s="6">
        <f ca="1" t="shared" si="6"/>
        <v>0</v>
      </c>
      <c r="N59" s="6">
        <f ca="1" t="shared" si="7"/>
        <v>0</v>
      </c>
      <c r="O59" s="6">
        <f ca="1" t="shared" si="8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5"/>
        <v>0</v>
      </c>
      <c r="K60" s="23"/>
      <c r="L60" s="23"/>
      <c r="M60" s="6">
        <f ca="1" t="shared" si="6"/>
        <v>0</v>
      </c>
      <c r="N60" s="6">
        <f ca="1" t="shared" si="7"/>
        <v>0</v>
      </c>
      <c r="O60" s="6">
        <f ca="1" t="shared" si="8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5"/>
        <v>0</v>
      </c>
      <c r="K61" s="23"/>
      <c r="L61" s="23"/>
      <c r="M61" s="6">
        <f ca="1" t="shared" si="6"/>
        <v>0</v>
      </c>
      <c r="N61" s="6">
        <f ca="1" t="shared" si="7"/>
        <v>0</v>
      </c>
      <c r="O61" s="6">
        <f ca="1" t="shared" si="8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5"/>
        <v>0</v>
      </c>
      <c r="K62" s="23"/>
      <c r="L62" s="23"/>
      <c r="M62" s="6">
        <f ca="1" t="shared" si="6"/>
        <v>0</v>
      </c>
      <c r="N62" s="6">
        <f ca="1" t="shared" si="7"/>
        <v>0</v>
      </c>
      <c r="O62" s="6">
        <f ca="1" t="shared" si="8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5"/>
        <v>0</v>
      </c>
      <c r="K63" s="23"/>
      <c r="L63" s="23"/>
      <c r="M63" s="6">
        <f ca="1" t="shared" si="6"/>
        <v>0</v>
      </c>
      <c r="N63" s="6">
        <f ca="1" t="shared" si="7"/>
        <v>0</v>
      </c>
      <c r="O63" s="6">
        <f ca="1" t="shared" si="8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5"/>
        <v>0</v>
      </c>
      <c r="K64" s="23"/>
      <c r="L64" s="23"/>
      <c r="M64" s="6">
        <f ca="1" t="shared" si="6"/>
        <v>0</v>
      </c>
      <c r="N64" s="6">
        <f ca="1" t="shared" si="7"/>
        <v>0</v>
      </c>
      <c r="O64" s="6">
        <f ca="1" t="shared" si="8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5"/>
        <v>0</v>
      </c>
      <c r="K65" s="23"/>
      <c r="L65" s="23"/>
      <c r="M65" s="6">
        <f ca="1" t="shared" si="6"/>
        <v>0</v>
      </c>
      <c r="N65" s="6">
        <f ca="1" t="shared" si="7"/>
        <v>0</v>
      </c>
      <c r="O65" s="6">
        <f ca="1" t="shared" si="8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98" si="9">H66*I66</f>
        <v>0</v>
      </c>
      <c r="K66" s="23"/>
      <c r="L66" s="23"/>
      <c r="M66" s="6">
        <f ca="1" t="shared" ref="M66:M98" si="10">K66*H66</f>
        <v>0</v>
      </c>
      <c r="N66" s="6">
        <f ca="1" t="shared" ref="N66:N98" si="11">J66-M66+L66</f>
        <v>0</v>
      </c>
      <c r="O66" s="6">
        <f ca="1" t="shared" ref="O66:O98" si="12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9"/>
        <v>0</v>
      </c>
      <c r="K67" s="23"/>
      <c r="L67" s="23"/>
      <c r="M67" s="6">
        <f ca="1" t="shared" si="10"/>
        <v>0</v>
      </c>
      <c r="N67" s="6">
        <f ca="1" t="shared" si="11"/>
        <v>0</v>
      </c>
      <c r="O67" s="6">
        <f ca="1" t="shared" si="12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9"/>
        <v>0</v>
      </c>
      <c r="K68" s="23"/>
      <c r="L68" s="23"/>
      <c r="M68" s="6">
        <f ca="1" t="shared" si="10"/>
        <v>0</v>
      </c>
      <c r="N68" s="6">
        <f ca="1" t="shared" si="11"/>
        <v>0</v>
      </c>
      <c r="O68" s="6">
        <f ca="1" t="shared" si="12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9"/>
        <v>0</v>
      </c>
      <c r="K69" s="23"/>
      <c r="L69" s="23"/>
      <c r="M69" s="6">
        <f ca="1" t="shared" si="10"/>
        <v>0</v>
      </c>
      <c r="N69" s="6">
        <f ca="1" t="shared" si="11"/>
        <v>0</v>
      </c>
      <c r="O69" s="6">
        <f ca="1" t="shared" si="12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9"/>
        <v>0</v>
      </c>
      <c r="K70" s="23"/>
      <c r="L70" s="23"/>
      <c r="M70" s="6">
        <f ca="1" t="shared" si="10"/>
        <v>0</v>
      </c>
      <c r="N70" s="6">
        <f ca="1" t="shared" si="11"/>
        <v>0</v>
      </c>
      <c r="O70" s="6">
        <f ca="1" t="shared" si="12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9"/>
        <v>0</v>
      </c>
      <c r="K71" s="23"/>
      <c r="L71" s="23"/>
      <c r="M71" s="6">
        <f ca="1" t="shared" si="10"/>
        <v>0</v>
      </c>
      <c r="N71" s="6">
        <f ca="1" t="shared" si="11"/>
        <v>0</v>
      </c>
      <c r="O71" s="6">
        <f ca="1" t="shared" si="12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9"/>
        <v>0</v>
      </c>
      <c r="K72" s="23"/>
      <c r="L72" s="23"/>
      <c r="M72" s="6">
        <f ca="1" t="shared" si="10"/>
        <v>0</v>
      </c>
      <c r="N72" s="6">
        <f ca="1" t="shared" si="11"/>
        <v>0</v>
      </c>
      <c r="O72" s="6">
        <f ca="1" t="shared" si="12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9"/>
        <v>0</v>
      </c>
      <c r="K73" s="23"/>
      <c r="L73" s="23"/>
      <c r="M73" s="6">
        <f ca="1" t="shared" si="10"/>
        <v>0</v>
      </c>
      <c r="N73" s="6">
        <f ca="1" t="shared" si="11"/>
        <v>0</v>
      </c>
      <c r="O73" s="6">
        <f ca="1" t="shared" si="12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9"/>
        <v>0</v>
      </c>
      <c r="K74" s="23"/>
      <c r="L74" s="23"/>
      <c r="M74" s="6">
        <f ca="1" t="shared" si="10"/>
        <v>0</v>
      </c>
      <c r="N74" s="6">
        <f ca="1" t="shared" si="11"/>
        <v>0</v>
      </c>
      <c r="O74" s="6">
        <f ca="1" t="shared" si="12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9"/>
        <v>0</v>
      </c>
      <c r="K75" s="23"/>
      <c r="L75" s="23"/>
      <c r="M75" s="6">
        <f ca="1" t="shared" si="10"/>
        <v>0</v>
      </c>
      <c r="N75" s="6">
        <f ca="1" t="shared" si="11"/>
        <v>0</v>
      </c>
      <c r="O75" s="6">
        <f ca="1" t="shared" si="12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9"/>
        <v>0</v>
      </c>
      <c r="K76" s="23"/>
      <c r="L76" s="23"/>
      <c r="M76" s="6">
        <f ca="1" t="shared" si="10"/>
        <v>0</v>
      </c>
      <c r="N76" s="6">
        <f ca="1" t="shared" si="11"/>
        <v>0</v>
      </c>
      <c r="O76" s="6">
        <f ca="1" t="shared" si="12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9"/>
        <v>0</v>
      </c>
      <c r="K77" s="23"/>
      <c r="L77" s="23"/>
      <c r="M77" s="6">
        <f ca="1" t="shared" si="10"/>
        <v>0</v>
      </c>
      <c r="N77" s="6">
        <f ca="1" t="shared" si="11"/>
        <v>0</v>
      </c>
      <c r="O77" s="6">
        <f ca="1" t="shared" si="12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9"/>
        <v>0</v>
      </c>
      <c r="K78" s="23"/>
      <c r="L78" s="23"/>
      <c r="M78" s="6">
        <f ca="1" t="shared" si="10"/>
        <v>0</v>
      </c>
      <c r="N78" s="6">
        <f ca="1" t="shared" si="11"/>
        <v>0</v>
      </c>
      <c r="O78" s="6">
        <f ca="1" t="shared" si="12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9"/>
        <v>0</v>
      </c>
      <c r="K79" s="23"/>
      <c r="L79" s="23"/>
      <c r="M79" s="6">
        <f ca="1" t="shared" si="10"/>
        <v>0</v>
      </c>
      <c r="N79" s="6">
        <f ca="1" t="shared" si="11"/>
        <v>0</v>
      </c>
      <c r="O79" s="6">
        <f ca="1" t="shared" si="12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9"/>
        <v>0</v>
      </c>
      <c r="K80" s="23"/>
      <c r="L80" s="23"/>
      <c r="M80" s="6">
        <f ca="1" t="shared" si="10"/>
        <v>0</v>
      </c>
      <c r="N80" s="6">
        <f ca="1" t="shared" si="11"/>
        <v>0</v>
      </c>
      <c r="O80" s="6">
        <f ca="1" t="shared" si="12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9"/>
        <v>0</v>
      </c>
      <c r="K81" s="23"/>
      <c r="L81" s="23"/>
      <c r="M81" s="6">
        <f ca="1" t="shared" si="10"/>
        <v>0</v>
      </c>
      <c r="N81" s="6">
        <f ca="1" t="shared" si="11"/>
        <v>0</v>
      </c>
      <c r="O81" s="6">
        <f ca="1" t="shared" si="12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9"/>
        <v>0</v>
      </c>
      <c r="K82" s="23"/>
      <c r="L82" s="23"/>
      <c r="M82" s="6">
        <f ca="1" t="shared" si="10"/>
        <v>0</v>
      </c>
      <c r="N82" s="6">
        <f ca="1" t="shared" si="11"/>
        <v>0</v>
      </c>
      <c r="O82" s="6">
        <f ca="1" t="shared" si="12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9"/>
        <v>0</v>
      </c>
      <c r="K83" s="23"/>
      <c r="L83" s="23"/>
      <c r="M83" s="6">
        <f ca="1" t="shared" si="10"/>
        <v>0</v>
      </c>
      <c r="N83" s="6">
        <f ca="1" t="shared" si="11"/>
        <v>0</v>
      </c>
      <c r="O83" s="6">
        <f ca="1" t="shared" si="12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9"/>
        <v>0</v>
      </c>
      <c r="K84" s="23"/>
      <c r="L84" s="23"/>
      <c r="M84" s="6">
        <f ca="1" t="shared" si="10"/>
        <v>0</v>
      </c>
      <c r="N84" s="6">
        <f ca="1" t="shared" si="11"/>
        <v>0</v>
      </c>
      <c r="O84" s="6">
        <f ca="1" t="shared" si="12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9"/>
        <v>0</v>
      </c>
      <c r="K85" s="23"/>
      <c r="L85" s="23"/>
      <c r="M85" s="6">
        <f ca="1" t="shared" si="10"/>
        <v>0</v>
      </c>
      <c r="N85" s="6">
        <f ca="1" t="shared" si="11"/>
        <v>0</v>
      </c>
      <c r="O85" s="6">
        <f ca="1" t="shared" si="12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9"/>
        <v>0</v>
      </c>
      <c r="K86" s="23"/>
      <c r="L86" s="23"/>
      <c r="M86" s="6">
        <f ca="1" t="shared" si="10"/>
        <v>0</v>
      </c>
      <c r="N86" s="6">
        <f ca="1" t="shared" si="11"/>
        <v>0</v>
      </c>
      <c r="O86" s="6">
        <f ca="1" t="shared" si="12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9"/>
        <v>0</v>
      </c>
      <c r="K87" s="23"/>
      <c r="L87" s="23"/>
      <c r="M87" s="6">
        <f ca="1" t="shared" si="10"/>
        <v>0</v>
      </c>
      <c r="N87" s="6">
        <f ca="1" t="shared" si="11"/>
        <v>0</v>
      </c>
      <c r="O87" s="6">
        <f ca="1" t="shared" si="12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9"/>
        <v>0</v>
      </c>
      <c r="K88" s="23"/>
      <c r="L88" s="23"/>
      <c r="M88" s="6">
        <f ca="1" t="shared" si="10"/>
        <v>0</v>
      </c>
      <c r="N88" s="6">
        <f ca="1" t="shared" si="11"/>
        <v>0</v>
      </c>
      <c r="O88" s="6">
        <f ca="1" t="shared" si="12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9"/>
        <v>0</v>
      </c>
      <c r="K89" s="23"/>
      <c r="L89" s="23"/>
      <c r="M89" s="6">
        <f ca="1" t="shared" si="10"/>
        <v>0</v>
      </c>
      <c r="N89" s="6">
        <f ca="1" t="shared" si="11"/>
        <v>0</v>
      </c>
      <c r="O89" s="6">
        <f ca="1" t="shared" si="12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9"/>
        <v>0</v>
      </c>
      <c r="K90" s="23"/>
      <c r="L90" s="23"/>
      <c r="M90" s="6">
        <f ca="1" t="shared" si="10"/>
        <v>0</v>
      </c>
      <c r="N90" s="6">
        <f ca="1" t="shared" si="11"/>
        <v>0</v>
      </c>
      <c r="O90" s="6">
        <f ca="1" t="shared" si="12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9"/>
        <v>0</v>
      </c>
      <c r="K91" s="23"/>
      <c r="L91" s="23"/>
      <c r="M91" s="6">
        <f ca="1" t="shared" si="10"/>
        <v>0</v>
      </c>
      <c r="N91" s="6">
        <f ca="1" t="shared" si="11"/>
        <v>0</v>
      </c>
      <c r="O91" s="6">
        <f ca="1" t="shared" si="12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9"/>
        <v>0</v>
      </c>
      <c r="K92" s="23"/>
      <c r="L92" s="23"/>
      <c r="M92" s="6">
        <f ca="1" t="shared" si="10"/>
        <v>0</v>
      </c>
      <c r="N92" s="6">
        <f ca="1" t="shared" si="11"/>
        <v>0</v>
      </c>
      <c r="O92" s="6">
        <f ca="1" t="shared" si="12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9"/>
        <v>0</v>
      </c>
      <c r="K93" s="23"/>
      <c r="L93" s="23"/>
      <c r="M93" s="6">
        <f ca="1" t="shared" si="10"/>
        <v>0</v>
      </c>
      <c r="N93" s="6">
        <f ca="1" t="shared" si="11"/>
        <v>0</v>
      </c>
      <c r="O93" s="6">
        <f ca="1" t="shared" si="12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9"/>
        <v>0</v>
      </c>
      <c r="K94" s="23"/>
      <c r="L94" s="23"/>
      <c r="M94" s="6">
        <f ca="1" t="shared" si="10"/>
        <v>0</v>
      </c>
      <c r="N94" s="6">
        <f ca="1" t="shared" si="11"/>
        <v>0</v>
      </c>
      <c r="O94" s="6">
        <f ca="1" t="shared" si="12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9"/>
        <v>0</v>
      </c>
      <c r="K95" s="23"/>
      <c r="L95" s="23"/>
      <c r="M95" s="6">
        <f ca="1" t="shared" si="10"/>
        <v>0</v>
      </c>
      <c r="N95" s="6">
        <f ca="1" t="shared" si="11"/>
        <v>0</v>
      </c>
      <c r="O95" s="6">
        <f ca="1" t="shared" si="12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9"/>
        <v>0</v>
      </c>
      <c r="K96" s="23"/>
      <c r="L96" s="23"/>
      <c r="M96" s="6">
        <f ca="1" t="shared" si="10"/>
        <v>0</v>
      </c>
      <c r="N96" s="6">
        <f ca="1" t="shared" si="11"/>
        <v>0</v>
      </c>
      <c r="O96" s="6">
        <f ca="1" t="shared" si="12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9"/>
        <v>0</v>
      </c>
      <c r="K97" s="23"/>
      <c r="L97" s="23"/>
      <c r="M97" s="6">
        <f ca="1" t="shared" si="10"/>
        <v>0</v>
      </c>
      <c r="N97" s="6">
        <f ca="1" t="shared" si="11"/>
        <v>0</v>
      </c>
      <c r="O97" s="6">
        <f ca="1" t="shared" si="12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9"/>
        <v>0</v>
      </c>
      <c r="K98" s="23"/>
      <c r="L98" s="23"/>
      <c r="M98" s="6">
        <f ca="1" t="shared" si="10"/>
        <v>0</v>
      </c>
      <c r="N98" s="6">
        <f ca="1" t="shared" si="11"/>
        <v>0</v>
      </c>
      <c r="O98" s="6">
        <f ca="1" t="shared" si="12"/>
        <v>0</v>
      </c>
    </row>
    <row r="99" s="21" customFormat="1" customHeight="1" spans="1:15">
      <c r="A99" s="22"/>
      <c r="B99" s="23"/>
      <c r="C99" s="24"/>
      <c r="D99" s="23"/>
      <c r="E99" s="23"/>
      <c r="F99" s="23"/>
      <c r="G99" s="23"/>
      <c r="H99" s="25"/>
      <c r="I99" s="25"/>
      <c r="J99" s="23"/>
      <c r="K99" s="23"/>
      <c r="L99" s="23"/>
    </row>
    <row r="100" s="21" customFormat="1" customHeight="1" spans="1:15">
      <c r="A100" s="22"/>
      <c r="B100" s="23"/>
      <c r="C100" s="24"/>
      <c r="D100" s="23"/>
      <c r="E100" s="23"/>
      <c r="F100" s="23"/>
      <c r="G100" s="23"/>
      <c r="H100" s="25"/>
      <c r="I100" s="25"/>
      <c r="J100" s="23"/>
      <c r="K100" s="23"/>
      <c r="L100" s="23"/>
    </row>
    <row r="101" s="21" customFormat="1" customHeight="1" spans="1:15">
      <c r="A101" s="22"/>
      <c r="B101" s="23"/>
      <c r="C101" s="24"/>
      <c r="D101" s="23"/>
      <c r="E101" s="23"/>
      <c r="F101" s="23"/>
      <c r="G101" s="23"/>
      <c r="H101" s="25"/>
      <c r="I101" s="25"/>
      <c r="J101" s="23"/>
      <c r="K101" s="23"/>
      <c r="L101" s="23"/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  <row r="180" s="21" customFormat="1" customHeight="1" spans="1:12">
      <c r="A180" s="22"/>
      <c r="B180" s="23"/>
      <c r="C180" s="24"/>
      <c r="D180" s="23"/>
      <c r="E180" s="23"/>
      <c r="F180" s="23"/>
      <c r="G180" s="23"/>
      <c r="H180" s="25"/>
      <c r="I180" s="25"/>
      <c r="J180" s="23"/>
      <c r="K180" s="23"/>
      <c r="L180" s="23"/>
    </row>
    <row r="181" s="21" customFormat="1" customHeight="1" spans="1:12">
      <c r="A181" s="22"/>
      <c r="B181" s="23"/>
      <c r="C181" s="24"/>
      <c r="D181" s="23"/>
      <c r="E181" s="23"/>
      <c r="F181" s="23"/>
      <c r="G181" s="23"/>
      <c r="H181" s="25"/>
      <c r="I181" s="25"/>
      <c r="J181" s="23"/>
      <c r="K181" s="23"/>
      <c r="L181" s="23"/>
    </row>
    <row r="182" s="21" customFormat="1" customHeight="1" spans="1:12">
      <c r="A182" s="22"/>
      <c r="B182" s="23"/>
      <c r="C182" s="24"/>
      <c r="D182" s="23"/>
      <c r="E182" s="23"/>
      <c r="F182" s="23"/>
      <c r="G182" s="23"/>
      <c r="H182" s="25"/>
      <c r="I182" s="25"/>
      <c r="J182" s="23"/>
      <c r="K182" s="23"/>
      <c r="L182" s="23"/>
    </row>
    <row r="183" s="21" customFormat="1" customHeight="1" spans="1:12">
      <c r="A183" s="22"/>
      <c r="B183" s="23"/>
      <c r="C183" s="24"/>
      <c r="D183" s="23"/>
      <c r="E183" s="23"/>
      <c r="F183" s="23"/>
      <c r="G183" s="23"/>
      <c r="H183" s="25"/>
      <c r="I183" s="25"/>
      <c r="J183" s="23"/>
      <c r="K183" s="23"/>
      <c r="L183" s="23"/>
    </row>
    <row r="184" s="21" customFormat="1" customHeight="1" spans="1:12">
      <c r="A184" s="22"/>
      <c r="B184" s="23"/>
      <c r="C184" s="24"/>
      <c r="D184" s="23"/>
      <c r="E184" s="23"/>
      <c r="F184" s="23"/>
      <c r="G184" s="23"/>
      <c r="H184" s="25"/>
      <c r="I184" s="25"/>
      <c r="J184" s="23"/>
      <c r="K184" s="23"/>
      <c r="L184" s="23"/>
    </row>
    <row r="185" s="21" customFormat="1" customHeight="1" spans="1:12">
      <c r="A185" s="22"/>
      <c r="B185" s="23"/>
      <c r="C185" s="24"/>
      <c r="D185" s="23"/>
      <c r="E185" s="23"/>
      <c r="F185" s="23"/>
      <c r="G185" s="23"/>
      <c r="H185" s="25"/>
      <c r="I185" s="25"/>
      <c r="J185" s="23"/>
      <c r="K185" s="23"/>
      <c r="L185" s="23"/>
    </row>
    <row r="186" s="21" customFormat="1" customHeight="1" spans="1:12">
      <c r="A186" s="22"/>
      <c r="B186" s="23"/>
      <c r="C186" s="24"/>
      <c r="D186" s="23"/>
      <c r="E186" s="23"/>
      <c r="F186" s="23"/>
      <c r="G186" s="23"/>
      <c r="H186" s="25"/>
      <c r="I186" s="25"/>
      <c r="J186" s="23"/>
      <c r="K186" s="23"/>
      <c r="L186" s="23"/>
    </row>
    <row r="187" s="21" customFormat="1" customHeight="1" spans="1:12">
      <c r="A187" s="22"/>
      <c r="B187" s="23"/>
      <c r="C187" s="24"/>
      <c r="D187" s="23"/>
      <c r="E187" s="23"/>
      <c r="F187" s="23"/>
      <c r="G187" s="23"/>
      <c r="H187" s="25"/>
      <c r="I187" s="25"/>
      <c r="J187" s="23"/>
      <c r="K187" s="23"/>
      <c r="L187" s="23"/>
    </row>
    <row r="188" s="21" customFormat="1" customHeight="1" spans="1:12">
      <c r="A188" s="22"/>
      <c r="B188" s="23"/>
      <c r="C188" s="24"/>
      <c r="D188" s="23"/>
      <c r="E188" s="23"/>
      <c r="F188" s="23"/>
      <c r="G188" s="23"/>
      <c r="H188" s="25"/>
      <c r="I188" s="25"/>
      <c r="J188" s="23"/>
      <c r="K188" s="23"/>
      <c r="L188" s="23"/>
    </row>
  </sheetData>
  <sheetCalcPr fullCalcOnLoad="1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9"/>
  <sheetViews>
    <sheetView topLeftCell="C1" workbookViewId="0">
      <pane ySplit="1" topLeftCell="A6" activePane="bottomLeft" state="frozen"/>
      <selection/>
      <selection pane="bottomLeft" activeCell="C6" sqref="C6"/>
    </sheetView>
  </sheetViews>
  <sheetFormatPr defaultColWidth="9" defaultRowHeight="14.25" customHeight="1"/>
  <cols>
    <col min="1" max="1" width="9" style="31"/>
    <col min="2" max="2" width="15.625" style="32" customWidth="1"/>
    <col min="3" max="3" width="15.625" style="33" customWidth="1"/>
    <col min="4" max="4" width="12.625" style="32" customWidth="1"/>
    <col min="5" max="6" width="14.125" style="32"/>
    <col min="7" max="7" width="9" style="32"/>
    <col min="8" max="8" width="14.125" style="34"/>
    <col min="9" max="9" width="11" style="34" customWidth="1"/>
    <col min="10" max="10" width="9.875" style="32" customWidth="1"/>
    <col min="11" max="12" width="9" style="32"/>
    <col min="13" max="14" width="9" style="30"/>
    <col min="15" max="15" width="14.125" style="30"/>
    <col min="16" max="16384" width="9" style="30"/>
  </cols>
  <sheetData>
    <row r="1" s="30" customFormat="1" ht="40.5" spans="1:17">
      <c r="A1" s="35" t="s">
        <v>0</v>
      </c>
      <c r="B1" s="35" t="s">
        <v>1</v>
      </c>
      <c r="C1" s="2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</row>
    <row r="2" s="30" customFormat="1" ht="20" customHeight="1" spans="1:17">
      <c r="A2" s="36"/>
      <c r="B2" s="37"/>
      <c r="C2" s="38"/>
      <c r="D2" s="5"/>
      <c r="E2" s="5"/>
      <c r="F2" s="37"/>
      <c r="G2" s="5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="30" customFormat="1" ht="20" customHeight="1" spans="1:17">
      <c r="A3" s="36"/>
      <c r="B3" s="37"/>
      <c r="C3" s="38"/>
      <c r="D3" s="5"/>
      <c r="E3" s="5"/>
      <c r="F3" s="37"/>
      <c r="G3" s="5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="30" customFormat="1" ht="20" customHeight="1" spans="1:17">
      <c r="A4" s="36"/>
      <c r="B4" s="37"/>
      <c r="C4" s="38"/>
      <c r="D4" s="5"/>
      <c r="E4" s="37"/>
      <c r="F4" s="37"/>
      <c r="G4" s="5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="30" customFormat="1" ht="20" customHeight="1" spans="1:17">
      <c r="A5" s="36"/>
      <c r="B5" s="37"/>
      <c r="C5" s="38"/>
      <c r="D5" s="5"/>
      <c r="E5" s="37"/>
      <c r="F5" s="37"/>
      <c r="G5" s="5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="30" customFormat="1" ht="20" customHeight="1" spans="1:17">
      <c r="A6" s="36">
        <v>46086</v>
      </c>
      <c r="B6" s="37">
        <v>11</v>
      </c>
      <c r="C6" s="38">
        <f ca="1">SUM(O6:O13)/B6</f>
        <v>1.15277777777778</v>
      </c>
      <c r="D6" s="5" t="s">
        <v>257</v>
      </c>
      <c r="E6" s="5" t="s">
        <v>258</v>
      </c>
      <c r="F6" s="37">
        <v>1780.3</v>
      </c>
      <c r="G6" s="5" t="s">
        <v>44</v>
      </c>
      <c r="H6" s="37">
        <f ca="1" t="array" ref="H6">INDEX(成本核算表!J:J,MATCH(1,(成本核算表!D:D=E6)*(成本核算表!C:C=G6),0))</f>
        <v>25</v>
      </c>
      <c r="I6" s="37">
        <v>322</v>
      </c>
      <c r="J6" s="37">
        <f ca="1" t="shared" ref="J2:J65" si="0">H6*I6</f>
        <v>8050</v>
      </c>
      <c r="K6" s="37"/>
      <c r="L6" s="37"/>
      <c r="M6" s="37"/>
      <c r="N6" s="37">
        <f ca="1" t="shared" ref="N2:N65" si="1">J6-M6+L6</f>
        <v>8050</v>
      </c>
      <c r="O6" s="37">
        <f ca="1" t="shared" ref="O2:O65" si="2">N6/3600</f>
        <v>2.23611111111111</v>
      </c>
      <c r="P6" s="37"/>
      <c r="Q6" s="37"/>
    </row>
    <row r="7" s="30" customFormat="1" ht="20" customHeight="1" spans="1:17">
      <c r="A7" s="36">
        <v>46086</v>
      </c>
      <c r="B7" s="37"/>
      <c r="C7" s="38"/>
      <c r="D7" s="5" t="s">
        <v>204</v>
      </c>
      <c r="E7" s="5" t="s">
        <v>55</v>
      </c>
      <c r="F7" s="37">
        <v>1150</v>
      </c>
      <c r="G7" s="5" t="s">
        <v>56</v>
      </c>
      <c r="H7" s="37">
        <f ca="1" t="array" ref="H7">INDEX(成本核算表!J:J,MATCH(1,(成本核算表!D:D=E7)*(成本核算表!C:C=G7),0))</f>
        <v>15</v>
      </c>
      <c r="I7" s="37">
        <v>385</v>
      </c>
      <c r="J7" s="37">
        <f ca="1" t="shared" si="0"/>
        <v>5775</v>
      </c>
      <c r="K7" s="37"/>
      <c r="L7" s="37"/>
      <c r="M7" s="37"/>
      <c r="N7" s="37">
        <f ca="1" t="shared" si="1"/>
        <v>5775</v>
      </c>
      <c r="O7" s="37">
        <f ca="1" t="shared" si="2"/>
        <v>1.60416666666667</v>
      </c>
      <c r="P7" s="37"/>
      <c r="Q7" s="37"/>
    </row>
    <row r="8" s="30" customFormat="1" ht="20" customHeight="1" spans="1:17">
      <c r="A8" s="36">
        <v>46086</v>
      </c>
      <c r="B8" s="37"/>
      <c r="C8" s="38"/>
      <c r="D8" s="5" t="s">
        <v>205</v>
      </c>
      <c r="E8" s="5" t="s">
        <v>55</v>
      </c>
      <c r="F8" s="37">
        <v>1150</v>
      </c>
      <c r="G8" s="5" t="s">
        <v>57</v>
      </c>
      <c r="H8" s="37">
        <f ca="1" t="array" ref="H8">INDEX(成本核算表!J:J,MATCH(1,(成本核算表!D:D=E8)*(成本核算表!C:C=G8),0))</f>
        <v>25</v>
      </c>
      <c r="I8" s="37">
        <v>75</v>
      </c>
      <c r="J8" s="37">
        <f ca="1" t="shared" si="0"/>
        <v>1875</v>
      </c>
      <c r="K8" s="37"/>
      <c r="L8" s="37"/>
      <c r="M8" s="37"/>
      <c r="N8" s="37">
        <f ca="1" t="shared" si="1"/>
        <v>1875</v>
      </c>
      <c r="O8" s="37">
        <f ca="1" t="shared" si="2"/>
        <v>0.520833333333333</v>
      </c>
      <c r="P8" s="37"/>
      <c r="Q8" s="37"/>
    </row>
    <row r="9" s="30" customFormat="1" ht="20" customHeight="1" spans="1:17">
      <c r="A9" s="36">
        <v>46086</v>
      </c>
      <c r="B9" s="37"/>
      <c r="C9" s="38"/>
      <c r="D9" s="5" t="s">
        <v>259</v>
      </c>
      <c r="E9" s="5" t="s">
        <v>55</v>
      </c>
      <c r="F9" s="37">
        <v>1150</v>
      </c>
      <c r="G9" s="5" t="s">
        <v>57</v>
      </c>
      <c r="H9" s="37">
        <f ca="1" t="array" ref="H9">INDEX(成本核算表!J:J,MATCH(1,(成本核算表!D:D=E9)*(成本核算表!C:C=G9),0))</f>
        <v>25</v>
      </c>
      <c r="I9" s="37">
        <v>160</v>
      </c>
      <c r="J9" s="37">
        <f ca="1" t="shared" si="0"/>
        <v>4000</v>
      </c>
      <c r="K9" s="37"/>
      <c r="L9" s="37"/>
      <c r="M9" s="37"/>
      <c r="N9" s="37">
        <f ca="1" t="shared" si="1"/>
        <v>4000</v>
      </c>
      <c r="O9" s="37">
        <f ca="1" t="shared" si="2"/>
        <v>1.11111111111111</v>
      </c>
      <c r="P9" s="37"/>
      <c r="Q9" s="37"/>
    </row>
    <row r="10" s="30" customFormat="1" ht="20" customHeight="1" spans="1:17">
      <c r="A10" s="36">
        <v>46086</v>
      </c>
      <c r="B10" s="37"/>
      <c r="C10" s="38"/>
      <c r="D10" s="5" t="s">
        <v>259</v>
      </c>
      <c r="E10" s="5" t="s">
        <v>55</v>
      </c>
      <c r="F10" s="37">
        <v>1150</v>
      </c>
      <c r="G10" s="5" t="s">
        <v>56</v>
      </c>
      <c r="H10" s="37">
        <f ca="1" t="array" ref="H10">INDEX(成本核算表!J:J,MATCH(1,(成本核算表!D:D=E10)*(成本核算表!C:C=G10),0))</f>
        <v>15</v>
      </c>
      <c r="I10" s="37">
        <v>160</v>
      </c>
      <c r="J10" s="37">
        <f ca="1" t="shared" si="0"/>
        <v>2400</v>
      </c>
      <c r="K10" s="37"/>
      <c r="L10" s="37"/>
      <c r="M10" s="37"/>
      <c r="N10" s="37">
        <f ca="1" t="shared" si="1"/>
        <v>2400</v>
      </c>
      <c r="O10" s="37">
        <f ca="1" t="shared" si="2"/>
        <v>0.666666666666667</v>
      </c>
      <c r="P10" s="37"/>
      <c r="Q10" s="37"/>
    </row>
    <row r="11" s="30" customFormat="1" ht="20" customHeight="1" spans="1:17">
      <c r="A11" s="36">
        <v>46086</v>
      </c>
      <c r="B11" s="37"/>
      <c r="C11" s="38"/>
      <c r="D11" s="5" t="s">
        <v>260</v>
      </c>
      <c r="E11" s="5" t="s">
        <v>255</v>
      </c>
      <c r="F11" s="37">
        <v>1854</v>
      </c>
      <c r="G11" s="5" t="s">
        <v>44</v>
      </c>
      <c r="H11" s="37">
        <f ca="1" t="array" ref="H11">INDEX(成本核算表!J:J,MATCH(1,(成本核算表!D:D=E11)*(成本核算表!C:C=G11),0))</f>
        <v>25</v>
      </c>
      <c r="I11" s="37">
        <v>224</v>
      </c>
      <c r="J11" s="37">
        <f ca="1" t="shared" si="0"/>
        <v>5600</v>
      </c>
      <c r="K11" s="37"/>
      <c r="L11" s="37"/>
      <c r="M11" s="37"/>
      <c r="N11" s="37">
        <f ca="1" t="shared" si="1"/>
        <v>5600</v>
      </c>
      <c r="O11" s="37">
        <f ca="1" t="shared" si="2"/>
        <v>1.55555555555556</v>
      </c>
      <c r="P11" s="37"/>
      <c r="Q11" s="37"/>
    </row>
    <row r="12" s="30" customFormat="1" ht="20" customHeight="1" spans="1:17">
      <c r="A12" s="36">
        <v>46086</v>
      </c>
      <c r="B12" s="37"/>
      <c r="C12" s="38"/>
      <c r="D12" s="5" t="s">
        <v>261</v>
      </c>
      <c r="E12" s="5" t="s">
        <v>66</v>
      </c>
      <c r="F12" s="37">
        <v>1825</v>
      </c>
      <c r="G12" s="5" t="s">
        <v>44</v>
      </c>
      <c r="H12" s="37">
        <f ca="1" t="array" ref="H12">INDEX(成本核算表!J:J,MATCH(1,(成本核算表!D:D=E12)*(成本核算表!C:C=G12),0))</f>
        <v>25</v>
      </c>
      <c r="I12" s="37">
        <v>418</v>
      </c>
      <c r="J12" s="37">
        <f ca="1" t="shared" si="0"/>
        <v>10450</v>
      </c>
      <c r="K12" s="37"/>
      <c r="L12" s="37"/>
      <c r="M12" s="37"/>
      <c r="N12" s="37">
        <f ca="1" t="shared" si="1"/>
        <v>10450</v>
      </c>
      <c r="O12" s="37">
        <f ca="1" t="shared" si="2"/>
        <v>2.90277777777778</v>
      </c>
      <c r="P12" s="37"/>
      <c r="Q12" s="37"/>
    </row>
    <row r="13" s="30" customFormat="1" ht="20" customHeight="1" spans="1:17">
      <c r="A13" s="36">
        <v>46086</v>
      </c>
      <c r="B13" s="37"/>
      <c r="C13" s="38"/>
      <c r="D13" s="5" t="s">
        <v>47</v>
      </c>
      <c r="E13" s="5" t="s">
        <v>48</v>
      </c>
      <c r="F13" s="37">
        <v>950</v>
      </c>
      <c r="G13" s="5" t="s">
        <v>49</v>
      </c>
      <c r="H13" s="37">
        <f ca="1" t="array" ref="H13">INDEX(成本核算表!J:J,MATCH(1,(成本核算表!D:D=E13)*(成本核算表!C:C=G13),0))</f>
        <v>25</v>
      </c>
      <c r="I13" s="37">
        <v>300</v>
      </c>
      <c r="J13" s="37">
        <f ca="1" t="shared" si="0"/>
        <v>7500</v>
      </c>
      <c r="K13" s="37"/>
      <c r="L13" s="37"/>
      <c r="M13" s="37"/>
      <c r="N13" s="37">
        <f ca="1" t="shared" si="1"/>
        <v>7500</v>
      </c>
      <c r="O13" s="37">
        <f ca="1" t="shared" si="2"/>
        <v>2.08333333333333</v>
      </c>
      <c r="P13" s="37"/>
      <c r="Q13" s="37"/>
    </row>
    <row r="14" s="30" customFormat="1" ht="20" customHeight="1" spans="1:17">
      <c r="A14" s="36">
        <v>46087</v>
      </c>
      <c r="B14" s="37">
        <v>11</v>
      </c>
      <c r="C14" s="38">
        <f ca="1">SUM(O14:O16)/B14</f>
        <v>1.14909090909091</v>
      </c>
      <c r="D14" s="5" t="s">
        <v>71</v>
      </c>
      <c r="E14" s="5" t="s">
        <v>52</v>
      </c>
      <c r="F14" s="37">
        <v>1200</v>
      </c>
      <c r="G14" s="5" t="s">
        <v>70</v>
      </c>
      <c r="H14" s="37">
        <f ca="1" t="array" ref="H14">INDEX(成本核算表!J:J,MATCH(1,(成本核算表!D:D=E14)*(成本核算表!C:C=G14),0))</f>
        <v>12</v>
      </c>
      <c r="I14" s="37">
        <v>1752</v>
      </c>
      <c r="J14" s="37">
        <f ca="1" t="shared" si="0"/>
        <v>21024</v>
      </c>
      <c r="K14" s="37"/>
      <c r="L14" s="37"/>
      <c r="M14" s="37"/>
      <c r="N14" s="37">
        <f ca="1" t="shared" si="1"/>
        <v>21024</v>
      </c>
      <c r="O14" s="37">
        <f ca="1" t="shared" si="2"/>
        <v>5.84</v>
      </c>
      <c r="P14" s="37"/>
      <c r="Q14" s="37"/>
    </row>
    <row r="15" s="30" customFormat="1" ht="20" customHeight="1" spans="1:17">
      <c r="A15" s="36">
        <v>46087</v>
      </c>
      <c r="B15" s="37"/>
      <c r="C15" s="38"/>
      <c r="D15" s="5" t="s">
        <v>51</v>
      </c>
      <c r="E15" s="5" t="s">
        <v>52</v>
      </c>
      <c r="F15" s="37">
        <v>950</v>
      </c>
      <c r="G15" s="5" t="s">
        <v>70</v>
      </c>
      <c r="H15" s="37">
        <f ca="1" t="array" ref="H15">INDEX(成本核算表!J:J,MATCH(1,(成本核算表!D:D=E15)*(成本核算表!C:C=G15),0))</f>
        <v>12</v>
      </c>
      <c r="I15" s="37">
        <v>784</v>
      </c>
      <c r="J15" s="37">
        <f ca="1" t="shared" si="0"/>
        <v>9408</v>
      </c>
      <c r="K15" s="37"/>
      <c r="L15" s="37"/>
      <c r="M15" s="37"/>
      <c r="N15" s="37">
        <f ca="1" t="shared" si="1"/>
        <v>9408</v>
      </c>
      <c r="O15" s="37">
        <f ca="1" t="shared" si="2"/>
        <v>2.61333333333333</v>
      </c>
      <c r="P15" s="37"/>
      <c r="Q15" s="37"/>
    </row>
    <row r="16" s="30" customFormat="1" ht="20" customHeight="1" spans="1:17">
      <c r="A16" s="36">
        <v>46087</v>
      </c>
      <c r="B16" s="37"/>
      <c r="C16" s="38"/>
      <c r="D16" s="5" t="s">
        <v>166</v>
      </c>
      <c r="E16" s="5" t="s">
        <v>52</v>
      </c>
      <c r="F16" s="37">
        <v>950</v>
      </c>
      <c r="G16" s="5" t="s">
        <v>70</v>
      </c>
      <c r="H16" s="37">
        <f ca="1" t="array" ref="H16">INDEX(成本核算表!J:J,MATCH(1,(成本核算表!D:D=E16)*(成本核算表!C:C=G16),0))</f>
        <v>12</v>
      </c>
      <c r="I16" s="37">
        <v>1256</v>
      </c>
      <c r="J16" s="37">
        <f ca="1" t="shared" si="0"/>
        <v>15072</v>
      </c>
      <c r="K16" s="37"/>
      <c r="L16" s="37"/>
      <c r="M16" s="37"/>
      <c r="N16" s="37">
        <f ca="1" t="shared" si="1"/>
        <v>15072</v>
      </c>
      <c r="O16" s="37">
        <f ca="1" t="shared" si="2"/>
        <v>4.18666666666667</v>
      </c>
      <c r="P16" s="37"/>
      <c r="Q16" s="37"/>
    </row>
    <row r="17" s="30" customFormat="1" ht="20" customHeight="1" spans="1:17">
      <c r="A17" s="36">
        <v>46088</v>
      </c>
      <c r="B17" s="37">
        <v>11</v>
      </c>
      <c r="C17" s="38">
        <f ca="1">SUM(O17:O23)/B17</f>
        <v>1.15727272727273</v>
      </c>
      <c r="D17" s="5" t="s">
        <v>166</v>
      </c>
      <c r="E17" s="5" t="s">
        <v>52</v>
      </c>
      <c r="F17" s="37">
        <v>950</v>
      </c>
      <c r="G17" s="5" t="s">
        <v>70</v>
      </c>
      <c r="H17" s="37">
        <f ca="1" t="array" ref="H17">INDEX(成本核算表!J:J,MATCH(1,(成本核算表!D:D=E17)*(成本核算表!C:C=G17),0))</f>
        <v>12</v>
      </c>
      <c r="I17" s="37">
        <v>124</v>
      </c>
      <c r="J17" s="37">
        <f ca="1" t="shared" si="0"/>
        <v>1488</v>
      </c>
      <c r="K17" s="37"/>
      <c r="L17" s="37"/>
      <c r="M17" s="37"/>
      <c r="N17" s="37">
        <f ca="1" t="shared" si="1"/>
        <v>1488</v>
      </c>
      <c r="O17" s="37">
        <f ca="1" t="shared" si="2"/>
        <v>0.413333333333333</v>
      </c>
      <c r="P17" s="37"/>
      <c r="Q17" s="37"/>
    </row>
    <row r="18" s="30" customFormat="1" ht="20" customHeight="1" spans="1:17">
      <c r="A18" s="36">
        <v>46088</v>
      </c>
      <c r="B18" s="37"/>
      <c r="C18" s="38"/>
      <c r="D18" s="5" t="s">
        <v>148</v>
      </c>
      <c r="E18" s="5" t="s">
        <v>52</v>
      </c>
      <c r="F18" s="37">
        <v>950</v>
      </c>
      <c r="G18" s="5" t="s">
        <v>70</v>
      </c>
      <c r="H18" s="37">
        <f ca="1" t="array" ref="H18">INDEX(成本核算表!J:J,MATCH(1,(成本核算表!D:D=E18)*(成本核算表!C:C=G18),0))</f>
        <v>12</v>
      </c>
      <c r="I18" s="37">
        <v>304</v>
      </c>
      <c r="J18" s="37">
        <f ca="1" t="shared" si="0"/>
        <v>3648</v>
      </c>
      <c r="K18" s="37"/>
      <c r="L18" s="37"/>
      <c r="M18" s="37"/>
      <c r="N18" s="37">
        <f ca="1" t="shared" si="1"/>
        <v>3648</v>
      </c>
      <c r="O18" s="37">
        <f ca="1" t="shared" si="2"/>
        <v>1.01333333333333</v>
      </c>
      <c r="P18" s="37"/>
      <c r="Q18" s="37"/>
    </row>
    <row r="19" s="30" customFormat="1" ht="20" customHeight="1" spans="1:17">
      <c r="A19" s="36">
        <v>46088</v>
      </c>
      <c r="B19" s="37"/>
      <c r="C19" s="38"/>
      <c r="D19" s="5" t="s">
        <v>71</v>
      </c>
      <c r="E19" s="5" t="s">
        <v>52</v>
      </c>
      <c r="F19" s="37">
        <v>950</v>
      </c>
      <c r="G19" s="5" t="s">
        <v>70</v>
      </c>
      <c r="H19" s="37">
        <f ca="1" t="array" ref="H19">INDEX(成本核算表!J:J,MATCH(1,(成本核算表!D:D=E19)*(成本核算表!C:C=G19),0))</f>
        <v>12</v>
      </c>
      <c r="I19" s="37">
        <v>1543</v>
      </c>
      <c r="J19" s="37">
        <f ca="1" t="shared" si="0"/>
        <v>18516</v>
      </c>
      <c r="K19" s="37"/>
      <c r="L19" s="37"/>
      <c r="M19" s="37"/>
      <c r="N19" s="37">
        <f ca="1" t="shared" si="1"/>
        <v>18516</v>
      </c>
      <c r="O19" s="37">
        <f ca="1" t="shared" si="2"/>
        <v>5.14333333333333</v>
      </c>
      <c r="P19" s="37"/>
      <c r="Q19" s="37"/>
    </row>
    <row r="20" s="30" customFormat="1" ht="20" customHeight="1" spans="1:17">
      <c r="A20" s="36">
        <v>46088</v>
      </c>
      <c r="B20" s="37"/>
      <c r="C20" s="38"/>
      <c r="D20" s="5" t="s">
        <v>262</v>
      </c>
      <c r="E20" s="5" t="s">
        <v>52</v>
      </c>
      <c r="F20" s="37">
        <v>950</v>
      </c>
      <c r="G20" s="5" t="s">
        <v>70</v>
      </c>
      <c r="H20" s="37">
        <f ca="1" t="array" ref="H20">INDEX(成本核算表!J:J,MATCH(1,(成本核算表!D:D=E20)*(成本核算表!C:C=G20),0))</f>
        <v>12</v>
      </c>
      <c r="I20" s="37">
        <v>156</v>
      </c>
      <c r="J20" s="37">
        <f ca="1" t="shared" si="0"/>
        <v>1872</v>
      </c>
      <c r="K20" s="37"/>
      <c r="L20" s="37"/>
      <c r="M20" s="37"/>
      <c r="N20" s="37">
        <f ca="1" t="shared" si="1"/>
        <v>1872</v>
      </c>
      <c r="O20" s="37">
        <f ca="1" t="shared" si="2"/>
        <v>0.52</v>
      </c>
      <c r="P20" s="37"/>
      <c r="Q20" s="37"/>
    </row>
    <row r="21" s="30" customFormat="1" ht="20" customHeight="1" spans="1:17">
      <c r="A21" s="36">
        <v>46088</v>
      </c>
      <c r="B21" s="37"/>
      <c r="C21" s="38"/>
      <c r="D21" s="5" t="s">
        <v>263</v>
      </c>
      <c r="E21" s="5" t="s">
        <v>52</v>
      </c>
      <c r="F21" s="37">
        <v>950</v>
      </c>
      <c r="G21" s="5" t="s">
        <v>70</v>
      </c>
      <c r="H21" s="37">
        <f ca="1" t="array" ref="H21">INDEX(成本核算表!J:J,MATCH(1,(成本核算表!D:D=E21)*(成本核算表!C:C=G21),0))</f>
        <v>12</v>
      </c>
      <c r="I21" s="37">
        <v>150</v>
      </c>
      <c r="J21" s="37">
        <f ca="1" t="shared" si="0"/>
        <v>1800</v>
      </c>
      <c r="K21" s="37"/>
      <c r="L21" s="37"/>
      <c r="M21" s="37"/>
      <c r="N21" s="37">
        <f ca="1" t="shared" si="1"/>
        <v>1800</v>
      </c>
      <c r="O21" s="37">
        <f ca="1" t="shared" si="2"/>
        <v>0.5</v>
      </c>
      <c r="P21" s="37"/>
      <c r="Q21" s="37"/>
    </row>
    <row r="22" s="30" customFormat="1" ht="20" customHeight="1" spans="1:17">
      <c r="A22" s="36">
        <v>46088</v>
      </c>
      <c r="B22" s="37"/>
      <c r="C22" s="38"/>
      <c r="D22" s="5" t="s">
        <v>264</v>
      </c>
      <c r="E22" s="5" t="s">
        <v>52</v>
      </c>
      <c r="F22" s="37">
        <v>950</v>
      </c>
      <c r="G22" s="5" t="s">
        <v>70</v>
      </c>
      <c r="H22" s="37">
        <f ca="1" t="array" ref="H22">INDEX(成本核算表!J:J,MATCH(1,(成本核算表!D:D=E22)*(成本核算表!C:C=G22),0))</f>
        <v>12</v>
      </c>
      <c r="I22" s="37">
        <v>1150</v>
      </c>
      <c r="J22" s="37">
        <f ca="1" t="shared" si="0"/>
        <v>13800</v>
      </c>
      <c r="K22" s="37"/>
      <c r="L22" s="37"/>
      <c r="M22" s="37"/>
      <c r="N22" s="37">
        <f ca="1" t="shared" si="1"/>
        <v>13800</v>
      </c>
      <c r="O22" s="37">
        <f ca="1" t="shared" si="2"/>
        <v>3.83333333333333</v>
      </c>
      <c r="P22" s="37"/>
      <c r="Q22" s="37"/>
    </row>
    <row r="23" s="30" customFormat="1" ht="20" customHeight="1" spans="1:17">
      <c r="A23" s="36">
        <v>46088</v>
      </c>
      <c r="B23" s="37"/>
      <c r="C23" s="38"/>
      <c r="D23" s="5" t="s">
        <v>265</v>
      </c>
      <c r="E23" s="5" t="s">
        <v>52</v>
      </c>
      <c r="F23" s="37">
        <v>950</v>
      </c>
      <c r="G23" s="5" t="s">
        <v>70</v>
      </c>
      <c r="H23" s="37">
        <f ca="1" t="array" ref="H23">INDEX(成本核算表!J:J,MATCH(1,(成本核算表!D:D=E23)*(成本核算表!C:C=G23),0))</f>
        <v>12</v>
      </c>
      <c r="I23" s="37">
        <v>392</v>
      </c>
      <c r="J23" s="37">
        <f ca="1" t="shared" si="0"/>
        <v>4704</v>
      </c>
      <c r="K23" s="37"/>
      <c r="L23" s="37"/>
      <c r="M23" s="37"/>
      <c r="N23" s="37">
        <f ca="1" t="shared" si="1"/>
        <v>4704</v>
      </c>
      <c r="O23" s="37">
        <f ca="1" t="shared" si="2"/>
        <v>1.30666666666667</v>
      </c>
      <c r="P23" s="37"/>
      <c r="Q23" s="37"/>
    </row>
    <row r="24" s="30" customFormat="1" ht="20" customHeight="1" spans="1:17">
      <c r="A24" s="36">
        <v>46089</v>
      </c>
      <c r="B24" s="37">
        <v>9.5</v>
      </c>
      <c r="C24" s="38">
        <f ca="1">SUM(O24:O29)/B24</f>
        <v>1.09263157894737</v>
      </c>
      <c r="D24" s="5" t="s">
        <v>265</v>
      </c>
      <c r="E24" s="5" t="s">
        <v>52</v>
      </c>
      <c r="F24" s="37">
        <v>950</v>
      </c>
      <c r="G24" s="5" t="s">
        <v>70</v>
      </c>
      <c r="H24" s="37">
        <f ca="1" t="array" ref="H24">INDEX(成本核算表!J:J,MATCH(1,(成本核算表!D:D=E24)*(成本核算表!C:C=G24),0))</f>
        <v>12</v>
      </c>
      <c r="I24" s="37">
        <v>49</v>
      </c>
      <c r="J24" s="37">
        <f ca="1" t="shared" si="0"/>
        <v>588</v>
      </c>
      <c r="K24" s="37"/>
      <c r="L24" s="37"/>
      <c r="M24" s="37"/>
      <c r="N24" s="37">
        <f ca="1" t="shared" si="1"/>
        <v>588</v>
      </c>
      <c r="O24" s="37">
        <f ca="1" t="shared" si="2"/>
        <v>0.163333333333333</v>
      </c>
      <c r="P24" s="37"/>
      <c r="Q24" s="37"/>
    </row>
    <row r="25" s="30" customFormat="1" ht="20" customHeight="1" spans="1:17">
      <c r="A25" s="36">
        <v>46089</v>
      </c>
      <c r="B25" s="37"/>
      <c r="C25" s="38"/>
      <c r="D25" s="5" t="s">
        <v>262</v>
      </c>
      <c r="E25" s="5" t="s">
        <v>52</v>
      </c>
      <c r="F25" s="37">
        <v>950</v>
      </c>
      <c r="G25" s="5" t="s">
        <v>70</v>
      </c>
      <c r="H25" s="37">
        <f ca="1" t="array" ref="H25">INDEX(成本核算表!J:J,MATCH(1,(成本核算表!D:D=E25)*(成本核算表!C:C=G25),0))</f>
        <v>12</v>
      </c>
      <c r="I25" s="37">
        <v>279</v>
      </c>
      <c r="J25" s="37">
        <f ca="1" t="shared" si="0"/>
        <v>3348</v>
      </c>
      <c r="K25" s="37">
        <v>4</v>
      </c>
      <c r="L25" s="37"/>
      <c r="M25" s="37">
        <f ca="1">K25*H25</f>
        <v>48</v>
      </c>
      <c r="N25" s="37">
        <f ca="1" t="shared" si="1"/>
        <v>3300</v>
      </c>
      <c r="O25" s="37">
        <f ca="1" t="shared" si="2"/>
        <v>0.916666666666667</v>
      </c>
      <c r="P25" s="37"/>
      <c r="Q25" s="37"/>
    </row>
    <row r="26" s="30" customFormat="1" ht="20" customHeight="1" spans="1:17">
      <c r="A26" s="36">
        <v>46089</v>
      </c>
      <c r="B26" s="37"/>
      <c r="C26" s="38"/>
      <c r="D26" s="5" t="s">
        <v>167</v>
      </c>
      <c r="E26" s="5" t="s">
        <v>52</v>
      </c>
      <c r="F26" s="37">
        <v>950</v>
      </c>
      <c r="G26" s="5" t="s">
        <v>70</v>
      </c>
      <c r="H26" s="37">
        <f ca="1" t="array" ref="H26">INDEX(成本核算表!J:J,MATCH(1,(成本核算表!D:D=E26)*(成本核算表!C:C=G26),0))</f>
        <v>12</v>
      </c>
      <c r="I26" s="37">
        <v>1164</v>
      </c>
      <c r="J26" s="37">
        <f ca="1" t="shared" si="0"/>
        <v>13968</v>
      </c>
      <c r="K26" s="37"/>
      <c r="L26" s="37"/>
      <c r="M26" s="37"/>
      <c r="N26" s="37">
        <f ca="1" t="shared" si="1"/>
        <v>13968</v>
      </c>
      <c r="O26" s="37">
        <f ca="1" t="shared" si="2"/>
        <v>3.88</v>
      </c>
      <c r="P26" s="37"/>
      <c r="Q26" s="37"/>
    </row>
    <row r="27" s="30" customFormat="1" ht="20" customHeight="1" spans="1:17">
      <c r="A27" s="36">
        <v>46089</v>
      </c>
      <c r="B27" s="37"/>
      <c r="C27" s="38"/>
      <c r="D27" s="5" t="s">
        <v>68</v>
      </c>
      <c r="E27" s="5" t="s">
        <v>52</v>
      </c>
      <c r="F27" s="37">
        <v>950</v>
      </c>
      <c r="G27" s="5" t="s">
        <v>70</v>
      </c>
      <c r="H27" s="37">
        <f ca="1" t="array" ref="H27">INDEX(成本核算表!J:J,MATCH(1,(成本核算表!D:D=E27)*(成本核算表!C:C=G27),0))</f>
        <v>12</v>
      </c>
      <c r="I27" s="37">
        <v>860</v>
      </c>
      <c r="J27" s="37">
        <f ca="1" t="shared" si="0"/>
        <v>10320</v>
      </c>
      <c r="K27" s="37"/>
      <c r="L27" s="37"/>
      <c r="M27" s="37"/>
      <c r="N27" s="37">
        <f ca="1" t="shared" si="1"/>
        <v>10320</v>
      </c>
      <c r="O27" s="37">
        <f ca="1" t="shared" si="2"/>
        <v>2.86666666666667</v>
      </c>
      <c r="P27" s="37"/>
      <c r="Q27" s="37"/>
    </row>
    <row r="28" s="30" customFormat="1" ht="20" customHeight="1" spans="1:17">
      <c r="A28" s="36">
        <v>46089</v>
      </c>
      <c r="B28" s="37"/>
      <c r="C28" s="38"/>
      <c r="D28" s="5" t="s">
        <v>149</v>
      </c>
      <c r="E28" s="5" t="s">
        <v>52</v>
      </c>
      <c r="F28" s="37">
        <v>950</v>
      </c>
      <c r="G28" s="5" t="s">
        <v>70</v>
      </c>
      <c r="H28" s="37">
        <f ca="1" t="array" ref="H28">INDEX(成本核算表!J:J,MATCH(1,(成本核算表!D:D=E28)*(成本核算表!C:C=G28),0))</f>
        <v>12</v>
      </c>
      <c r="I28" s="37">
        <v>141</v>
      </c>
      <c r="J28" s="37">
        <f ca="1" t="shared" si="0"/>
        <v>1692</v>
      </c>
      <c r="K28" s="37"/>
      <c r="L28" s="37"/>
      <c r="M28" s="37"/>
      <c r="N28" s="37">
        <f ca="1" t="shared" si="1"/>
        <v>1692</v>
      </c>
      <c r="O28" s="37">
        <f ca="1" t="shared" si="2"/>
        <v>0.47</v>
      </c>
      <c r="P28" s="37"/>
      <c r="Q28" s="37"/>
    </row>
    <row r="29" s="30" customFormat="1" ht="20" customHeight="1" spans="1:17">
      <c r="A29" s="36">
        <v>46089</v>
      </c>
      <c r="B29" s="37"/>
      <c r="C29" s="38"/>
      <c r="D29" s="5" t="s">
        <v>65</v>
      </c>
      <c r="E29" s="5" t="s">
        <v>66</v>
      </c>
      <c r="F29" s="37">
        <v>1825</v>
      </c>
      <c r="G29" s="5" t="s">
        <v>44</v>
      </c>
      <c r="H29" s="37">
        <f ca="1" t="array" ref="H29">INDEX(成本核算表!J:J,MATCH(1,(成本核算表!D:D=E29)*(成本核算表!C:C=G29),0))</f>
        <v>25</v>
      </c>
      <c r="I29" s="37">
        <v>300</v>
      </c>
      <c r="J29" s="37">
        <f ca="1" t="shared" si="0"/>
        <v>7500</v>
      </c>
      <c r="K29" s="37"/>
      <c r="L29" s="37"/>
      <c r="M29" s="37"/>
      <c r="N29" s="37">
        <f ca="1" t="shared" si="1"/>
        <v>7500</v>
      </c>
      <c r="O29" s="37">
        <f ca="1" t="shared" si="2"/>
        <v>2.08333333333333</v>
      </c>
      <c r="P29" s="37"/>
      <c r="Q29" s="37"/>
    </row>
    <row r="30" s="30" customFormat="1" ht="20" customHeight="1" spans="1:17">
      <c r="A30" s="36">
        <v>46090</v>
      </c>
      <c r="B30" s="37">
        <v>11</v>
      </c>
      <c r="C30" s="38">
        <f ca="1">O30/B30</f>
        <v>1.10575757575758</v>
      </c>
      <c r="D30" s="37"/>
      <c r="E30" s="5" t="s">
        <v>36</v>
      </c>
      <c r="F30" s="37">
        <v>119.5</v>
      </c>
      <c r="G30" s="5" t="s">
        <v>53</v>
      </c>
      <c r="H30" s="37">
        <f ca="1" t="array" ref="H30">INDEX(成本核算表!J:J,MATCH(1,(成本核算表!D:D=E30)*(成本核算表!C:C=G30),0))</f>
        <v>12</v>
      </c>
      <c r="I30" s="37">
        <f>698+1185+1202+564</f>
        <v>3649</v>
      </c>
      <c r="J30" s="37">
        <f ca="1" t="shared" si="0"/>
        <v>43788</v>
      </c>
      <c r="K30" s="37"/>
      <c r="L30" s="37"/>
      <c r="M30" s="37"/>
      <c r="N30" s="37">
        <f ca="1" t="shared" si="1"/>
        <v>43788</v>
      </c>
      <c r="O30" s="37">
        <f ca="1" t="shared" si="2"/>
        <v>12.1633333333333</v>
      </c>
      <c r="P30" s="37"/>
      <c r="Q30" s="37"/>
    </row>
    <row r="31" s="30" customFormat="1" ht="20" customHeight="1" spans="1:17">
      <c r="A31" s="36">
        <v>46091</v>
      </c>
      <c r="B31" s="37">
        <v>11</v>
      </c>
      <c r="C31" s="38">
        <f ca="1">SUM(O31:O33)/B31</f>
        <v>0.812651515151515</v>
      </c>
      <c r="D31" s="5" t="s">
        <v>35</v>
      </c>
      <c r="E31" s="5" t="s">
        <v>36</v>
      </c>
      <c r="F31" s="37">
        <v>119.5</v>
      </c>
      <c r="G31" s="5" t="s">
        <v>53</v>
      </c>
      <c r="H31" s="37">
        <f ca="1" t="array" ref="H31">INDEX(成本核算表!J:J,MATCH(1,(成本核算表!D:D=E31)*(成本核算表!C:C=G31),0))</f>
        <v>12</v>
      </c>
      <c r="I31" s="37">
        <v>568</v>
      </c>
      <c r="J31" s="37">
        <f ca="1" t="shared" si="0"/>
        <v>6816</v>
      </c>
      <c r="K31" s="37"/>
      <c r="L31" s="37"/>
      <c r="M31" s="37"/>
      <c r="N31" s="37">
        <f ca="1" t="shared" si="1"/>
        <v>6816</v>
      </c>
      <c r="O31" s="37">
        <f ca="1" t="shared" si="2"/>
        <v>1.89333333333333</v>
      </c>
      <c r="P31" s="37"/>
      <c r="Q31" s="37"/>
    </row>
    <row r="32" s="30" customFormat="1" ht="20" customHeight="1" spans="1:17">
      <c r="A32" s="36">
        <v>46091</v>
      </c>
      <c r="B32" s="37"/>
      <c r="C32" s="38"/>
      <c r="D32" s="5" t="s">
        <v>189</v>
      </c>
      <c r="E32" s="50" t="s">
        <v>190</v>
      </c>
      <c r="F32" s="37">
        <v>110</v>
      </c>
      <c r="G32" s="5" t="s">
        <v>153</v>
      </c>
      <c r="H32" s="37">
        <f ca="1" t="array" ref="H32">INDEX(成本核算表!J:J,MATCH(1,(成本核算表!D:D=E32)*(成本核算表!C:C=G32),0))</f>
        <v>10</v>
      </c>
      <c r="I32" s="37">
        <v>1637</v>
      </c>
      <c r="J32" s="37">
        <f ca="1" t="shared" si="0"/>
        <v>16370</v>
      </c>
      <c r="K32" s="37">
        <v>2</v>
      </c>
      <c r="L32" s="37"/>
      <c r="M32" s="37">
        <f ca="1">K32*H32</f>
        <v>20</v>
      </c>
      <c r="N32" s="37">
        <f ca="1" t="shared" si="1"/>
        <v>16350</v>
      </c>
      <c r="O32" s="37">
        <f ca="1" t="shared" si="2"/>
        <v>4.54166666666667</v>
      </c>
      <c r="P32" s="37"/>
      <c r="Q32" s="37"/>
    </row>
    <row r="33" s="30" customFormat="1" ht="20" customHeight="1" spans="1:17">
      <c r="A33" s="36">
        <v>46091</v>
      </c>
      <c r="B33" s="37"/>
      <c r="C33" s="38"/>
      <c r="D33" s="5" t="s">
        <v>77</v>
      </c>
      <c r="E33" s="5" t="s">
        <v>78</v>
      </c>
      <c r="F33" s="37">
        <v>1960</v>
      </c>
      <c r="G33" s="39" t="s">
        <v>82</v>
      </c>
      <c r="H33" s="37">
        <f ca="1" t="array" ref="H33">INDEX(成本核算表!J:J,MATCH(1,(成本核算表!D:D=E33)*(成本核算表!C:C=G33),0))</f>
        <v>15</v>
      </c>
      <c r="I33" s="37">
        <v>601</v>
      </c>
      <c r="J33" s="37">
        <f ca="1" t="shared" si="0"/>
        <v>9015</v>
      </c>
      <c r="K33" s="37"/>
      <c r="L33" s="37"/>
      <c r="M33" s="37"/>
      <c r="N33" s="37">
        <f ca="1" t="shared" si="1"/>
        <v>9015</v>
      </c>
      <c r="O33" s="37">
        <f ca="1" t="shared" si="2"/>
        <v>2.50416666666667</v>
      </c>
      <c r="P33" s="37"/>
      <c r="Q33" s="37"/>
    </row>
    <row r="34" s="30" customFormat="1" ht="20" customHeight="1" spans="1:17">
      <c r="A34" s="36">
        <v>46092</v>
      </c>
      <c r="B34" s="37">
        <v>11</v>
      </c>
      <c r="C34" s="38">
        <f ca="1">SUM(O34:O37)/B34</f>
        <v>0.760227272727273</v>
      </c>
      <c r="D34" s="5" t="s">
        <v>84</v>
      </c>
      <c r="E34" s="5" t="s">
        <v>78</v>
      </c>
      <c r="F34" s="37">
        <v>780</v>
      </c>
      <c r="G34" s="39" t="s">
        <v>82</v>
      </c>
      <c r="H34" s="37">
        <f ca="1" t="array" ref="H34">INDEX(成本核算表!J:J,MATCH(1,(成本核算表!D:D=E34)*(成本核算表!C:C=G34),0))</f>
        <v>15</v>
      </c>
      <c r="I34" s="37">
        <v>670</v>
      </c>
      <c r="J34" s="37">
        <f ca="1" t="shared" si="0"/>
        <v>10050</v>
      </c>
      <c r="K34" s="37"/>
      <c r="L34" s="37"/>
      <c r="M34" s="37"/>
      <c r="N34" s="37">
        <f ca="1" t="shared" si="1"/>
        <v>10050</v>
      </c>
      <c r="O34" s="37">
        <f ca="1" t="shared" si="2"/>
        <v>2.79166666666667</v>
      </c>
      <c r="P34" s="37"/>
      <c r="Q34" s="37"/>
    </row>
    <row r="35" s="30" customFormat="1" ht="20" customHeight="1" spans="1:17">
      <c r="A35" s="36">
        <v>46092</v>
      </c>
      <c r="B35" s="37"/>
      <c r="C35" s="38"/>
      <c r="D35" s="5" t="s">
        <v>80</v>
      </c>
      <c r="E35" s="5" t="s">
        <v>78</v>
      </c>
      <c r="F35" s="37">
        <v>1960</v>
      </c>
      <c r="G35" s="39" t="s">
        <v>82</v>
      </c>
      <c r="H35" s="37">
        <f ca="1" t="array" ref="H35">INDEX(成本核算表!J:J,MATCH(1,(成本核算表!D:D=E35)*(成本核算表!C:C=G35),0))</f>
        <v>15</v>
      </c>
      <c r="I35" s="37">
        <v>601</v>
      </c>
      <c r="J35" s="37">
        <f ca="1" t="shared" si="0"/>
        <v>9015</v>
      </c>
      <c r="K35" s="37"/>
      <c r="L35" s="37"/>
      <c r="M35" s="37"/>
      <c r="N35" s="37">
        <f ca="1" t="shared" si="1"/>
        <v>9015</v>
      </c>
      <c r="O35" s="37">
        <f ca="1" t="shared" si="2"/>
        <v>2.50416666666667</v>
      </c>
      <c r="P35" s="37"/>
      <c r="Q35" s="37"/>
    </row>
    <row r="36" s="30" customFormat="1" ht="20" customHeight="1" spans="1:17">
      <c r="A36" s="36">
        <v>46092</v>
      </c>
      <c r="B36" s="37"/>
      <c r="C36" s="38"/>
      <c r="D36" s="5" t="s">
        <v>83</v>
      </c>
      <c r="E36" s="5" t="s">
        <v>78</v>
      </c>
      <c r="F36" s="37">
        <v>780</v>
      </c>
      <c r="G36" s="39" t="s">
        <v>82</v>
      </c>
      <c r="H36" s="37">
        <f ca="1" t="array" ref="H36">INDEX(成本核算表!J:J,MATCH(1,(成本核算表!D:D=E36)*(成本核算表!C:C=G36),0))</f>
        <v>15</v>
      </c>
      <c r="I36" s="37">
        <v>664</v>
      </c>
      <c r="J36" s="37">
        <f ca="1" t="shared" si="0"/>
        <v>9960</v>
      </c>
      <c r="K36" s="37"/>
      <c r="L36" s="37"/>
      <c r="M36" s="37"/>
      <c r="N36" s="37">
        <f ca="1" t="shared" si="1"/>
        <v>9960</v>
      </c>
      <c r="O36" s="37">
        <f ca="1" t="shared" si="2"/>
        <v>2.76666666666667</v>
      </c>
      <c r="P36" s="37"/>
      <c r="Q36" s="37"/>
    </row>
    <row r="37" s="30" customFormat="1" ht="20" customHeight="1" spans="1:17">
      <c r="A37" s="36">
        <v>46092</v>
      </c>
      <c r="B37" s="37"/>
      <c r="C37" s="38"/>
      <c r="D37" s="5" t="s">
        <v>77</v>
      </c>
      <c r="E37" s="5" t="s">
        <v>78</v>
      </c>
      <c r="F37" s="37">
        <v>1960</v>
      </c>
      <c r="G37" s="39" t="s">
        <v>82</v>
      </c>
      <c r="H37" s="37">
        <f ca="1" t="array" ref="H37">INDEX(成本核算表!J:J,MATCH(1,(成本核算表!D:D=E37)*(成本核算表!C:C=G37),0))</f>
        <v>15</v>
      </c>
      <c r="I37" s="37">
        <v>72</v>
      </c>
      <c r="J37" s="37">
        <f ca="1" t="shared" si="0"/>
        <v>1080</v>
      </c>
      <c r="K37" s="37"/>
      <c r="L37" s="37"/>
      <c r="M37" s="37"/>
      <c r="N37" s="37">
        <f ca="1" t="shared" si="1"/>
        <v>1080</v>
      </c>
      <c r="O37" s="37">
        <f ca="1" t="shared" si="2"/>
        <v>0.3</v>
      </c>
      <c r="P37" s="37"/>
      <c r="Q37" s="37"/>
    </row>
    <row r="38" s="30" customFormat="1" ht="20" customHeight="1" spans="1:17">
      <c r="A38" s="36">
        <v>46093</v>
      </c>
      <c r="B38" s="37">
        <v>11</v>
      </c>
      <c r="C38" s="38">
        <f ca="1" t="shared" ref="C38:C42" si="3">SUM(O38:O39)/B38</f>
        <v>1.07954545454545</v>
      </c>
      <c r="D38" s="5" t="s">
        <v>35</v>
      </c>
      <c r="E38" s="5" t="s">
        <v>36</v>
      </c>
      <c r="F38" s="37">
        <v>119.5</v>
      </c>
      <c r="G38" s="5" t="s">
        <v>53</v>
      </c>
      <c r="H38" s="37">
        <f ca="1" t="array" ref="H38">INDEX(成本核算表!J:J,MATCH(1,(成本核算表!D:D=E38)*(成本核算表!C:C=G38),0))</f>
        <v>12</v>
      </c>
      <c r="I38" s="37">
        <v>800</v>
      </c>
      <c r="J38" s="37">
        <f ca="1" t="shared" si="0"/>
        <v>9600</v>
      </c>
      <c r="K38" s="37"/>
      <c r="L38" s="37"/>
      <c r="M38" s="37"/>
      <c r="N38" s="37">
        <f ca="1" t="shared" si="1"/>
        <v>9600</v>
      </c>
      <c r="O38" s="37">
        <f ca="1" t="shared" si="2"/>
        <v>2.66666666666667</v>
      </c>
      <c r="P38" s="37"/>
      <c r="Q38" s="37"/>
    </row>
    <row r="39" s="30" customFormat="1" ht="20" customHeight="1" spans="1:17">
      <c r="A39" s="36">
        <v>46093</v>
      </c>
      <c r="B39" s="37"/>
      <c r="C39" s="38"/>
      <c r="D39" s="5" t="s">
        <v>73</v>
      </c>
      <c r="E39" s="5" t="s">
        <v>74</v>
      </c>
      <c r="F39" s="37">
        <v>156</v>
      </c>
      <c r="G39" s="5" t="s">
        <v>44</v>
      </c>
      <c r="H39" s="37">
        <f ca="1" t="array" ref="H39">INDEX(成本核算表!J:J,MATCH(1,(成本核算表!D:D=E39)*(成本核算表!C:C=G39),0))</f>
        <v>15</v>
      </c>
      <c r="I39" s="37">
        <v>2210</v>
      </c>
      <c r="J39" s="37">
        <f ca="1" t="shared" si="0"/>
        <v>33150</v>
      </c>
      <c r="K39" s="37"/>
      <c r="L39" s="37"/>
      <c r="M39" s="37"/>
      <c r="N39" s="37">
        <f ca="1" t="shared" si="1"/>
        <v>33150</v>
      </c>
      <c r="O39" s="37">
        <f ca="1" t="shared" si="2"/>
        <v>9.20833333333333</v>
      </c>
      <c r="P39" s="37"/>
      <c r="Q39" s="37"/>
    </row>
    <row r="40" s="30" customFormat="1" ht="20" customHeight="1" spans="1:17">
      <c r="A40" s="36">
        <v>46094</v>
      </c>
      <c r="B40" s="37">
        <v>11</v>
      </c>
      <c r="C40" s="38">
        <f ca="1" t="shared" si="3"/>
        <v>1.15656565656566</v>
      </c>
      <c r="D40" s="5" t="s">
        <v>85</v>
      </c>
      <c r="E40" s="5" t="s">
        <v>60</v>
      </c>
      <c r="F40" s="37">
        <v>1990</v>
      </c>
      <c r="G40" s="5" t="s">
        <v>61</v>
      </c>
      <c r="H40" s="40">
        <f ca="1" t="array" ref="H40">INDEX(成本核算表!J:J,MATCH(1,(成本核算表!D:D=E40)*(成本核算表!C:C=G40),0))</f>
        <v>25</v>
      </c>
      <c r="I40" s="40">
        <v>164</v>
      </c>
      <c r="J40" s="37">
        <f ca="1" t="shared" si="0"/>
        <v>4100</v>
      </c>
      <c r="K40" s="37"/>
      <c r="L40" s="37"/>
      <c r="M40" s="37"/>
      <c r="N40" s="37">
        <f ca="1" t="shared" si="1"/>
        <v>4100</v>
      </c>
      <c r="O40" s="37">
        <f ca="1" t="shared" si="2"/>
        <v>1.13888888888889</v>
      </c>
      <c r="P40" s="37"/>
      <c r="Q40" s="37"/>
    </row>
    <row r="41" s="30" customFormat="1" ht="20" customHeight="1" spans="1:17">
      <c r="A41" s="36">
        <v>46094</v>
      </c>
      <c r="B41" s="37"/>
      <c r="C41" s="38"/>
      <c r="D41" s="37"/>
      <c r="E41" s="5" t="s">
        <v>55</v>
      </c>
      <c r="F41" s="37">
        <v>950</v>
      </c>
      <c r="G41" s="18" t="s">
        <v>153</v>
      </c>
      <c r="H41" s="40">
        <f ca="1" t="array" ref="H41">INDEX(成本核算表!J:J,MATCH(1,(成本核算表!D:D=E41)*(成本核算表!C:C=G41),0))</f>
        <v>15</v>
      </c>
      <c r="I41" s="40">
        <f>460+460+460+350+150+460+350+90</f>
        <v>2780</v>
      </c>
      <c r="J41" s="37">
        <f ca="1" t="shared" si="0"/>
        <v>41700</v>
      </c>
      <c r="K41" s="37"/>
      <c r="L41" s="37"/>
      <c r="M41" s="37"/>
      <c r="N41" s="37">
        <f ca="1" t="shared" si="1"/>
        <v>41700</v>
      </c>
      <c r="O41" s="37">
        <f ca="1" t="shared" si="2"/>
        <v>11.5833333333333</v>
      </c>
      <c r="P41" s="37"/>
      <c r="Q41" s="37"/>
    </row>
    <row r="42" s="30" customFormat="1" ht="20" customHeight="1" spans="1:17">
      <c r="A42" s="36">
        <v>46095</v>
      </c>
      <c r="B42" s="32">
        <v>11</v>
      </c>
      <c r="C42" s="38">
        <f ca="1" t="shared" si="3"/>
        <v>1.33181818181818</v>
      </c>
      <c r="D42" s="32"/>
      <c r="E42" s="5" t="s">
        <v>55</v>
      </c>
      <c r="F42" s="37">
        <v>950</v>
      </c>
      <c r="G42" s="18" t="s">
        <v>153</v>
      </c>
      <c r="H42" s="40">
        <f ca="1" t="array" ref="H42">INDEX(成本核算表!J:J,MATCH(1,(成本核算表!D:D=E42)*(成本核算表!C:C=G42),0))</f>
        <v>15</v>
      </c>
      <c r="I42" s="41">
        <f>170+230+250+232+110+110+460+455+619</f>
        <v>2636</v>
      </c>
      <c r="J42" s="37">
        <f ca="1" t="shared" si="0"/>
        <v>39540</v>
      </c>
      <c r="K42" s="32"/>
      <c r="L42" s="32"/>
      <c r="N42" s="37">
        <f ca="1" t="shared" si="1"/>
        <v>39540</v>
      </c>
      <c r="O42" s="37">
        <f ca="1" t="shared" si="2"/>
        <v>10.9833333333333</v>
      </c>
    </row>
    <row r="43" s="30" customFormat="1" ht="20" customHeight="1" spans="1:17">
      <c r="A43" s="36">
        <v>46095</v>
      </c>
      <c r="B43" s="32"/>
      <c r="C43" s="33"/>
      <c r="D43" s="42" t="s">
        <v>158</v>
      </c>
      <c r="E43" s="42" t="s">
        <v>159</v>
      </c>
      <c r="F43" s="32">
        <v>1784.3</v>
      </c>
      <c r="G43" s="42" t="s">
        <v>70</v>
      </c>
      <c r="H43" s="40">
        <f ca="1" t="array" ref="H43">INDEX(成本核算表!J:J,MATCH(1,(成本核算表!D:D=E43)*(成本核算表!C:C=G43),0))</f>
        <v>25</v>
      </c>
      <c r="I43" s="41">
        <f>264+264</f>
        <v>528</v>
      </c>
      <c r="J43" s="37">
        <f ca="1" t="shared" si="0"/>
        <v>13200</v>
      </c>
      <c r="K43" s="32"/>
      <c r="L43" s="32"/>
      <c r="N43" s="37">
        <f ca="1" t="shared" si="1"/>
        <v>13200</v>
      </c>
      <c r="O43" s="37">
        <f ca="1" t="shared" si="2"/>
        <v>3.66666666666667</v>
      </c>
    </row>
    <row r="44" s="30" customFormat="1" ht="20" customHeight="1" spans="1:17">
      <c r="A44" s="36"/>
      <c r="B44" s="32"/>
      <c r="C44" s="33"/>
      <c r="D44" s="32"/>
      <c r="E44" s="32"/>
      <c r="F44" s="32"/>
      <c r="G44" s="32"/>
      <c r="H44" s="40">
        <f ca="1" t="array" ref="H44">INDEX(成本核算表!J:J,MATCH(1,(成本核算表!D:D=E44)*(成本核算表!C:C=G44),0))</f>
        <v>0</v>
      </c>
      <c r="I44" s="41"/>
      <c r="J44" s="37">
        <f ca="1" t="shared" si="0"/>
        <v>0</v>
      </c>
      <c r="K44" s="32"/>
      <c r="L44" s="32"/>
      <c r="N44" s="37">
        <f ca="1" t="shared" si="1"/>
        <v>0</v>
      </c>
      <c r="O44" s="37">
        <f ca="1" t="shared" si="2"/>
        <v>0</v>
      </c>
    </row>
    <row r="45" s="30" customFormat="1" ht="20" customHeight="1" spans="1:17">
      <c r="A45" s="36">
        <v>46097</v>
      </c>
      <c r="B45" s="32">
        <v>11</v>
      </c>
      <c r="C45" s="38">
        <f ca="1">SUM(O45:O47)/B45</f>
        <v>1.23676767676768</v>
      </c>
      <c r="D45" s="42" t="s">
        <v>40</v>
      </c>
      <c r="E45" s="5" t="s">
        <v>36</v>
      </c>
      <c r="F45" s="37">
        <v>119.5</v>
      </c>
      <c r="G45" s="5" t="s">
        <v>53</v>
      </c>
      <c r="H45" s="40">
        <f ca="1" t="array" ref="H45">INDEX(成本核算表!J:J,MATCH(1,(成本核算表!D:D=E45)*(成本核算表!C:C=G45),0))</f>
        <v>12</v>
      </c>
      <c r="I45" s="41">
        <v>1048</v>
      </c>
      <c r="J45" s="37">
        <f ca="1" t="shared" si="0"/>
        <v>12576</v>
      </c>
      <c r="K45" s="32"/>
      <c r="L45" s="32"/>
      <c r="N45" s="37">
        <f ca="1" t="shared" si="1"/>
        <v>12576</v>
      </c>
      <c r="O45" s="37">
        <f ca="1" t="shared" si="2"/>
        <v>3.49333333333333</v>
      </c>
    </row>
    <row r="46" s="30" customFormat="1" ht="20" customHeight="1" spans="1:17">
      <c r="A46" s="36">
        <v>46097</v>
      </c>
      <c r="B46" s="32"/>
      <c r="C46" s="33"/>
      <c r="D46" s="42" t="s">
        <v>73</v>
      </c>
      <c r="E46" s="42" t="s">
        <v>74</v>
      </c>
      <c r="F46" s="37">
        <v>156</v>
      </c>
      <c r="G46" s="5" t="s">
        <v>44</v>
      </c>
      <c r="H46" s="40">
        <f ca="1" t="array" ref="H46">INDEX(成本核算表!J:J,MATCH(1,(成本核算表!D:D=E46)*(成本核算表!C:C=G46),0))</f>
        <v>15</v>
      </c>
      <c r="I46" s="41">
        <v>1180</v>
      </c>
      <c r="J46" s="37">
        <f ca="1" t="shared" si="0"/>
        <v>17700</v>
      </c>
      <c r="K46" s="32"/>
      <c r="L46" s="32"/>
      <c r="N46" s="37">
        <f ca="1" t="shared" si="1"/>
        <v>17700</v>
      </c>
      <c r="O46" s="37">
        <f ca="1" t="shared" si="2"/>
        <v>4.91666666666667</v>
      </c>
    </row>
    <row r="47" s="30" customFormat="1" ht="20" customHeight="1" spans="1:17">
      <c r="A47" s="36">
        <v>46097</v>
      </c>
      <c r="B47" s="32"/>
      <c r="C47" s="33"/>
      <c r="D47" s="42" t="s">
        <v>172</v>
      </c>
      <c r="E47" s="42" t="s">
        <v>173</v>
      </c>
      <c r="F47" s="32">
        <v>33.7</v>
      </c>
      <c r="G47" s="42" t="s">
        <v>174</v>
      </c>
      <c r="H47" s="40">
        <f ca="1" t="array" ref="H47">INDEX(成本核算表!J:J,MATCH(1,(成本核算表!D:D=E47)*(成本核算表!C:C=G47),0))</f>
        <v>20</v>
      </c>
      <c r="I47" s="41">
        <v>935</v>
      </c>
      <c r="J47" s="37">
        <f ca="1" t="shared" si="0"/>
        <v>18700</v>
      </c>
      <c r="K47" s="32"/>
      <c r="L47" s="32"/>
      <c r="N47" s="37">
        <f ca="1" t="shared" si="1"/>
        <v>18700</v>
      </c>
      <c r="O47" s="37">
        <f ca="1" t="shared" si="2"/>
        <v>5.19444444444444</v>
      </c>
    </row>
    <row r="48" s="30" customFormat="1" ht="20" customHeight="1" spans="1:17">
      <c r="A48" s="36">
        <v>46098</v>
      </c>
      <c r="B48" s="32">
        <v>11</v>
      </c>
      <c r="C48" s="38">
        <f ca="1">SUM(O48:O51)/B48</f>
        <v>1.06787878787879</v>
      </c>
      <c r="D48" s="42" t="s">
        <v>98</v>
      </c>
      <c r="E48" s="42" t="s">
        <v>96</v>
      </c>
      <c r="F48" s="32">
        <v>2200</v>
      </c>
      <c r="G48" s="42" t="s">
        <v>97</v>
      </c>
      <c r="H48" s="40">
        <f ca="1" t="array" ref="H48">INDEX(成本核算表!J:J,MATCH(1,(成本核算表!D:D=E48)*(成本核算表!C:C=G48),0))</f>
        <v>10</v>
      </c>
      <c r="I48" s="32">
        <f>1158+446</f>
        <v>1604</v>
      </c>
      <c r="J48" s="37">
        <f ca="1" t="shared" si="0"/>
        <v>16040</v>
      </c>
      <c r="K48" s="32"/>
      <c r="L48" s="32"/>
      <c r="N48" s="37">
        <f ca="1" t="shared" si="1"/>
        <v>16040</v>
      </c>
      <c r="O48" s="37">
        <f ca="1" t="shared" si="2"/>
        <v>4.45555555555556</v>
      </c>
    </row>
    <row r="49" s="30" customFormat="1" ht="20" customHeight="1" spans="1:17">
      <c r="A49" s="36">
        <v>46098</v>
      </c>
      <c r="B49" s="32"/>
      <c r="C49" s="33"/>
      <c r="D49" s="42" t="s">
        <v>98</v>
      </c>
      <c r="E49" s="42" t="s">
        <v>96</v>
      </c>
      <c r="F49" s="32">
        <v>2200</v>
      </c>
      <c r="G49" s="42" t="s">
        <v>70</v>
      </c>
      <c r="H49" s="40">
        <f ca="1" t="array" ref="H49">INDEX(成本核算表!J:J,MATCH(1,(成本核算表!D:D=E49)*(成本核算表!C:C=G49),0))</f>
        <v>15</v>
      </c>
      <c r="I49" s="32">
        <v>360</v>
      </c>
      <c r="J49" s="37">
        <f ca="1" t="shared" si="0"/>
        <v>5400</v>
      </c>
      <c r="K49" s="32"/>
      <c r="L49" s="32"/>
      <c r="N49" s="37">
        <f ca="1" t="shared" si="1"/>
        <v>5400</v>
      </c>
      <c r="O49" s="37">
        <f ca="1" t="shared" si="2"/>
        <v>1.5</v>
      </c>
    </row>
    <row r="50" s="30" customFormat="1" ht="20" customHeight="1" spans="1:17">
      <c r="A50" s="36">
        <v>46098</v>
      </c>
      <c r="B50" s="32"/>
      <c r="C50" s="33"/>
      <c r="D50" s="42" t="s">
        <v>95</v>
      </c>
      <c r="E50" s="42" t="s">
        <v>96</v>
      </c>
      <c r="F50" s="32">
        <v>2200</v>
      </c>
      <c r="G50" s="42" t="s">
        <v>97</v>
      </c>
      <c r="H50" s="40">
        <f ca="1" t="array" ref="H50">INDEX(成本核算表!J:J,MATCH(1,(成本核算表!D:D=E50)*(成本核算表!C:C=G50),0))</f>
        <v>10</v>
      </c>
      <c r="I50" s="32">
        <v>1066</v>
      </c>
      <c r="J50" s="37">
        <f ca="1" t="shared" si="0"/>
        <v>10660</v>
      </c>
      <c r="K50" s="32"/>
      <c r="L50" s="32"/>
      <c r="N50" s="37">
        <f ca="1" t="shared" si="1"/>
        <v>10660</v>
      </c>
      <c r="O50" s="37">
        <f ca="1" t="shared" si="2"/>
        <v>2.96111111111111</v>
      </c>
    </row>
    <row r="51" s="30" customFormat="1" ht="20" customHeight="1" spans="1:17">
      <c r="A51" s="36">
        <v>46098</v>
      </c>
      <c r="B51" s="32"/>
      <c r="C51" s="33"/>
      <c r="D51" s="42" t="s">
        <v>35</v>
      </c>
      <c r="E51" s="5" t="s">
        <v>36</v>
      </c>
      <c r="F51" s="37">
        <v>119.5</v>
      </c>
      <c r="G51" s="5" t="s">
        <v>53</v>
      </c>
      <c r="H51" s="37">
        <f ca="1" t="array" ref="H51">INDEX(成本核算表!J:J,MATCH(1,(成本核算表!D:D=E51)*(成本核算表!C:C=G51),0))</f>
        <v>12</v>
      </c>
      <c r="I51" s="37">
        <v>99</v>
      </c>
      <c r="J51" s="37">
        <f ca="1" t="shared" si="0"/>
        <v>1188</v>
      </c>
      <c r="K51" s="32"/>
      <c r="L51" s="32">
        <v>9000</v>
      </c>
      <c r="N51" s="37">
        <f ca="1" t="shared" si="1"/>
        <v>10188</v>
      </c>
      <c r="O51" s="37">
        <f ca="1" t="shared" si="2"/>
        <v>2.83</v>
      </c>
      <c r="Q51" s="43" t="s">
        <v>266</v>
      </c>
    </row>
    <row r="52" s="30" customFormat="1" ht="20" customHeight="1" spans="1:17">
      <c r="A52" s="36">
        <v>46099</v>
      </c>
      <c r="B52" s="32">
        <v>11</v>
      </c>
      <c r="C52" s="38">
        <f ca="1">SUM(O52:O55)/B52</f>
        <v>0.975</v>
      </c>
      <c r="D52" s="42" t="s">
        <v>83</v>
      </c>
      <c r="E52" s="5" t="s">
        <v>78</v>
      </c>
      <c r="F52" s="37">
        <v>780</v>
      </c>
      <c r="G52" s="39" t="s">
        <v>82</v>
      </c>
      <c r="H52" s="40">
        <f ca="1" t="array" ref="H52">INDEX(成本核算表!J:J,MATCH(1,(成本核算表!D:D=E52)*(成本核算表!C:C=G52),0))</f>
        <v>15</v>
      </c>
      <c r="I52" s="32">
        <v>572</v>
      </c>
      <c r="J52" s="37">
        <f ca="1" t="shared" si="0"/>
        <v>8580</v>
      </c>
      <c r="K52" s="32"/>
      <c r="L52" s="32"/>
      <c r="N52" s="37">
        <f ca="1" t="shared" si="1"/>
        <v>8580</v>
      </c>
      <c r="O52" s="37">
        <f ca="1" t="shared" si="2"/>
        <v>2.38333333333333</v>
      </c>
    </row>
    <row r="53" s="30" customFormat="1" ht="20" customHeight="1" spans="1:17">
      <c r="A53" s="36">
        <v>46099</v>
      </c>
      <c r="B53" s="32"/>
      <c r="C53" s="33"/>
      <c r="D53" s="42" t="s">
        <v>84</v>
      </c>
      <c r="E53" s="5" t="s">
        <v>78</v>
      </c>
      <c r="F53" s="37">
        <v>780</v>
      </c>
      <c r="G53" s="39" t="s">
        <v>82</v>
      </c>
      <c r="H53" s="40">
        <f ca="1" t="array" ref="H53">INDEX(成本核算表!J:J,MATCH(1,(成本核算表!D:D=E53)*(成本核算表!C:C=G53),0))</f>
        <v>15</v>
      </c>
      <c r="I53" s="32">
        <v>1005</v>
      </c>
      <c r="J53" s="37">
        <f ca="1" t="shared" si="0"/>
        <v>15075</v>
      </c>
      <c r="K53" s="32"/>
      <c r="L53" s="32"/>
      <c r="N53" s="37">
        <f ca="1" t="shared" si="1"/>
        <v>15075</v>
      </c>
      <c r="O53" s="37">
        <f ca="1" t="shared" si="2"/>
        <v>4.1875</v>
      </c>
    </row>
    <row r="54" s="30" customFormat="1" ht="20" customHeight="1" spans="1:17">
      <c r="A54" s="36">
        <v>46099</v>
      </c>
      <c r="B54" s="32"/>
      <c r="C54" s="33"/>
      <c r="D54" s="42" t="s">
        <v>80</v>
      </c>
      <c r="E54" s="5" t="s">
        <v>78</v>
      </c>
      <c r="F54" s="37">
        <v>1960</v>
      </c>
      <c r="G54" s="39" t="s">
        <v>82</v>
      </c>
      <c r="H54" s="40">
        <f ca="1" t="array" ref="H54">INDEX(成本核算表!J:J,MATCH(1,(成本核算表!D:D=E54)*(成本核算表!C:C=G54),0))</f>
        <v>15</v>
      </c>
      <c r="I54" s="32">
        <v>468</v>
      </c>
      <c r="J54" s="37">
        <f ca="1" t="shared" si="0"/>
        <v>7020</v>
      </c>
      <c r="K54" s="32"/>
      <c r="L54" s="32"/>
      <c r="N54" s="37">
        <f ca="1" t="shared" si="1"/>
        <v>7020</v>
      </c>
      <c r="O54" s="37">
        <f ca="1" t="shared" si="2"/>
        <v>1.95</v>
      </c>
    </row>
    <row r="55" s="30" customFormat="1" ht="20" customHeight="1" spans="1:17">
      <c r="A55" s="36">
        <v>46099</v>
      </c>
      <c r="B55" s="32"/>
      <c r="C55" s="33"/>
      <c r="D55" s="42" t="s">
        <v>77</v>
      </c>
      <c r="E55" s="5" t="s">
        <v>78</v>
      </c>
      <c r="F55" s="37">
        <v>1960</v>
      </c>
      <c r="G55" s="39" t="s">
        <v>82</v>
      </c>
      <c r="H55" s="40">
        <f ca="1" t="array" ref="H55">INDEX(成本核算表!J:J,MATCH(1,(成本核算表!D:D=E55)*(成本核算表!C:C=G55),0))</f>
        <v>15</v>
      </c>
      <c r="I55" s="32">
        <v>529</v>
      </c>
      <c r="J55" s="37">
        <f ca="1" t="shared" si="0"/>
        <v>7935</v>
      </c>
      <c r="K55" s="32"/>
      <c r="L55" s="32"/>
      <c r="N55" s="37">
        <f ca="1" t="shared" si="1"/>
        <v>7935</v>
      </c>
      <c r="O55" s="37">
        <f ca="1" t="shared" si="2"/>
        <v>2.20416666666667</v>
      </c>
    </row>
    <row r="56" s="30" customFormat="1" ht="20" customHeight="1" spans="1:17">
      <c r="A56" s="36">
        <v>46100</v>
      </c>
      <c r="B56" s="32">
        <v>11</v>
      </c>
      <c r="C56" s="38">
        <f ca="1">SUM(O56:O61)/B56</f>
        <v>1.18421717171717</v>
      </c>
      <c r="D56" s="42" t="s">
        <v>83</v>
      </c>
      <c r="E56" s="5" t="s">
        <v>78</v>
      </c>
      <c r="F56" s="37">
        <v>780</v>
      </c>
      <c r="G56" s="39" t="s">
        <v>82</v>
      </c>
      <c r="H56" s="40">
        <f ca="1" t="array" ref="H56">INDEX(成本核算表!J:J,MATCH(1,(成本核算表!D:D=E56)*(成本核算表!C:C=G56),0))</f>
        <v>15</v>
      </c>
      <c r="I56" s="32">
        <v>503</v>
      </c>
      <c r="J56" s="37">
        <f ca="1" t="shared" si="0"/>
        <v>7545</v>
      </c>
      <c r="K56" s="32"/>
      <c r="L56" s="32"/>
      <c r="N56" s="37">
        <f ca="1" t="shared" si="1"/>
        <v>7545</v>
      </c>
      <c r="O56" s="37">
        <f ca="1" t="shared" si="2"/>
        <v>2.09583333333333</v>
      </c>
    </row>
    <row r="57" s="30" customFormat="1" ht="20" customHeight="1" spans="1:17">
      <c r="A57" s="36">
        <v>46100</v>
      </c>
      <c r="B57" s="32"/>
      <c r="C57" s="33"/>
      <c r="D57" s="42" t="s">
        <v>84</v>
      </c>
      <c r="E57" s="5" t="s">
        <v>78</v>
      </c>
      <c r="F57" s="37">
        <v>780</v>
      </c>
      <c r="G57" s="39" t="s">
        <v>82</v>
      </c>
      <c r="H57" s="40">
        <f ca="1" t="array" ref="H57">INDEX(成本核算表!J:J,MATCH(1,(成本核算表!D:D=E57)*(成本核算表!C:C=G57),0))</f>
        <v>15</v>
      </c>
      <c r="I57" s="32">
        <v>460</v>
      </c>
      <c r="J57" s="37">
        <f ca="1" t="shared" si="0"/>
        <v>6900</v>
      </c>
      <c r="K57" s="32"/>
      <c r="L57" s="32"/>
      <c r="N57" s="37">
        <f ca="1" t="shared" si="1"/>
        <v>6900</v>
      </c>
      <c r="O57" s="37">
        <f ca="1" t="shared" si="2"/>
        <v>1.91666666666667</v>
      </c>
    </row>
    <row r="58" s="30" customFormat="1" ht="20" customHeight="1" spans="1:17">
      <c r="A58" s="36">
        <v>46100</v>
      </c>
      <c r="B58" s="32"/>
      <c r="C58" s="33"/>
      <c r="D58" s="42" t="s">
        <v>80</v>
      </c>
      <c r="E58" s="5" t="s">
        <v>78</v>
      </c>
      <c r="F58" s="37">
        <v>1960</v>
      </c>
      <c r="G58" s="5" t="s">
        <v>81</v>
      </c>
      <c r="H58" s="40">
        <f ca="1" t="array" ref="H58">INDEX(成本核算表!J:J,MATCH(1,(成本核算表!D:D=E58)*(成本核算表!C:C=G58),0))</f>
        <v>25</v>
      </c>
      <c r="I58" s="32">
        <v>228</v>
      </c>
      <c r="J58" s="37">
        <f ca="1" t="shared" si="0"/>
        <v>5700</v>
      </c>
      <c r="K58" s="32"/>
      <c r="L58" s="32"/>
      <c r="N58" s="37">
        <f ca="1" t="shared" si="1"/>
        <v>5700</v>
      </c>
      <c r="O58" s="37">
        <f ca="1" t="shared" si="2"/>
        <v>1.58333333333333</v>
      </c>
    </row>
    <row r="59" s="30" customFormat="1" ht="20" customHeight="1" spans="1:17">
      <c r="A59" s="36">
        <v>46100</v>
      </c>
      <c r="B59" s="32"/>
      <c r="C59" s="33"/>
      <c r="D59" s="42" t="s">
        <v>77</v>
      </c>
      <c r="E59" s="5" t="s">
        <v>78</v>
      </c>
      <c r="F59" s="37">
        <v>1960</v>
      </c>
      <c r="G59" s="5" t="s">
        <v>81</v>
      </c>
      <c r="H59" s="40">
        <f ca="1" t="array" ref="H59">INDEX(成本核算表!J:J,MATCH(1,(成本核算表!D:D=E59)*(成本核算表!C:C=G59),0))</f>
        <v>25</v>
      </c>
      <c r="I59" s="32">
        <v>433</v>
      </c>
      <c r="J59" s="37">
        <f ca="1" t="shared" si="0"/>
        <v>10825</v>
      </c>
      <c r="K59" s="32"/>
      <c r="L59" s="32"/>
      <c r="N59" s="37">
        <f ca="1" t="shared" si="1"/>
        <v>10825</v>
      </c>
      <c r="O59" s="37">
        <f ca="1" t="shared" si="2"/>
        <v>3.00694444444444</v>
      </c>
    </row>
    <row r="60" s="30" customFormat="1" ht="20" customHeight="1" spans="1:17">
      <c r="A60" s="36">
        <v>46100</v>
      </c>
      <c r="B60" s="32"/>
      <c r="C60" s="33"/>
      <c r="D60" s="42" t="s">
        <v>84</v>
      </c>
      <c r="E60" s="5" t="s">
        <v>78</v>
      </c>
      <c r="F60" s="37">
        <v>780</v>
      </c>
      <c r="G60" s="5" t="s">
        <v>81</v>
      </c>
      <c r="H60" s="40">
        <f ca="1" t="array" ref="H60">INDEX(成本核算表!J:J,MATCH(1,(成本核算表!D:D=E60)*(成本核算表!C:C=G60),0))</f>
        <v>25</v>
      </c>
      <c r="I60" s="32">
        <v>499</v>
      </c>
      <c r="J60" s="37">
        <f ca="1" t="shared" si="0"/>
        <v>12475</v>
      </c>
      <c r="K60" s="32"/>
      <c r="L60" s="32"/>
      <c r="N60" s="37">
        <f ca="1" t="shared" si="1"/>
        <v>12475</v>
      </c>
      <c r="O60" s="37">
        <f ca="1" t="shared" si="2"/>
        <v>3.46527777777778</v>
      </c>
    </row>
    <row r="61" s="30" customFormat="1" ht="20" customHeight="1" spans="1:17">
      <c r="A61" s="36">
        <v>46100</v>
      </c>
      <c r="B61" s="32"/>
      <c r="C61" s="33"/>
      <c r="D61" s="42" t="s">
        <v>83</v>
      </c>
      <c r="E61" s="5" t="s">
        <v>78</v>
      </c>
      <c r="F61" s="37">
        <v>780</v>
      </c>
      <c r="G61" s="5" t="s">
        <v>81</v>
      </c>
      <c r="H61" s="40">
        <f ca="1" t="array" ref="H61">INDEX(成本核算表!J:J,MATCH(1,(成本核算表!D:D=E61)*(成本核算表!C:C=G61),0))</f>
        <v>25</v>
      </c>
      <c r="I61" s="32">
        <v>138</v>
      </c>
      <c r="J61" s="37">
        <f ca="1" t="shared" si="0"/>
        <v>3450</v>
      </c>
      <c r="K61" s="32"/>
      <c r="L61" s="32"/>
      <c r="N61" s="37">
        <f ca="1" t="shared" si="1"/>
        <v>3450</v>
      </c>
      <c r="O61" s="37">
        <f ca="1" t="shared" si="2"/>
        <v>0.958333333333333</v>
      </c>
    </row>
    <row r="62" s="30" customFormat="1" ht="20" customHeight="1" spans="1:17">
      <c r="A62" s="36">
        <v>46101</v>
      </c>
      <c r="B62" s="32">
        <v>11</v>
      </c>
      <c r="C62" s="38">
        <f ca="1">SUM(O62:O67)/B62</f>
        <v>1.03030303030303</v>
      </c>
      <c r="D62" s="42" t="s">
        <v>83</v>
      </c>
      <c r="E62" s="5" t="s">
        <v>78</v>
      </c>
      <c r="F62" s="37">
        <v>780</v>
      </c>
      <c r="G62" s="5" t="s">
        <v>81</v>
      </c>
      <c r="H62" s="40">
        <f ca="1" t="array" ref="H62">INDEX(成本核算表!J:J,MATCH(1,(成本核算表!D:D=E62)*(成本核算表!C:C=G62),0))</f>
        <v>25</v>
      </c>
      <c r="I62" s="32">
        <v>365</v>
      </c>
      <c r="J62" s="37">
        <f ca="1" t="shared" si="0"/>
        <v>9125</v>
      </c>
      <c r="K62" s="32"/>
      <c r="L62" s="32"/>
      <c r="N62" s="37">
        <f ca="1" t="shared" si="1"/>
        <v>9125</v>
      </c>
      <c r="O62" s="37">
        <f ca="1" t="shared" si="2"/>
        <v>2.53472222222222</v>
      </c>
    </row>
    <row r="63" s="30" customFormat="1" ht="20" customHeight="1" spans="1:17">
      <c r="A63" s="36">
        <v>46101</v>
      </c>
      <c r="B63" s="32"/>
      <c r="C63" s="33"/>
      <c r="D63" s="42" t="s">
        <v>77</v>
      </c>
      <c r="E63" s="5" t="s">
        <v>78</v>
      </c>
      <c r="F63" s="37">
        <v>1960</v>
      </c>
      <c r="G63" s="5" t="s">
        <v>81</v>
      </c>
      <c r="H63" s="40">
        <f ca="1" t="array" ref="H63">INDEX(成本核算表!J:J,MATCH(1,(成本核算表!D:D=E63)*(成本核算表!C:C=G63),0))</f>
        <v>25</v>
      </c>
      <c r="I63" s="32">
        <v>96</v>
      </c>
      <c r="J63" s="37">
        <f ca="1" t="shared" si="0"/>
        <v>2400</v>
      </c>
      <c r="K63" s="32"/>
      <c r="L63" s="32"/>
      <c r="N63" s="37">
        <f ca="1" t="shared" si="1"/>
        <v>2400</v>
      </c>
      <c r="O63" s="37">
        <f ca="1" t="shared" si="2"/>
        <v>0.666666666666667</v>
      </c>
    </row>
    <row r="64" s="30" customFormat="1" ht="20" customHeight="1" spans="1:17">
      <c r="A64" s="36">
        <v>46101</v>
      </c>
      <c r="B64" s="32"/>
      <c r="C64" s="33"/>
      <c r="D64" s="42" t="s">
        <v>124</v>
      </c>
      <c r="E64" s="5" t="s">
        <v>78</v>
      </c>
      <c r="F64" s="37">
        <v>1960</v>
      </c>
      <c r="G64" s="5" t="s">
        <v>81</v>
      </c>
      <c r="H64" s="40">
        <f ca="1" t="array" ref="H64">INDEX(成本核算表!J:J,MATCH(1,(成本核算表!D:D=E64)*(成本核算表!C:C=G64),0))</f>
        <v>25</v>
      </c>
      <c r="I64" s="32">
        <v>383</v>
      </c>
      <c r="J64" s="37">
        <f ca="1" t="shared" si="0"/>
        <v>9575</v>
      </c>
      <c r="K64" s="32"/>
      <c r="L64" s="32"/>
      <c r="N64" s="37">
        <f ca="1" t="shared" si="1"/>
        <v>9575</v>
      </c>
      <c r="O64" s="37">
        <f ca="1" t="shared" si="2"/>
        <v>2.65972222222222</v>
      </c>
    </row>
    <row r="65" s="30" customFormat="1" ht="20" customHeight="1" spans="1:15">
      <c r="A65" s="36">
        <v>46101</v>
      </c>
      <c r="B65" s="32"/>
      <c r="C65" s="33"/>
      <c r="D65" s="42" t="s">
        <v>123</v>
      </c>
      <c r="E65" s="5" t="s">
        <v>78</v>
      </c>
      <c r="F65" s="37">
        <v>1960</v>
      </c>
      <c r="G65" s="5" t="s">
        <v>81</v>
      </c>
      <c r="H65" s="40">
        <f ca="1" t="array" ref="H65">INDEX(成本核算表!J:J,MATCH(1,(成本核算表!D:D=E65)*(成本核算表!C:C=G65),0))</f>
        <v>25</v>
      </c>
      <c r="I65" s="32">
        <v>282</v>
      </c>
      <c r="J65" s="37">
        <f ca="1" t="shared" si="0"/>
        <v>7050</v>
      </c>
      <c r="K65" s="32"/>
      <c r="L65" s="32"/>
      <c r="N65" s="37">
        <f ca="1" t="shared" si="1"/>
        <v>7050</v>
      </c>
      <c r="O65" s="37">
        <f ca="1" t="shared" si="2"/>
        <v>1.95833333333333</v>
      </c>
    </row>
    <row r="66" s="30" customFormat="1" ht="20" customHeight="1" spans="1:15">
      <c r="A66" s="36">
        <v>46101</v>
      </c>
      <c r="B66" s="32"/>
      <c r="C66" s="33"/>
      <c r="D66" s="42" t="s">
        <v>124</v>
      </c>
      <c r="E66" s="5" t="s">
        <v>78</v>
      </c>
      <c r="F66" s="37">
        <v>1960</v>
      </c>
      <c r="G66" s="39" t="s">
        <v>82</v>
      </c>
      <c r="H66" s="40">
        <f ca="1" t="array" ref="H66">INDEX(成本核算表!J:J,MATCH(1,(成本核算表!D:D=E66)*(成本核算表!C:C=G66),0))</f>
        <v>15</v>
      </c>
      <c r="I66" s="32">
        <v>300</v>
      </c>
      <c r="J66" s="37">
        <f ca="1" t="shared" ref="J66:J101" si="4">H66*I66</f>
        <v>4500</v>
      </c>
      <c r="K66" s="32"/>
      <c r="L66" s="32"/>
      <c r="N66" s="37">
        <f ca="1" t="shared" ref="N66:N101" si="5">J66-M66+L66</f>
        <v>4500</v>
      </c>
      <c r="O66" s="37">
        <f ca="1" t="shared" ref="O66:O101" si="6">N66/3600</f>
        <v>1.25</v>
      </c>
    </row>
    <row r="67" s="30" customFormat="1" ht="20" customHeight="1" spans="1:15">
      <c r="A67" s="36">
        <v>46101</v>
      </c>
      <c r="B67" s="32"/>
      <c r="C67" s="33"/>
      <c r="D67" s="42" t="s">
        <v>123</v>
      </c>
      <c r="E67" s="5" t="s">
        <v>78</v>
      </c>
      <c r="F67" s="37">
        <v>1960</v>
      </c>
      <c r="G67" s="5" t="s">
        <v>81</v>
      </c>
      <c r="H67" s="40">
        <f ca="1" t="array" ref="H67">INDEX(成本核算表!J:J,MATCH(1,(成本核算表!D:D=E67)*(成本核算表!C:C=G67),0))</f>
        <v>25</v>
      </c>
      <c r="I67" s="32">
        <v>326</v>
      </c>
      <c r="J67" s="37">
        <f ca="1" t="shared" si="4"/>
        <v>8150</v>
      </c>
      <c r="K67" s="32"/>
      <c r="L67" s="32"/>
      <c r="N67" s="37">
        <f ca="1" t="shared" si="5"/>
        <v>8150</v>
      </c>
      <c r="O67" s="37">
        <f ca="1" t="shared" si="6"/>
        <v>2.26388888888889</v>
      </c>
    </row>
    <row r="68" s="30" customFormat="1" ht="20" customHeight="1" spans="1:15">
      <c r="A68" s="36"/>
      <c r="B68" s="32"/>
      <c r="C68" s="33"/>
      <c r="D68" s="32"/>
      <c r="E68" s="32"/>
      <c r="F68" s="32"/>
      <c r="G68" s="32"/>
      <c r="H68" s="40">
        <f ca="1" t="array" ref="H68">INDEX(成本核算表!J:J,MATCH(1,(成本核算表!D:D=E68)*(成本核算表!C:C=G68),0))</f>
        <v>0</v>
      </c>
      <c r="I68" s="32"/>
      <c r="J68" s="37">
        <f ca="1" t="shared" si="4"/>
        <v>0</v>
      </c>
      <c r="K68" s="32"/>
      <c r="L68" s="32"/>
      <c r="N68" s="37">
        <f ca="1" t="shared" si="5"/>
        <v>0</v>
      </c>
      <c r="O68" s="37">
        <f ca="1" t="shared" si="6"/>
        <v>0</v>
      </c>
    </row>
    <row r="69" s="30" customFormat="1" ht="20" customHeight="1" spans="1:15">
      <c r="A69" s="36"/>
      <c r="B69" s="32"/>
      <c r="C69" s="33"/>
      <c r="D69" s="32"/>
      <c r="E69" s="32"/>
      <c r="F69" s="32"/>
      <c r="G69" s="32"/>
      <c r="H69" s="40">
        <f ca="1" t="array" ref="H69">INDEX(成本核算表!J:J,MATCH(1,(成本核算表!D:D=E69)*(成本核算表!C:C=G69),0))</f>
        <v>0</v>
      </c>
      <c r="I69" s="32"/>
      <c r="J69" s="37">
        <f ca="1" t="shared" si="4"/>
        <v>0</v>
      </c>
      <c r="K69" s="32"/>
      <c r="L69" s="32"/>
      <c r="N69" s="37">
        <f ca="1" t="shared" si="5"/>
        <v>0</v>
      </c>
      <c r="O69" s="37">
        <f ca="1" t="shared" si="6"/>
        <v>0</v>
      </c>
    </row>
    <row r="70" s="30" customFormat="1" ht="20" customHeight="1" spans="1:15">
      <c r="A70" s="36"/>
      <c r="B70" s="32"/>
      <c r="C70" s="33"/>
      <c r="D70" s="32"/>
      <c r="E70" s="32"/>
      <c r="F70" s="32"/>
      <c r="G70" s="32"/>
      <c r="H70" s="40">
        <f ca="1" t="array" ref="H70">INDEX(成本核算表!J:J,MATCH(1,(成本核算表!D:D=E70)*(成本核算表!C:C=G70),0))</f>
        <v>0</v>
      </c>
      <c r="I70" s="32"/>
      <c r="J70" s="37">
        <f ca="1" t="shared" si="4"/>
        <v>0</v>
      </c>
      <c r="K70" s="32"/>
      <c r="L70" s="32"/>
      <c r="N70" s="37">
        <f ca="1" t="shared" si="5"/>
        <v>0</v>
      </c>
      <c r="O70" s="37">
        <f ca="1" t="shared" si="6"/>
        <v>0</v>
      </c>
    </row>
    <row r="71" s="30" customFormat="1" ht="20" customHeight="1" spans="1:15">
      <c r="A71" s="36"/>
      <c r="B71" s="32"/>
      <c r="C71" s="33"/>
      <c r="D71" s="32"/>
      <c r="E71" s="32"/>
      <c r="F71" s="32"/>
      <c r="G71" s="32"/>
      <c r="H71" s="40">
        <f ca="1" t="array" ref="H71">INDEX(成本核算表!J:J,MATCH(1,(成本核算表!D:D=E71)*(成本核算表!C:C=G71),0))</f>
        <v>0</v>
      </c>
      <c r="I71" s="32"/>
      <c r="J71" s="37">
        <f ca="1" t="shared" si="4"/>
        <v>0</v>
      </c>
      <c r="K71" s="32"/>
      <c r="L71" s="32"/>
      <c r="N71" s="37">
        <f ca="1" t="shared" si="5"/>
        <v>0</v>
      </c>
      <c r="O71" s="37">
        <f ca="1" t="shared" si="6"/>
        <v>0</v>
      </c>
    </row>
    <row r="72" s="30" customFormat="1" ht="20" customHeight="1" spans="1:15">
      <c r="A72" s="36"/>
      <c r="B72" s="32"/>
      <c r="C72" s="33"/>
      <c r="D72" s="32"/>
      <c r="E72" s="32"/>
      <c r="F72" s="32"/>
      <c r="G72" s="32"/>
      <c r="H72" s="40">
        <f ca="1" t="array" ref="H72">INDEX(成本核算表!J:J,MATCH(1,(成本核算表!D:D=E72)*(成本核算表!C:C=G72),0))</f>
        <v>0</v>
      </c>
      <c r="I72" s="32"/>
      <c r="J72" s="37">
        <f ca="1" t="shared" si="4"/>
        <v>0</v>
      </c>
      <c r="K72" s="32"/>
      <c r="L72" s="32"/>
      <c r="N72" s="37">
        <f ca="1" t="shared" si="5"/>
        <v>0</v>
      </c>
      <c r="O72" s="37">
        <f ca="1" t="shared" si="6"/>
        <v>0</v>
      </c>
    </row>
    <row r="73" s="30" customFormat="1" ht="20" customHeight="1" spans="1:15">
      <c r="A73" s="31"/>
      <c r="B73" s="32"/>
      <c r="C73" s="33"/>
      <c r="D73" s="32"/>
      <c r="E73" s="32"/>
      <c r="F73" s="32"/>
      <c r="G73" s="32"/>
      <c r="H73" s="40">
        <f ca="1" t="array" ref="H73">INDEX(成本核算表!J:J,MATCH(1,(成本核算表!D:D=E73)*(成本核算表!C:C=G73),0))</f>
        <v>0</v>
      </c>
      <c r="I73" s="32"/>
      <c r="J73" s="37">
        <f ca="1" t="shared" si="4"/>
        <v>0</v>
      </c>
      <c r="K73" s="32"/>
      <c r="L73" s="32"/>
      <c r="N73" s="37">
        <f ca="1" t="shared" si="5"/>
        <v>0</v>
      </c>
      <c r="O73" s="37">
        <f ca="1" t="shared" si="6"/>
        <v>0</v>
      </c>
    </row>
    <row r="74" s="30" customFormat="1" ht="20" customHeight="1" spans="1:15">
      <c r="A74" s="31"/>
      <c r="B74" s="32"/>
      <c r="C74" s="33"/>
      <c r="D74" s="32"/>
      <c r="E74" s="32"/>
      <c r="F74" s="32"/>
      <c r="G74" s="32"/>
      <c r="H74" s="40">
        <f ca="1" t="array" ref="H74">INDEX(成本核算表!J:J,MATCH(1,(成本核算表!D:D=E74)*(成本核算表!C:C=G74),0))</f>
        <v>0</v>
      </c>
      <c r="I74" s="32"/>
      <c r="J74" s="37">
        <f ca="1" t="shared" si="4"/>
        <v>0</v>
      </c>
      <c r="K74" s="32"/>
      <c r="L74" s="32"/>
      <c r="N74" s="37">
        <f ca="1" t="shared" si="5"/>
        <v>0</v>
      </c>
      <c r="O74" s="37">
        <f ca="1" t="shared" si="6"/>
        <v>0</v>
      </c>
    </row>
    <row r="75" s="30" customFormat="1" ht="20" customHeight="1" spans="1:15">
      <c r="A75" s="31"/>
      <c r="B75" s="32"/>
      <c r="C75" s="33"/>
      <c r="D75" s="32"/>
      <c r="E75" s="32"/>
      <c r="F75" s="32"/>
      <c r="G75" s="32"/>
      <c r="H75" s="40">
        <f ca="1" t="array" ref="H75">INDEX(成本核算表!J:J,MATCH(1,(成本核算表!D:D=E75)*(成本核算表!C:C=G75),0))</f>
        <v>0</v>
      </c>
      <c r="I75" s="32"/>
      <c r="J75" s="37">
        <f ca="1" t="shared" si="4"/>
        <v>0</v>
      </c>
      <c r="K75" s="32"/>
      <c r="L75" s="32"/>
      <c r="N75" s="37">
        <f ca="1" t="shared" si="5"/>
        <v>0</v>
      </c>
      <c r="O75" s="37">
        <f ca="1" t="shared" si="6"/>
        <v>0</v>
      </c>
    </row>
    <row r="76" s="30" customFormat="1" ht="20" customHeight="1" spans="1:15">
      <c r="A76" s="31"/>
      <c r="B76" s="32"/>
      <c r="C76" s="33"/>
      <c r="D76" s="32"/>
      <c r="E76" s="32"/>
      <c r="F76" s="32"/>
      <c r="G76" s="32"/>
      <c r="H76" s="40">
        <f ca="1" t="array" ref="H76">INDEX(成本核算表!J:J,MATCH(1,(成本核算表!D:D=E76)*(成本核算表!C:C=G76),0))</f>
        <v>0</v>
      </c>
      <c r="I76" s="32"/>
      <c r="J76" s="37">
        <f ca="1" t="shared" si="4"/>
        <v>0</v>
      </c>
      <c r="K76" s="32"/>
      <c r="L76" s="32"/>
      <c r="N76" s="37">
        <f ca="1" t="shared" si="5"/>
        <v>0</v>
      </c>
      <c r="O76" s="37">
        <f ca="1" t="shared" si="6"/>
        <v>0</v>
      </c>
    </row>
    <row r="77" s="30" customFormat="1" ht="20" customHeight="1" spans="1:15">
      <c r="A77" s="31"/>
      <c r="B77" s="32"/>
      <c r="C77" s="33"/>
      <c r="D77" s="32"/>
      <c r="E77" s="32"/>
      <c r="F77" s="32"/>
      <c r="G77" s="32"/>
      <c r="H77" s="40">
        <f ca="1" t="array" ref="H77">INDEX(成本核算表!J:J,MATCH(1,(成本核算表!D:D=E77)*(成本核算表!C:C=G77),0))</f>
        <v>0</v>
      </c>
      <c r="I77" s="32"/>
      <c r="J77" s="37">
        <f ca="1" t="shared" si="4"/>
        <v>0</v>
      </c>
      <c r="K77" s="32"/>
      <c r="L77" s="32"/>
      <c r="N77" s="37">
        <f ca="1" t="shared" si="5"/>
        <v>0</v>
      </c>
      <c r="O77" s="37">
        <f ca="1" t="shared" si="6"/>
        <v>0</v>
      </c>
    </row>
    <row r="78" s="30" customFormat="1" ht="20" customHeight="1" spans="1:15">
      <c r="A78" s="31"/>
      <c r="B78" s="32"/>
      <c r="C78" s="33"/>
      <c r="D78" s="32"/>
      <c r="E78" s="32"/>
      <c r="F78" s="32"/>
      <c r="G78" s="32"/>
      <c r="H78" s="40">
        <f ca="1" t="array" ref="H78">INDEX(成本核算表!J:J,MATCH(1,(成本核算表!D:D=E78)*(成本核算表!C:C=G78),0))</f>
        <v>0</v>
      </c>
      <c r="I78" s="32"/>
      <c r="J78" s="37">
        <f ca="1" t="shared" si="4"/>
        <v>0</v>
      </c>
      <c r="K78" s="32"/>
      <c r="L78" s="32"/>
      <c r="N78" s="37">
        <f ca="1" t="shared" si="5"/>
        <v>0</v>
      </c>
      <c r="O78" s="37">
        <f ca="1" t="shared" si="6"/>
        <v>0</v>
      </c>
    </row>
    <row r="79" s="30" customFormat="1" ht="20" customHeight="1" spans="1:15">
      <c r="A79" s="31"/>
      <c r="B79" s="32"/>
      <c r="C79" s="33"/>
      <c r="D79" s="32"/>
      <c r="E79" s="32"/>
      <c r="F79" s="32"/>
      <c r="G79" s="32"/>
      <c r="H79" s="40">
        <f ca="1" t="array" ref="H79">INDEX(成本核算表!J:J,MATCH(1,(成本核算表!D:D=E79)*(成本核算表!C:C=G79),0))</f>
        <v>0</v>
      </c>
      <c r="I79" s="32"/>
      <c r="J79" s="37">
        <f ca="1" t="shared" si="4"/>
        <v>0</v>
      </c>
      <c r="K79" s="32"/>
      <c r="L79" s="32"/>
      <c r="N79" s="37">
        <f ca="1" t="shared" si="5"/>
        <v>0</v>
      </c>
      <c r="O79" s="37">
        <f ca="1" t="shared" si="6"/>
        <v>0</v>
      </c>
    </row>
    <row r="80" s="30" customFormat="1" ht="20" customHeight="1" spans="1:15">
      <c r="A80" s="31"/>
      <c r="B80" s="32"/>
      <c r="C80" s="33"/>
      <c r="D80" s="32"/>
      <c r="E80" s="32"/>
      <c r="F80" s="32"/>
      <c r="G80" s="32"/>
      <c r="H80" s="40">
        <f ca="1" t="array" ref="H80">INDEX(成本核算表!J:J,MATCH(1,(成本核算表!D:D=E80)*(成本核算表!C:C=G80),0))</f>
        <v>0</v>
      </c>
      <c r="I80" s="32"/>
      <c r="J80" s="37">
        <f ca="1" t="shared" si="4"/>
        <v>0</v>
      </c>
      <c r="K80" s="32"/>
      <c r="L80" s="32"/>
      <c r="N80" s="37">
        <f ca="1" t="shared" si="5"/>
        <v>0</v>
      </c>
      <c r="O80" s="37">
        <f ca="1" t="shared" si="6"/>
        <v>0</v>
      </c>
    </row>
    <row r="81" s="30" customFormat="1" ht="20" customHeight="1" spans="1:15">
      <c r="A81" s="31"/>
      <c r="B81" s="32"/>
      <c r="C81" s="33"/>
      <c r="D81" s="32"/>
      <c r="E81" s="32"/>
      <c r="F81" s="32"/>
      <c r="G81" s="32"/>
      <c r="H81" s="40">
        <f ca="1" t="array" ref="H81">INDEX(成本核算表!J:J,MATCH(1,(成本核算表!D:D=E81)*(成本核算表!C:C=G81),0))</f>
        <v>0</v>
      </c>
      <c r="I81" s="32"/>
      <c r="J81" s="37">
        <f ca="1" t="shared" si="4"/>
        <v>0</v>
      </c>
      <c r="K81" s="32"/>
      <c r="L81" s="32"/>
      <c r="N81" s="37">
        <f ca="1" t="shared" si="5"/>
        <v>0</v>
      </c>
      <c r="O81" s="37">
        <f ca="1" t="shared" si="6"/>
        <v>0</v>
      </c>
    </row>
    <row r="82" s="30" customFormat="1" ht="20" customHeight="1" spans="1:15">
      <c r="A82" s="31"/>
      <c r="B82" s="32"/>
      <c r="C82" s="33"/>
      <c r="D82" s="32"/>
      <c r="E82" s="32"/>
      <c r="F82" s="32"/>
      <c r="G82" s="32"/>
      <c r="H82" s="40">
        <f ca="1" t="array" ref="H82">INDEX(成本核算表!J:J,MATCH(1,(成本核算表!D:D=E82)*(成本核算表!C:C=G82),0))</f>
        <v>0</v>
      </c>
      <c r="I82" s="32"/>
      <c r="J82" s="37">
        <f ca="1" t="shared" si="4"/>
        <v>0</v>
      </c>
      <c r="K82" s="32"/>
      <c r="L82" s="32"/>
      <c r="N82" s="37">
        <f ca="1" t="shared" si="5"/>
        <v>0</v>
      </c>
      <c r="O82" s="37">
        <f ca="1" t="shared" si="6"/>
        <v>0</v>
      </c>
    </row>
    <row r="83" s="30" customFormat="1" ht="20" customHeight="1" spans="1:15">
      <c r="A83" s="31"/>
      <c r="B83" s="32"/>
      <c r="C83" s="33"/>
      <c r="D83" s="32"/>
      <c r="E83" s="32"/>
      <c r="F83" s="32"/>
      <c r="G83" s="32"/>
      <c r="H83" s="40">
        <f ca="1" t="array" ref="H83">INDEX(成本核算表!J:J,MATCH(1,(成本核算表!D:D=E83)*(成本核算表!C:C=G83),0))</f>
        <v>0</v>
      </c>
      <c r="I83" s="32"/>
      <c r="J83" s="37">
        <f ca="1" t="shared" si="4"/>
        <v>0</v>
      </c>
      <c r="K83" s="32"/>
      <c r="L83" s="32"/>
      <c r="N83" s="37">
        <f ca="1" t="shared" si="5"/>
        <v>0</v>
      </c>
      <c r="O83" s="37">
        <f ca="1" t="shared" si="6"/>
        <v>0</v>
      </c>
    </row>
    <row r="84" s="30" customFormat="1" ht="20" customHeight="1" spans="1:15">
      <c r="A84" s="31"/>
      <c r="B84" s="32"/>
      <c r="C84" s="33"/>
      <c r="D84" s="32"/>
      <c r="E84" s="32"/>
      <c r="F84" s="32"/>
      <c r="G84" s="32"/>
      <c r="H84" s="40">
        <f ca="1" t="array" ref="H84">INDEX(成本核算表!J:J,MATCH(1,(成本核算表!D:D=E84)*(成本核算表!C:C=G84),0))</f>
        <v>0</v>
      </c>
      <c r="I84" s="32"/>
      <c r="J84" s="37">
        <f ca="1" t="shared" si="4"/>
        <v>0</v>
      </c>
      <c r="K84" s="32"/>
      <c r="L84" s="32"/>
      <c r="N84" s="37">
        <f ca="1" t="shared" si="5"/>
        <v>0</v>
      </c>
      <c r="O84" s="37">
        <f ca="1" t="shared" si="6"/>
        <v>0</v>
      </c>
    </row>
    <row r="85" s="30" customFormat="1" ht="20" customHeight="1" spans="1:15">
      <c r="A85" s="31"/>
      <c r="B85" s="32"/>
      <c r="C85" s="33"/>
      <c r="D85" s="32"/>
      <c r="E85" s="32"/>
      <c r="F85" s="32"/>
      <c r="G85" s="32"/>
      <c r="H85" s="40">
        <f ca="1" t="array" ref="H85">INDEX(成本核算表!J:J,MATCH(1,(成本核算表!D:D=E85)*(成本核算表!C:C=G85),0))</f>
        <v>0</v>
      </c>
      <c r="I85" s="32"/>
      <c r="J85" s="37">
        <f ca="1" t="shared" si="4"/>
        <v>0</v>
      </c>
      <c r="K85" s="32"/>
      <c r="L85" s="32"/>
      <c r="N85" s="37">
        <f ca="1" t="shared" si="5"/>
        <v>0</v>
      </c>
      <c r="O85" s="37">
        <f ca="1" t="shared" si="6"/>
        <v>0</v>
      </c>
    </row>
    <row r="86" s="30" customFormat="1" ht="20" customHeight="1" spans="1:15">
      <c r="A86" s="31"/>
      <c r="B86" s="32"/>
      <c r="C86" s="33"/>
      <c r="D86" s="32"/>
      <c r="E86" s="32"/>
      <c r="F86" s="32"/>
      <c r="G86" s="32"/>
      <c r="H86" s="40">
        <f ca="1" t="array" ref="H86">INDEX(成本核算表!J:J,MATCH(1,(成本核算表!D:D=E86)*(成本核算表!C:C=G86),0))</f>
        <v>0</v>
      </c>
      <c r="I86" s="32"/>
      <c r="J86" s="37">
        <f ca="1" t="shared" si="4"/>
        <v>0</v>
      </c>
      <c r="K86" s="32"/>
      <c r="L86" s="32"/>
      <c r="N86" s="37">
        <f ca="1" t="shared" si="5"/>
        <v>0</v>
      </c>
      <c r="O86" s="37">
        <f ca="1" t="shared" si="6"/>
        <v>0</v>
      </c>
    </row>
    <row r="87" s="30" customFormat="1" ht="20" customHeight="1" spans="1:15">
      <c r="A87" s="31"/>
      <c r="B87" s="32"/>
      <c r="C87" s="33"/>
      <c r="D87" s="32"/>
      <c r="E87" s="32"/>
      <c r="F87" s="32"/>
      <c r="G87" s="32"/>
      <c r="H87" s="40">
        <f ca="1" t="array" ref="H87">INDEX(成本核算表!J:J,MATCH(1,(成本核算表!D:D=E87)*(成本核算表!C:C=G87),0))</f>
        <v>0</v>
      </c>
      <c r="I87" s="32"/>
      <c r="J87" s="37">
        <f ca="1" t="shared" si="4"/>
        <v>0</v>
      </c>
      <c r="K87" s="32"/>
      <c r="L87" s="32"/>
      <c r="N87" s="37">
        <f ca="1" t="shared" si="5"/>
        <v>0</v>
      </c>
      <c r="O87" s="37">
        <f ca="1" t="shared" si="6"/>
        <v>0</v>
      </c>
    </row>
    <row r="88" s="30" customFormat="1" ht="20" customHeight="1" spans="1:15">
      <c r="A88" s="31"/>
      <c r="B88" s="32"/>
      <c r="C88" s="33"/>
      <c r="D88" s="32"/>
      <c r="E88" s="32"/>
      <c r="F88" s="32"/>
      <c r="G88" s="32"/>
      <c r="H88" s="40">
        <f ca="1" t="array" ref="H88">INDEX(成本核算表!J:J,MATCH(1,(成本核算表!D:D=E88)*(成本核算表!C:C=G88),0))</f>
        <v>0</v>
      </c>
      <c r="I88" s="32"/>
      <c r="J88" s="37">
        <f ca="1" t="shared" si="4"/>
        <v>0</v>
      </c>
      <c r="K88" s="32"/>
      <c r="L88" s="32"/>
      <c r="N88" s="37">
        <f ca="1" t="shared" si="5"/>
        <v>0</v>
      </c>
      <c r="O88" s="37">
        <f ca="1" t="shared" si="6"/>
        <v>0</v>
      </c>
    </row>
    <row r="89" s="30" customFormat="1" ht="20" customHeight="1" spans="1:15">
      <c r="A89" s="31"/>
      <c r="B89" s="32"/>
      <c r="C89" s="33"/>
      <c r="D89" s="32"/>
      <c r="E89" s="32"/>
      <c r="F89" s="32"/>
      <c r="G89" s="32"/>
      <c r="H89" s="40">
        <f ca="1" t="array" ref="H89">INDEX(成本核算表!J:J,MATCH(1,(成本核算表!D:D=E89)*(成本核算表!C:C=G89),0))</f>
        <v>0</v>
      </c>
      <c r="I89" s="32"/>
      <c r="J89" s="37">
        <f ca="1" t="shared" si="4"/>
        <v>0</v>
      </c>
      <c r="K89" s="32"/>
      <c r="L89" s="32"/>
      <c r="N89" s="37">
        <f ca="1" t="shared" si="5"/>
        <v>0</v>
      </c>
      <c r="O89" s="37">
        <f ca="1" t="shared" si="6"/>
        <v>0</v>
      </c>
    </row>
    <row r="90" s="30" customFormat="1" ht="20" customHeight="1" spans="1:15">
      <c r="A90" s="31"/>
      <c r="B90" s="32"/>
      <c r="C90" s="33"/>
      <c r="D90" s="32"/>
      <c r="E90" s="32"/>
      <c r="F90" s="32"/>
      <c r="G90" s="32"/>
      <c r="H90" s="40">
        <f ca="1" t="array" ref="H90">INDEX(成本核算表!J:J,MATCH(1,(成本核算表!D:D=E90)*(成本核算表!C:C=G90),0))</f>
        <v>0</v>
      </c>
      <c r="I90" s="32"/>
      <c r="J90" s="37">
        <f ca="1" t="shared" si="4"/>
        <v>0</v>
      </c>
      <c r="K90" s="32"/>
      <c r="L90" s="32"/>
      <c r="N90" s="37">
        <f ca="1" t="shared" si="5"/>
        <v>0</v>
      </c>
      <c r="O90" s="37">
        <f ca="1" t="shared" si="6"/>
        <v>0</v>
      </c>
    </row>
    <row r="91" s="30" customFormat="1" ht="20" customHeight="1" spans="1:15">
      <c r="A91" s="31"/>
      <c r="B91" s="32"/>
      <c r="C91" s="33"/>
      <c r="D91" s="32"/>
      <c r="E91" s="32"/>
      <c r="F91" s="32"/>
      <c r="G91" s="32"/>
      <c r="H91" s="40">
        <f ca="1" t="array" ref="H91">INDEX(成本核算表!J:J,MATCH(1,(成本核算表!D:D=E91)*(成本核算表!C:C=G91),0))</f>
        <v>0</v>
      </c>
      <c r="I91" s="32"/>
      <c r="J91" s="37">
        <f ca="1" t="shared" si="4"/>
        <v>0</v>
      </c>
      <c r="K91" s="32"/>
      <c r="L91" s="32"/>
      <c r="N91" s="37">
        <f ca="1" t="shared" si="5"/>
        <v>0</v>
      </c>
      <c r="O91" s="37">
        <f ca="1" t="shared" si="6"/>
        <v>0</v>
      </c>
    </row>
    <row r="92" s="30" customFormat="1" ht="20" customHeight="1" spans="1:15">
      <c r="A92" s="31"/>
      <c r="B92" s="32"/>
      <c r="C92" s="33"/>
      <c r="D92" s="32"/>
      <c r="E92" s="32"/>
      <c r="F92" s="32"/>
      <c r="G92" s="32"/>
      <c r="H92" s="40">
        <f ca="1" t="array" ref="H92">INDEX(成本核算表!J:J,MATCH(1,(成本核算表!D:D=E92)*(成本核算表!C:C=G92),0))</f>
        <v>0</v>
      </c>
      <c r="I92" s="32"/>
      <c r="J92" s="37">
        <f ca="1" t="shared" si="4"/>
        <v>0</v>
      </c>
      <c r="K92" s="32"/>
      <c r="L92" s="32"/>
      <c r="N92" s="37">
        <f ca="1" t="shared" si="5"/>
        <v>0</v>
      </c>
      <c r="O92" s="37">
        <f ca="1" t="shared" si="6"/>
        <v>0</v>
      </c>
    </row>
    <row r="93" s="30" customFormat="1" ht="20" customHeight="1" spans="1:15">
      <c r="A93" s="31"/>
      <c r="B93" s="32"/>
      <c r="C93" s="33"/>
      <c r="D93" s="32"/>
      <c r="E93" s="32"/>
      <c r="F93" s="32"/>
      <c r="G93" s="32"/>
      <c r="H93" s="40">
        <f ca="1" t="array" ref="H93">INDEX(成本核算表!J:J,MATCH(1,(成本核算表!D:D=E93)*(成本核算表!C:C=G93),0))</f>
        <v>0</v>
      </c>
      <c r="I93" s="32"/>
      <c r="J93" s="37">
        <f ca="1" t="shared" si="4"/>
        <v>0</v>
      </c>
      <c r="K93" s="32"/>
      <c r="L93" s="32"/>
      <c r="N93" s="37">
        <f ca="1" t="shared" si="5"/>
        <v>0</v>
      </c>
      <c r="O93" s="37">
        <f ca="1" t="shared" si="6"/>
        <v>0</v>
      </c>
    </row>
    <row r="94" s="30" customFormat="1" ht="20" customHeight="1" spans="1:15">
      <c r="A94" s="31"/>
      <c r="B94" s="32"/>
      <c r="C94" s="33"/>
      <c r="D94" s="32"/>
      <c r="E94" s="32"/>
      <c r="F94" s="32"/>
      <c r="G94" s="32"/>
      <c r="H94" s="40">
        <f ca="1" t="array" ref="H94">INDEX(成本核算表!J:J,MATCH(1,(成本核算表!D:D=E94)*(成本核算表!C:C=G94),0))</f>
        <v>0</v>
      </c>
      <c r="I94" s="32"/>
      <c r="J94" s="37">
        <f ca="1" t="shared" si="4"/>
        <v>0</v>
      </c>
      <c r="K94" s="32"/>
      <c r="L94" s="32"/>
      <c r="N94" s="37">
        <f ca="1" t="shared" si="5"/>
        <v>0</v>
      </c>
      <c r="O94" s="37">
        <f ca="1" t="shared" si="6"/>
        <v>0</v>
      </c>
    </row>
    <row r="95" s="30" customFormat="1" ht="20" customHeight="1" spans="1:15">
      <c r="A95" s="31"/>
      <c r="B95" s="32"/>
      <c r="C95" s="33"/>
      <c r="D95" s="32"/>
      <c r="E95" s="32"/>
      <c r="F95" s="32"/>
      <c r="G95" s="32"/>
      <c r="H95" s="40">
        <f ca="1" t="array" ref="H95">INDEX(成本核算表!J:J,MATCH(1,(成本核算表!D:D=E95)*(成本核算表!C:C=G95),0))</f>
        <v>0</v>
      </c>
      <c r="I95" s="32"/>
      <c r="J95" s="37">
        <f ca="1" t="shared" si="4"/>
        <v>0</v>
      </c>
      <c r="K95" s="32"/>
      <c r="L95" s="32"/>
      <c r="N95" s="37">
        <f ca="1" t="shared" si="5"/>
        <v>0</v>
      </c>
      <c r="O95" s="37">
        <f ca="1" t="shared" si="6"/>
        <v>0</v>
      </c>
    </row>
    <row r="96" s="30" customFormat="1" ht="20" customHeight="1" spans="1:15">
      <c r="A96" s="31"/>
      <c r="B96" s="32"/>
      <c r="C96" s="33"/>
      <c r="D96" s="32"/>
      <c r="E96" s="32"/>
      <c r="F96" s="32"/>
      <c r="G96" s="32"/>
      <c r="H96" s="40">
        <f ca="1" t="array" ref="H96">INDEX(成本核算表!J:J,MATCH(1,(成本核算表!D:D=E96)*(成本核算表!C:C=G96),0))</f>
        <v>0</v>
      </c>
      <c r="I96" s="32"/>
      <c r="J96" s="37">
        <f ca="1" t="shared" si="4"/>
        <v>0</v>
      </c>
      <c r="K96" s="32"/>
      <c r="L96" s="32"/>
      <c r="N96" s="37">
        <f ca="1" t="shared" si="5"/>
        <v>0</v>
      </c>
      <c r="O96" s="37">
        <f ca="1" t="shared" si="6"/>
        <v>0</v>
      </c>
    </row>
    <row r="97" s="30" customFormat="1" ht="20" customHeight="1" spans="1:15">
      <c r="A97" s="31"/>
      <c r="B97" s="32"/>
      <c r="C97" s="33"/>
      <c r="D97" s="32"/>
      <c r="E97" s="32"/>
      <c r="F97" s="32"/>
      <c r="G97" s="32"/>
      <c r="H97" s="40">
        <f ca="1" t="array" ref="H97">INDEX(成本核算表!J:J,MATCH(1,(成本核算表!D:D=E97)*(成本核算表!C:C=G97),0))</f>
        <v>0</v>
      </c>
      <c r="I97" s="32"/>
      <c r="J97" s="37">
        <f ca="1" t="shared" si="4"/>
        <v>0</v>
      </c>
      <c r="K97" s="32"/>
      <c r="L97" s="32"/>
      <c r="N97" s="37">
        <f ca="1" t="shared" si="5"/>
        <v>0</v>
      </c>
      <c r="O97" s="37">
        <f ca="1" t="shared" si="6"/>
        <v>0</v>
      </c>
    </row>
    <row r="98" s="30" customFormat="1" ht="20" customHeight="1" spans="1:15">
      <c r="A98" s="31"/>
      <c r="B98" s="32"/>
      <c r="C98" s="33"/>
      <c r="D98" s="32"/>
      <c r="E98" s="32"/>
      <c r="F98" s="32"/>
      <c r="G98" s="32"/>
      <c r="H98" s="40">
        <f ca="1" t="array" ref="H98">INDEX(成本核算表!J:J,MATCH(1,(成本核算表!D:D=E98)*(成本核算表!C:C=G98),0))</f>
        <v>0</v>
      </c>
      <c r="I98" s="32"/>
      <c r="J98" s="37">
        <f ca="1" t="shared" si="4"/>
        <v>0</v>
      </c>
      <c r="K98" s="32"/>
      <c r="L98" s="32"/>
      <c r="N98" s="37">
        <f ca="1" t="shared" si="5"/>
        <v>0</v>
      </c>
      <c r="O98" s="37">
        <f ca="1" t="shared" si="6"/>
        <v>0</v>
      </c>
    </row>
    <row r="99" s="30" customFormat="1" ht="20" customHeight="1" spans="1:15">
      <c r="A99" s="31"/>
      <c r="B99" s="32"/>
      <c r="C99" s="33"/>
      <c r="D99" s="32"/>
      <c r="E99" s="32"/>
      <c r="F99" s="32"/>
      <c r="G99" s="32"/>
      <c r="H99" s="40">
        <f ca="1" t="array" ref="H99">INDEX(成本核算表!J:J,MATCH(1,(成本核算表!D:D=E99)*(成本核算表!C:C=G99),0))</f>
        <v>0</v>
      </c>
      <c r="I99" s="32"/>
      <c r="J99" s="37">
        <f ca="1" t="shared" si="4"/>
        <v>0</v>
      </c>
      <c r="K99" s="32"/>
      <c r="L99" s="32"/>
      <c r="N99" s="37">
        <f ca="1" t="shared" si="5"/>
        <v>0</v>
      </c>
      <c r="O99" s="37">
        <f ca="1" t="shared" si="6"/>
        <v>0</v>
      </c>
    </row>
    <row r="100" s="30" customFormat="1" ht="20" customHeight="1" spans="1:15">
      <c r="A100" s="31"/>
      <c r="B100" s="32"/>
      <c r="C100" s="33"/>
      <c r="D100" s="32"/>
      <c r="E100" s="32"/>
      <c r="F100" s="32"/>
      <c r="G100" s="32"/>
      <c r="H100" s="40">
        <f ca="1" t="array" ref="H100">INDEX(成本核算表!J:J,MATCH(1,(成本核算表!D:D=E100)*(成本核算表!C:C=G100),0))</f>
        <v>0</v>
      </c>
      <c r="I100" s="32"/>
      <c r="J100" s="37">
        <f ca="1" t="shared" si="4"/>
        <v>0</v>
      </c>
      <c r="K100" s="32"/>
      <c r="L100" s="32"/>
      <c r="N100" s="37">
        <f ca="1" t="shared" si="5"/>
        <v>0</v>
      </c>
      <c r="O100" s="37">
        <f ca="1" t="shared" si="6"/>
        <v>0</v>
      </c>
    </row>
    <row r="101" s="30" customFormat="1" ht="20" customHeight="1" spans="1:15">
      <c r="A101" s="31"/>
      <c r="B101" s="32"/>
      <c r="C101" s="33"/>
      <c r="D101" s="32"/>
      <c r="E101" s="32"/>
      <c r="F101" s="32"/>
      <c r="G101" s="32"/>
      <c r="H101" s="40">
        <f ca="1" t="array" ref="H101">INDEX(成本核算表!J:J,MATCH(1,(成本核算表!D:D=E101)*(成本核算表!C:C=G101),0))</f>
        <v>0</v>
      </c>
      <c r="I101" s="32"/>
      <c r="J101" s="37">
        <f ca="1" t="shared" si="4"/>
        <v>0</v>
      </c>
      <c r="K101" s="32"/>
      <c r="L101" s="32"/>
      <c r="N101" s="37">
        <f ca="1" t="shared" si="5"/>
        <v>0</v>
      </c>
      <c r="O101" s="37">
        <f ca="1" t="shared" si="6"/>
        <v>0</v>
      </c>
    </row>
    <row r="102" s="30" customFormat="1" customHeight="1" spans="1:15">
      <c r="A102" s="31"/>
      <c r="B102" s="32"/>
      <c r="C102" s="33"/>
      <c r="D102" s="32"/>
      <c r="E102" s="32"/>
      <c r="F102" s="32"/>
      <c r="G102" s="32"/>
      <c r="H102" s="34"/>
      <c r="I102" s="34"/>
      <c r="J102" s="32"/>
      <c r="K102" s="32"/>
      <c r="L102" s="32"/>
    </row>
    <row r="103" s="30" customFormat="1" customHeight="1" spans="1:15">
      <c r="A103" s="31"/>
      <c r="B103" s="32"/>
      <c r="C103" s="33"/>
      <c r="D103" s="32"/>
      <c r="E103" s="32"/>
      <c r="F103" s="32"/>
      <c r="G103" s="32"/>
      <c r="H103" s="34"/>
      <c r="I103" s="34"/>
      <c r="J103" s="32"/>
      <c r="K103" s="32"/>
      <c r="L103" s="32"/>
    </row>
    <row r="104" s="30" customFormat="1" customHeight="1" spans="1:15">
      <c r="A104" s="31"/>
      <c r="B104" s="32"/>
      <c r="C104" s="33"/>
      <c r="D104" s="32"/>
      <c r="E104" s="32"/>
      <c r="F104" s="32"/>
      <c r="G104" s="32"/>
      <c r="H104" s="34"/>
      <c r="I104" s="34"/>
      <c r="J104" s="32"/>
      <c r="K104" s="32"/>
      <c r="L104" s="32"/>
    </row>
    <row r="105" s="30" customFormat="1" customHeight="1" spans="1:15">
      <c r="A105" s="31"/>
      <c r="B105" s="32"/>
      <c r="C105" s="33"/>
      <c r="D105" s="32"/>
      <c r="E105" s="32"/>
      <c r="F105" s="32"/>
      <c r="G105" s="32"/>
      <c r="H105" s="34"/>
      <c r="I105" s="34"/>
      <c r="J105" s="32"/>
      <c r="K105" s="32"/>
      <c r="L105" s="32"/>
    </row>
    <row r="106" s="30" customFormat="1" customHeight="1" spans="1:15">
      <c r="A106" s="31"/>
      <c r="B106" s="32"/>
      <c r="C106" s="33"/>
      <c r="D106" s="32"/>
      <c r="E106" s="32"/>
      <c r="F106" s="32"/>
      <c r="G106" s="32"/>
      <c r="H106" s="34"/>
      <c r="I106" s="34"/>
      <c r="J106" s="32"/>
      <c r="K106" s="32"/>
      <c r="L106" s="32"/>
    </row>
    <row r="107" s="30" customFormat="1" customHeight="1" spans="1:15">
      <c r="A107" s="31"/>
      <c r="B107" s="32"/>
      <c r="C107" s="33"/>
      <c r="D107" s="32"/>
      <c r="E107" s="32"/>
      <c r="F107" s="32"/>
      <c r="G107" s="32"/>
      <c r="H107" s="34"/>
      <c r="I107" s="34"/>
      <c r="J107" s="32"/>
      <c r="K107" s="32"/>
      <c r="L107" s="32"/>
    </row>
    <row r="108" s="30" customFormat="1" customHeight="1" spans="1:15">
      <c r="A108" s="31"/>
      <c r="B108" s="32"/>
      <c r="C108" s="33"/>
      <c r="D108" s="32"/>
      <c r="E108" s="32"/>
      <c r="F108" s="32"/>
      <c r="G108" s="32"/>
      <c r="H108" s="34"/>
      <c r="I108" s="34"/>
      <c r="J108" s="32"/>
      <c r="K108" s="32"/>
      <c r="L108" s="32"/>
    </row>
    <row r="109" s="30" customFormat="1" customHeight="1" spans="1:15">
      <c r="A109" s="31"/>
      <c r="B109" s="32"/>
      <c r="C109" s="33"/>
      <c r="D109" s="32"/>
      <c r="E109" s="32"/>
      <c r="F109" s="32"/>
      <c r="G109" s="32"/>
      <c r="H109" s="34"/>
      <c r="I109" s="34"/>
      <c r="J109" s="32"/>
      <c r="K109" s="32"/>
      <c r="L109" s="32"/>
    </row>
    <row r="110" s="30" customFormat="1" customHeight="1" spans="1:15">
      <c r="A110" s="31"/>
      <c r="B110" s="32"/>
      <c r="C110" s="33"/>
      <c r="D110" s="32"/>
      <c r="E110" s="32"/>
      <c r="F110" s="32"/>
      <c r="G110" s="32"/>
      <c r="H110" s="34"/>
      <c r="I110" s="34"/>
      <c r="J110" s="32"/>
      <c r="K110" s="32"/>
      <c r="L110" s="32"/>
    </row>
    <row r="111" s="30" customFormat="1" customHeight="1" spans="1:15">
      <c r="A111" s="31"/>
      <c r="B111" s="32"/>
      <c r="C111" s="33"/>
      <c r="D111" s="32"/>
      <c r="E111" s="32"/>
      <c r="F111" s="32"/>
      <c r="G111" s="32"/>
      <c r="H111" s="34"/>
      <c r="I111" s="34"/>
      <c r="J111" s="32"/>
      <c r="K111" s="32"/>
      <c r="L111" s="32"/>
    </row>
    <row r="112" s="30" customFormat="1" customHeight="1" spans="1:15">
      <c r="A112" s="31"/>
      <c r="B112" s="32"/>
      <c r="C112" s="33"/>
      <c r="D112" s="32"/>
      <c r="E112" s="32"/>
      <c r="F112" s="32"/>
      <c r="G112" s="32"/>
      <c r="H112" s="34"/>
      <c r="I112" s="34"/>
      <c r="J112" s="32"/>
      <c r="K112" s="32"/>
      <c r="L112" s="32"/>
    </row>
    <row r="113" s="30" customFormat="1" customHeight="1" spans="1:12">
      <c r="A113" s="31"/>
      <c r="B113" s="32"/>
      <c r="C113" s="33"/>
      <c r="D113" s="32"/>
      <c r="E113" s="32"/>
      <c r="F113" s="32"/>
      <c r="G113" s="32"/>
      <c r="H113" s="34"/>
      <c r="I113" s="34"/>
      <c r="J113" s="32"/>
      <c r="K113" s="32"/>
      <c r="L113" s="32"/>
    </row>
    <row r="114" s="30" customFormat="1" customHeight="1" spans="1:12">
      <c r="A114" s="31"/>
      <c r="B114" s="32"/>
      <c r="C114" s="33"/>
      <c r="D114" s="32"/>
      <c r="E114" s="32"/>
      <c r="F114" s="32"/>
      <c r="G114" s="32"/>
      <c r="H114" s="34"/>
      <c r="I114" s="34"/>
      <c r="J114" s="32"/>
      <c r="K114" s="32"/>
      <c r="L114" s="32"/>
    </row>
    <row r="115" s="30" customFormat="1" customHeight="1" spans="1:12">
      <c r="A115" s="31"/>
      <c r="B115" s="32"/>
      <c r="C115" s="33"/>
      <c r="D115" s="32"/>
      <c r="E115" s="32"/>
      <c r="F115" s="32"/>
      <c r="G115" s="32"/>
      <c r="H115" s="34"/>
      <c r="I115" s="34"/>
      <c r="J115" s="32"/>
      <c r="K115" s="32"/>
      <c r="L115" s="32"/>
    </row>
    <row r="116" s="30" customFormat="1" customHeight="1" spans="1:12">
      <c r="A116" s="31"/>
      <c r="B116" s="32"/>
      <c r="C116" s="33"/>
      <c r="D116" s="32"/>
      <c r="E116" s="32"/>
      <c r="F116" s="32"/>
      <c r="G116" s="32"/>
      <c r="H116" s="34"/>
      <c r="I116" s="34"/>
      <c r="J116" s="32"/>
      <c r="K116" s="32"/>
      <c r="L116" s="32"/>
    </row>
    <row r="117" s="30" customFormat="1" customHeight="1" spans="1:12">
      <c r="A117" s="31"/>
      <c r="B117" s="32"/>
      <c r="C117" s="33"/>
      <c r="D117" s="32"/>
      <c r="E117" s="32"/>
      <c r="F117" s="32"/>
      <c r="G117" s="32"/>
      <c r="H117" s="34"/>
      <c r="I117" s="34"/>
      <c r="J117" s="32"/>
      <c r="K117" s="32"/>
      <c r="L117" s="32"/>
    </row>
    <row r="118" s="30" customFormat="1" customHeight="1" spans="1:12">
      <c r="A118" s="31"/>
      <c r="B118" s="32"/>
      <c r="C118" s="33"/>
      <c r="D118" s="32"/>
      <c r="E118" s="32"/>
      <c r="F118" s="32"/>
      <c r="G118" s="32"/>
      <c r="H118" s="34"/>
      <c r="I118" s="34"/>
      <c r="J118" s="32"/>
      <c r="K118" s="32"/>
      <c r="L118" s="32"/>
    </row>
    <row r="119" s="30" customFormat="1" customHeight="1" spans="1:12">
      <c r="A119" s="31"/>
      <c r="B119" s="32"/>
      <c r="C119" s="33"/>
      <c r="D119" s="32"/>
      <c r="E119" s="32"/>
      <c r="F119" s="32"/>
      <c r="G119" s="32"/>
      <c r="H119" s="34"/>
      <c r="I119" s="34"/>
      <c r="J119" s="32"/>
      <c r="K119" s="32"/>
      <c r="L119" s="32"/>
    </row>
    <row r="120" s="30" customFormat="1" customHeight="1" spans="1:12">
      <c r="A120" s="31"/>
      <c r="B120" s="32"/>
      <c r="C120" s="33"/>
      <c r="D120" s="32"/>
      <c r="E120" s="32"/>
      <c r="F120" s="32"/>
      <c r="G120" s="32"/>
      <c r="H120" s="34"/>
      <c r="I120" s="34"/>
      <c r="J120" s="32"/>
      <c r="K120" s="32"/>
      <c r="L120" s="32"/>
    </row>
    <row r="121" s="30" customFormat="1" customHeight="1" spans="1:12">
      <c r="A121" s="31"/>
      <c r="B121" s="32"/>
      <c r="C121" s="33"/>
      <c r="D121" s="32"/>
      <c r="E121" s="32"/>
      <c r="F121" s="32"/>
      <c r="G121" s="32"/>
      <c r="H121" s="34"/>
      <c r="I121" s="34"/>
      <c r="J121" s="32"/>
      <c r="K121" s="32"/>
      <c r="L121" s="32"/>
    </row>
    <row r="122" s="30" customFormat="1" customHeight="1" spans="1:12">
      <c r="A122" s="31"/>
      <c r="B122" s="32"/>
      <c r="C122" s="33"/>
      <c r="D122" s="32"/>
      <c r="E122" s="32"/>
      <c r="F122" s="32"/>
      <c r="G122" s="32"/>
      <c r="H122" s="34"/>
      <c r="I122" s="34"/>
      <c r="J122" s="32"/>
      <c r="K122" s="32"/>
      <c r="L122" s="32"/>
    </row>
    <row r="123" s="30" customFormat="1" customHeight="1" spans="1:12">
      <c r="A123" s="31"/>
      <c r="B123" s="32"/>
      <c r="C123" s="33"/>
      <c r="D123" s="32"/>
      <c r="E123" s="32"/>
      <c r="F123" s="32"/>
      <c r="G123" s="32"/>
      <c r="H123" s="34"/>
      <c r="I123" s="34"/>
      <c r="J123" s="32"/>
      <c r="K123" s="32"/>
      <c r="L123" s="32"/>
    </row>
    <row r="124" s="30" customFormat="1" customHeight="1" spans="1:12">
      <c r="A124" s="31"/>
      <c r="B124" s="32"/>
      <c r="C124" s="33"/>
      <c r="D124" s="32"/>
      <c r="E124" s="32"/>
      <c r="F124" s="32"/>
      <c r="G124" s="32"/>
      <c r="H124" s="34"/>
      <c r="I124" s="34"/>
      <c r="J124" s="32"/>
      <c r="K124" s="32"/>
      <c r="L124" s="32"/>
    </row>
    <row r="125" s="30" customFormat="1" customHeight="1" spans="1:12">
      <c r="A125" s="31"/>
      <c r="B125" s="32"/>
      <c r="C125" s="33"/>
      <c r="D125" s="32"/>
      <c r="E125" s="32"/>
      <c r="F125" s="32"/>
      <c r="G125" s="32"/>
      <c r="H125" s="34"/>
      <c r="I125" s="34"/>
      <c r="J125" s="32"/>
      <c r="K125" s="32"/>
      <c r="L125" s="32"/>
    </row>
    <row r="126" s="30" customFormat="1" customHeight="1" spans="1:12">
      <c r="A126" s="31"/>
      <c r="B126" s="32"/>
      <c r="C126" s="33"/>
      <c r="D126" s="32"/>
      <c r="E126" s="32"/>
      <c r="F126" s="32"/>
      <c r="G126" s="32"/>
      <c r="H126" s="34"/>
      <c r="I126" s="34"/>
      <c r="J126" s="32"/>
      <c r="K126" s="32"/>
      <c r="L126" s="32"/>
    </row>
    <row r="127" s="30" customFormat="1" customHeight="1" spans="1:12">
      <c r="A127" s="31"/>
      <c r="B127" s="32"/>
      <c r="C127" s="33"/>
      <c r="D127" s="32"/>
      <c r="E127" s="32"/>
      <c r="F127" s="32"/>
      <c r="G127" s="32"/>
      <c r="H127" s="34"/>
      <c r="I127" s="34"/>
      <c r="J127" s="32"/>
      <c r="K127" s="32"/>
      <c r="L127" s="32"/>
    </row>
    <row r="128" s="30" customFormat="1" customHeight="1" spans="1:12">
      <c r="A128" s="31"/>
      <c r="B128" s="32"/>
      <c r="C128" s="33"/>
      <c r="D128" s="32"/>
      <c r="E128" s="32"/>
      <c r="F128" s="32"/>
      <c r="G128" s="32"/>
      <c r="H128" s="34"/>
      <c r="I128" s="34"/>
      <c r="J128" s="32"/>
      <c r="K128" s="32"/>
      <c r="L128" s="32"/>
    </row>
    <row r="129" s="30" customFormat="1" customHeight="1" spans="1:12">
      <c r="A129" s="31"/>
      <c r="B129" s="32"/>
      <c r="C129" s="33"/>
      <c r="D129" s="32"/>
      <c r="E129" s="32"/>
      <c r="F129" s="32"/>
      <c r="G129" s="32"/>
      <c r="H129" s="34"/>
      <c r="I129" s="34"/>
      <c r="J129" s="32"/>
      <c r="K129" s="32"/>
      <c r="L129" s="32"/>
    </row>
    <row r="130" s="30" customFormat="1" customHeight="1" spans="1:12">
      <c r="A130" s="31"/>
      <c r="B130" s="32"/>
      <c r="C130" s="33"/>
      <c r="D130" s="32"/>
      <c r="E130" s="32"/>
      <c r="F130" s="32"/>
      <c r="G130" s="32"/>
      <c r="H130" s="34"/>
      <c r="I130" s="34"/>
      <c r="J130" s="32"/>
      <c r="K130" s="32"/>
      <c r="L130" s="32"/>
    </row>
    <row r="131" s="30" customFormat="1" customHeight="1" spans="1:12">
      <c r="A131" s="31"/>
      <c r="B131" s="32"/>
      <c r="C131" s="33"/>
      <c r="D131" s="32"/>
      <c r="E131" s="32"/>
      <c r="F131" s="32"/>
      <c r="G131" s="32"/>
      <c r="H131" s="34"/>
      <c r="I131" s="34"/>
      <c r="J131" s="32"/>
      <c r="K131" s="32"/>
      <c r="L131" s="32"/>
    </row>
    <row r="132" s="30" customFormat="1" customHeight="1" spans="1:12">
      <c r="A132" s="31"/>
      <c r="B132" s="32"/>
      <c r="C132" s="33"/>
      <c r="D132" s="32"/>
      <c r="E132" s="32"/>
      <c r="F132" s="32"/>
      <c r="G132" s="32"/>
      <c r="H132" s="34"/>
      <c r="I132" s="34"/>
      <c r="J132" s="32"/>
      <c r="K132" s="32"/>
      <c r="L132" s="32"/>
    </row>
    <row r="133" s="30" customFormat="1" customHeight="1" spans="1:12">
      <c r="A133" s="31"/>
      <c r="B133" s="32"/>
      <c r="C133" s="33"/>
      <c r="D133" s="32"/>
      <c r="E133" s="32"/>
      <c r="F133" s="32"/>
      <c r="G133" s="32"/>
      <c r="H133" s="34"/>
      <c r="I133" s="34"/>
      <c r="J133" s="32"/>
      <c r="K133" s="32"/>
      <c r="L133" s="32"/>
    </row>
    <row r="134" s="30" customFormat="1" customHeight="1" spans="1:12">
      <c r="A134" s="31"/>
      <c r="B134" s="32"/>
      <c r="C134" s="33"/>
      <c r="D134" s="32"/>
      <c r="E134" s="32"/>
      <c r="F134" s="32"/>
      <c r="G134" s="32"/>
      <c r="H134" s="34"/>
      <c r="I134" s="34"/>
      <c r="J134" s="32"/>
      <c r="K134" s="32"/>
      <c r="L134" s="32"/>
    </row>
    <row r="135" s="30" customFormat="1" customHeight="1" spans="1:12">
      <c r="A135" s="31"/>
      <c r="B135" s="32"/>
      <c r="C135" s="33"/>
      <c r="D135" s="32"/>
      <c r="E135" s="32"/>
      <c r="F135" s="32"/>
      <c r="G135" s="32"/>
      <c r="H135" s="34"/>
      <c r="I135" s="34"/>
      <c r="J135" s="32"/>
      <c r="K135" s="32"/>
      <c r="L135" s="32"/>
    </row>
    <row r="136" s="30" customFormat="1" customHeight="1" spans="1:12">
      <c r="A136" s="31"/>
      <c r="B136" s="32"/>
      <c r="C136" s="33"/>
      <c r="D136" s="32"/>
      <c r="E136" s="32"/>
      <c r="F136" s="32"/>
      <c r="G136" s="32"/>
      <c r="H136" s="34"/>
      <c r="I136" s="34"/>
      <c r="J136" s="32"/>
      <c r="K136" s="32"/>
      <c r="L136" s="32"/>
    </row>
    <row r="137" s="30" customFormat="1" customHeight="1" spans="1:12">
      <c r="A137" s="31"/>
      <c r="B137" s="32"/>
      <c r="C137" s="33"/>
      <c r="D137" s="32"/>
      <c r="E137" s="32"/>
      <c r="F137" s="32"/>
      <c r="G137" s="32"/>
      <c r="H137" s="34"/>
      <c r="I137" s="34"/>
      <c r="J137" s="32"/>
      <c r="K137" s="32"/>
      <c r="L137" s="32"/>
    </row>
    <row r="138" s="30" customFormat="1" customHeight="1" spans="1:12">
      <c r="A138" s="31"/>
      <c r="B138" s="32"/>
      <c r="C138" s="33"/>
      <c r="D138" s="32"/>
      <c r="E138" s="32"/>
      <c r="F138" s="32"/>
      <c r="G138" s="32"/>
      <c r="H138" s="34"/>
      <c r="I138" s="34"/>
      <c r="J138" s="32"/>
      <c r="K138" s="32"/>
      <c r="L138" s="32"/>
    </row>
    <row r="139" s="30" customFormat="1" customHeight="1" spans="1:12">
      <c r="A139" s="31"/>
      <c r="B139" s="32"/>
      <c r="C139" s="33"/>
      <c r="D139" s="32"/>
      <c r="E139" s="32"/>
      <c r="F139" s="32"/>
      <c r="G139" s="32"/>
      <c r="H139" s="34"/>
      <c r="I139" s="34"/>
      <c r="J139" s="32"/>
      <c r="K139" s="32"/>
      <c r="L139" s="32"/>
    </row>
    <row r="140" s="30" customFormat="1" customHeight="1" spans="1:12">
      <c r="A140" s="31"/>
      <c r="B140" s="32"/>
      <c r="C140" s="33"/>
      <c r="D140" s="32"/>
      <c r="E140" s="32"/>
      <c r="F140" s="32"/>
      <c r="G140" s="32"/>
      <c r="H140" s="34"/>
      <c r="I140" s="34"/>
      <c r="J140" s="32"/>
      <c r="K140" s="32"/>
      <c r="L140" s="32"/>
    </row>
    <row r="141" s="30" customFormat="1" customHeight="1" spans="1:12">
      <c r="A141" s="31"/>
      <c r="B141" s="32"/>
      <c r="C141" s="33"/>
      <c r="D141" s="32"/>
      <c r="E141" s="32"/>
      <c r="F141" s="32"/>
      <c r="G141" s="32"/>
      <c r="H141" s="34"/>
      <c r="I141" s="34"/>
      <c r="J141" s="32"/>
      <c r="K141" s="32"/>
      <c r="L141" s="32"/>
    </row>
    <row r="142" s="30" customFormat="1" customHeight="1" spans="1:12">
      <c r="A142" s="31"/>
      <c r="B142" s="32"/>
      <c r="C142" s="33"/>
      <c r="D142" s="32"/>
      <c r="E142" s="32"/>
      <c r="F142" s="32"/>
      <c r="G142" s="32"/>
      <c r="H142" s="34"/>
      <c r="I142" s="34"/>
      <c r="J142" s="32"/>
      <c r="K142" s="32"/>
      <c r="L142" s="32"/>
    </row>
    <row r="143" s="30" customFormat="1" customHeight="1" spans="1:12">
      <c r="A143" s="31"/>
      <c r="B143" s="32"/>
      <c r="C143" s="33"/>
      <c r="D143" s="32"/>
      <c r="E143" s="32"/>
      <c r="F143" s="32"/>
      <c r="G143" s="32"/>
      <c r="H143" s="34"/>
      <c r="I143" s="34"/>
      <c r="J143" s="32"/>
      <c r="K143" s="32"/>
      <c r="L143" s="32"/>
    </row>
    <row r="144" s="30" customFormat="1" customHeight="1" spans="1:12">
      <c r="A144" s="31"/>
      <c r="B144" s="32"/>
      <c r="C144" s="33"/>
      <c r="D144" s="32"/>
      <c r="E144" s="32"/>
      <c r="F144" s="32"/>
      <c r="G144" s="32"/>
      <c r="H144" s="34"/>
      <c r="I144" s="34"/>
      <c r="J144" s="32"/>
      <c r="K144" s="32"/>
      <c r="L144" s="32"/>
    </row>
    <row r="145" s="30" customFormat="1" customHeight="1" spans="1:12">
      <c r="A145" s="31"/>
      <c r="B145" s="32"/>
      <c r="C145" s="33"/>
      <c r="D145" s="32"/>
      <c r="E145" s="32"/>
      <c r="F145" s="32"/>
      <c r="G145" s="32"/>
      <c r="H145" s="34"/>
      <c r="I145" s="34"/>
      <c r="J145" s="32"/>
      <c r="K145" s="32"/>
      <c r="L145" s="32"/>
    </row>
    <row r="146" s="30" customFormat="1" customHeight="1" spans="1:12">
      <c r="A146" s="31"/>
      <c r="B146" s="32"/>
      <c r="C146" s="33"/>
      <c r="D146" s="32"/>
      <c r="E146" s="32"/>
      <c r="F146" s="32"/>
      <c r="G146" s="32"/>
      <c r="H146" s="34"/>
      <c r="I146" s="34"/>
      <c r="J146" s="32"/>
      <c r="K146" s="32"/>
      <c r="L146" s="32"/>
    </row>
    <row r="147" s="30" customFormat="1" customHeight="1" spans="1:12">
      <c r="A147" s="31"/>
      <c r="B147" s="32"/>
      <c r="C147" s="33"/>
      <c r="D147" s="32"/>
      <c r="E147" s="32"/>
      <c r="F147" s="32"/>
      <c r="G147" s="32"/>
      <c r="H147" s="34"/>
      <c r="I147" s="34"/>
      <c r="J147" s="32"/>
      <c r="K147" s="32"/>
      <c r="L147" s="32"/>
    </row>
    <row r="148" s="30" customFormat="1" customHeight="1" spans="1:12">
      <c r="A148" s="31"/>
      <c r="B148" s="32"/>
      <c r="C148" s="33"/>
      <c r="D148" s="32"/>
      <c r="E148" s="32"/>
      <c r="F148" s="32"/>
      <c r="G148" s="32"/>
      <c r="H148" s="34"/>
      <c r="I148" s="34"/>
      <c r="J148" s="32"/>
      <c r="K148" s="32"/>
      <c r="L148" s="32"/>
    </row>
    <row r="149" s="30" customFormat="1" customHeight="1" spans="1:12">
      <c r="A149" s="31"/>
      <c r="B149" s="32"/>
      <c r="C149" s="33"/>
      <c r="D149" s="32"/>
      <c r="E149" s="32"/>
      <c r="F149" s="32"/>
      <c r="G149" s="32"/>
      <c r="H149" s="34"/>
      <c r="I149" s="34"/>
      <c r="J149" s="32"/>
      <c r="K149" s="32"/>
      <c r="L149" s="32"/>
    </row>
    <row r="150" s="30" customFormat="1" customHeight="1" spans="1:12">
      <c r="A150" s="31"/>
      <c r="B150" s="32"/>
      <c r="C150" s="33"/>
      <c r="D150" s="32"/>
      <c r="E150" s="32"/>
      <c r="F150" s="32"/>
      <c r="G150" s="32"/>
      <c r="H150" s="34"/>
      <c r="I150" s="34"/>
      <c r="J150" s="32"/>
      <c r="K150" s="32"/>
      <c r="L150" s="32"/>
    </row>
    <row r="151" s="30" customFormat="1" customHeight="1" spans="1:12">
      <c r="A151" s="31"/>
      <c r="B151" s="32"/>
      <c r="C151" s="33"/>
      <c r="D151" s="32"/>
      <c r="E151" s="32"/>
      <c r="F151" s="32"/>
      <c r="G151" s="32"/>
      <c r="H151" s="34"/>
      <c r="I151" s="34"/>
      <c r="J151" s="32"/>
      <c r="K151" s="32"/>
      <c r="L151" s="32"/>
    </row>
    <row r="152" s="30" customFormat="1" customHeight="1" spans="1:12">
      <c r="A152" s="31"/>
      <c r="B152" s="32"/>
      <c r="C152" s="33"/>
      <c r="D152" s="32"/>
      <c r="E152" s="32"/>
      <c r="F152" s="32"/>
      <c r="G152" s="32"/>
      <c r="H152" s="34"/>
      <c r="I152" s="34"/>
      <c r="J152" s="32"/>
      <c r="K152" s="32"/>
      <c r="L152" s="32"/>
    </row>
    <row r="153" s="30" customFormat="1" customHeight="1" spans="1:12">
      <c r="A153" s="31"/>
      <c r="B153" s="32"/>
      <c r="C153" s="33"/>
      <c r="D153" s="32"/>
      <c r="E153" s="32"/>
      <c r="F153" s="32"/>
      <c r="G153" s="32"/>
      <c r="H153" s="34"/>
      <c r="I153" s="34"/>
      <c r="J153" s="32"/>
      <c r="K153" s="32"/>
      <c r="L153" s="32"/>
    </row>
    <row r="154" s="30" customFormat="1" customHeight="1" spans="1:12">
      <c r="A154" s="31"/>
      <c r="B154" s="32"/>
      <c r="C154" s="33"/>
      <c r="D154" s="32"/>
      <c r="E154" s="32"/>
      <c r="F154" s="32"/>
      <c r="G154" s="32"/>
      <c r="H154" s="34"/>
      <c r="I154" s="34"/>
      <c r="J154" s="32"/>
      <c r="K154" s="32"/>
      <c r="L154" s="32"/>
    </row>
    <row r="155" s="30" customFormat="1" customHeight="1" spans="1:12">
      <c r="A155" s="31"/>
      <c r="B155" s="32"/>
      <c r="C155" s="33"/>
      <c r="D155" s="32"/>
      <c r="E155" s="32"/>
      <c r="F155" s="32"/>
      <c r="G155" s="32"/>
      <c r="H155" s="34"/>
      <c r="I155" s="34"/>
      <c r="J155" s="32"/>
      <c r="K155" s="32"/>
      <c r="L155" s="32"/>
    </row>
    <row r="156" s="30" customFormat="1" customHeight="1" spans="1:12">
      <c r="A156" s="31"/>
      <c r="B156" s="32"/>
      <c r="C156" s="33"/>
      <c r="D156" s="32"/>
      <c r="E156" s="32"/>
      <c r="F156" s="32"/>
      <c r="G156" s="32"/>
      <c r="H156" s="34"/>
      <c r="I156" s="34"/>
      <c r="J156" s="32"/>
      <c r="K156" s="32"/>
      <c r="L156" s="32"/>
    </row>
    <row r="157" s="30" customFormat="1" customHeight="1" spans="1:12">
      <c r="A157" s="31"/>
      <c r="B157" s="32"/>
      <c r="C157" s="33"/>
      <c r="D157" s="32"/>
      <c r="E157" s="32"/>
      <c r="F157" s="32"/>
      <c r="G157" s="32"/>
      <c r="H157" s="34"/>
      <c r="I157" s="34"/>
      <c r="J157" s="32"/>
      <c r="K157" s="32"/>
      <c r="L157" s="32"/>
    </row>
    <row r="158" s="30" customFormat="1" customHeight="1" spans="1:12">
      <c r="A158" s="31"/>
      <c r="B158" s="32"/>
      <c r="C158" s="33"/>
      <c r="D158" s="32"/>
      <c r="E158" s="32"/>
      <c r="F158" s="32"/>
      <c r="G158" s="32"/>
      <c r="H158" s="34"/>
      <c r="I158" s="34"/>
      <c r="J158" s="32"/>
      <c r="K158" s="32"/>
      <c r="L158" s="32"/>
    </row>
    <row r="159" s="30" customFormat="1" customHeight="1" spans="1:12">
      <c r="A159" s="31"/>
      <c r="B159" s="32"/>
      <c r="C159" s="33"/>
      <c r="D159" s="32"/>
      <c r="E159" s="32"/>
      <c r="F159" s="32"/>
      <c r="G159" s="32"/>
      <c r="H159" s="34"/>
      <c r="I159" s="34"/>
      <c r="J159" s="32"/>
      <c r="K159" s="32"/>
      <c r="L159" s="32"/>
    </row>
    <row r="160" s="30" customFormat="1" customHeight="1" spans="1:12">
      <c r="A160" s="31"/>
      <c r="B160" s="32"/>
      <c r="C160" s="33"/>
      <c r="D160" s="32"/>
      <c r="E160" s="32"/>
      <c r="F160" s="32"/>
      <c r="G160" s="32"/>
      <c r="H160" s="34"/>
      <c r="I160" s="34"/>
      <c r="J160" s="32"/>
      <c r="K160" s="32"/>
      <c r="L160" s="32"/>
    </row>
    <row r="161" s="30" customFormat="1" customHeight="1" spans="1:12">
      <c r="A161" s="31"/>
      <c r="B161" s="32"/>
      <c r="C161" s="33"/>
      <c r="D161" s="32"/>
      <c r="E161" s="32"/>
      <c r="F161" s="32"/>
      <c r="G161" s="32"/>
      <c r="H161" s="34"/>
      <c r="I161" s="34"/>
      <c r="J161" s="32"/>
      <c r="K161" s="32"/>
      <c r="L161" s="32"/>
    </row>
    <row r="162" s="30" customFormat="1" customHeight="1" spans="1:12">
      <c r="A162" s="31"/>
      <c r="B162" s="32"/>
      <c r="C162" s="33"/>
      <c r="D162" s="32"/>
      <c r="E162" s="32"/>
      <c r="F162" s="32"/>
      <c r="G162" s="32"/>
      <c r="H162" s="34"/>
      <c r="I162" s="34"/>
      <c r="J162" s="32"/>
      <c r="K162" s="32"/>
      <c r="L162" s="32"/>
    </row>
    <row r="163" s="30" customFormat="1" customHeight="1" spans="1:12">
      <c r="A163" s="31"/>
      <c r="B163" s="32"/>
      <c r="C163" s="33"/>
      <c r="D163" s="32"/>
      <c r="E163" s="32"/>
      <c r="F163" s="32"/>
      <c r="G163" s="32"/>
      <c r="H163" s="34"/>
      <c r="I163" s="34"/>
      <c r="J163" s="32"/>
      <c r="K163" s="32"/>
      <c r="L163" s="32"/>
    </row>
    <row r="164" s="30" customFormat="1" customHeight="1" spans="1:12">
      <c r="A164" s="31"/>
      <c r="B164" s="32"/>
      <c r="C164" s="33"/>
      <c r="D164" s="32"/>
      <c r="E164" s="32"/>
      <c r="F164" s="32"/>
      <c r="G164" s="32"/>
      <c r="H164" s="34"/>
      <c r="I164" s="34"/>
      <c r="J164" s="32"/>
      <c r="K164" s="32"/>
      <c r="L164" s="32"/>
    </row>
    <row r="165" s="30" customFormat="1" customHeight="1" spans="1:12">
      <c r="A165" s="31"/>
      <c r="B165" s="32"/>
      <c r="C165" s="33"/>
      <c r="D165" s="32"/>
      <c r="E165" s="32"/>
      <c r="F165" s="32"/>
      <c r="G165" s="32"/>
      <c r="H165" s="34"/>
      <c r="I165" s="34"/>
      <c r="J165" s="32"/>
      <c r="K165" s="32"/>
      <c r="L165" s="32"/>
    </row>
    <row r="166" s="30" customFormat="1" customHeight="1" spans="1:12">
      <c r="A166" s="31"/>
      <c r="B166" s="32"/>
      <c r="C166" s="33"/>
      <c r="D166" s="32"/>
      <c r="E166" s="32"/>
      <c r="F166" s="32"/>
      <c r="G166" s="32"/>
      <c r="H166" s="34"/>
      <c r="I166" s="34"/>
      <c r="J166" s="32"/>
      <c r="K166" s="32"/>
      <c r="L166" s="32"/>
    </row>
    <row r="167" s="30" customFormat="1" customHeight="1" spans="1:12">
      <c r="A167" s="31"/>
      <c r="B167" s="32"/>
      <c r="C167" s="33"/>
      <c r="D167" s="32"/>
      <c r="E167" s="32"/>
      <c r="F167" s="32"/>
      <c r="G167" s="32"/>
      <c r="H167" s="34"/>
      <c r="I167" s="34"/>
      <c r="J167" s="32"/>
      <c r="K167" s="32"/>
      <c r="L167" s="32"/>
    </row>
    <row r="168" s="30" customFormat="1" customHeight="1" spans="1:12">
      <c r="A168" s="31"/>
      <c r="B168" s="32"/>
      <c r="C168" s="33"/>
      <c r="D168" s="32"/>
      <c r="E168" s="32"/>
      <c r="F168" s="32"/>
      <c r="G168" s="32"/>
      <c r="H168" s="34"/>
      <c r="I168" s="34"/>
      <c r="J168" s="32"/>
      <c r="K168" s="32"/>
      <c r="L168" s="32"/>
    </row>
    <row r="169" s="30" customFormat="1" customHeight="1" spans="1:12">
      <c r="A169" s="31"/>
      <c r="B169" s="32"/>
      <c r="C169" s="33"/>
      <c r="D169" s="32"/>
      <c r="E169" s="32"/>
      <c r="F169" s="32"/>
      <c r="G169" s="32"/>
      <c r="H169" s="34"/>
      <c r="I169" s="34"/>
      <c r="J169" s="32"/>
      <c r="K169" s="32"/>
      <c r="L169" s="32"/>
    </row>
    <row r="170" s="30" customFormat="1" customHeight="1" spans="1:12">
      <c r="A170" s="31"/>
      <c r="B170" s="32"/>
      <c r="C170" s="33"/>
      <c r="D170" s="32"/>
      <c r="E170" s="32"/>
      <c r="F170" s="32"/>
      <c r="G170" s="32"/>
      <c r="H170" s="34"/>
      <c r="I170" s="34"/>
      <c r="J170" s="32"/>
      <c r="K170" s="32"/>
      <c r="L170" s="32"/>
    </row>
    <row r="171" s="30" customFormat="1" customHeight="1" spans="1:12">
      <c r="A171" s="31"/>
      <c r="B171" s="32"/>
      <c r="C171" s="33"/>
      <c r="D171" s="32"/>
      <c r="E171" s="32"/>
      <c r="F171" s="32"/>
      <c r="G171" s="32"/>
      <c r="H171" s="34"/>
      <c r="I171" s="34"/>
      <c r="J171" s="32"/>
      <c r="K171" s="32"/>
      <c r="L171" s="32"/>
    </row>
    <row r="172" s="30" customFormat="1" customHeight="1" spans="1:12">
      <c r="A172" s="31"/>
      <c r="B172" s="32"/>
      <c r="C172" s="33"/>
      <c r="D172" s="32"/>
      <c r="E172" s="32"/>
      <c r="F172" s="32"/>
      <c r="G172" s="32"/>
      <c r="H172" s="34"/>
      <c r="I172" s="34"/>
      <c r="J172" s="32"/>
      <c r="K172" s="32"/>
      <c r="L172" s="32"/>
    </row>
    <row r="173" s="30" customFormat="1" customHeight="1" spans="1:12">
      <c r="A173" s="31"/>
      <c r="B173" s="32"/>
      <c r="C173" s="33"/>
      <c r="D173" s="32"/>
      <c r="E173" s="32"/>
      <c r="F173" s="32"/>
      <c r="G173" s="32"/>
      <c r="H173" s="34"/>
      <c r="I173" s="34"/>
      <c r="J173" s="32"/>
      <c r="K173" s="32"/>
      <c r="L173" s="32"/>
    </row>
    <row r="174" s="30" customFormat="1" customHeight="1" spans="1:12">
      <c r="A174" s="31"/>
      <c r="B174" s="32"/>
      <c r="C174" s="33"/>
      <c r="D174" s="32"/>
      <c r="E174" s="32"/>
      <c r="F174" s="32"/>
      <c r="G174" s="32"/>
      <c r="H174" s="34"/>
      <c r="I174" s="34"/>
      <c r="J174" s="32"/>
      <c r="K174" s="32"/>
      <c r="L174" s="32"/>
    </row>
    <row r="175" s="30" customFormat="1" customHeight="1" spans="1:12">
      <c r="A175" s="31"/>
      <c r="B175" s="32"/>
      <c r="C175" s="33"/>
      <c r="D175" s="32"/>
      <c r="E175" s="32"/>
      <c r="F175" s="32"/>
      <c r="G175" s="32"/>
      <c r="H175" s="34"/>
      <c r="I175" s="34"/>
      <c r="J175" s="32"/>
      <c r="K175" s="32"/>
      <c r="L175" s="32"/>
    </row>
    <row r="176" s="30" customFormat="1" customHeight="1" spans="1:12">
      <c r="A176" s="31"/>
      <c r="B176" s="32"/>
      <c r="C176" s="33"/>
      <c r="D176" s="32"/>
      <c r="E176" s="32"/>
      <c r="F176" s="32"/>
      <c r="G176" s="32"/>
      <c r="H176" s="34"/>
      <c r="I176" s="34"/>
      <c r="J176" s="32"/>
      <c r="K176" s="32"/>
      <c r="L176" s="32"/>
    </row>
    <row r="177" s="30" customFormat="1" customHeight="1" spans="1:12">
      <c r="A177" s="31"/>
      <c r="B177" s="32"/>
      <c r="C177" s="33"/>
      <c r="D177" s="32"/>
      <c r="E177" s="32"/>
      <c r="F177" s="32"/>
      <c r="G177" s="32"/>
      <c r="H177" s="34"/>
      <c r="I177" s="34"/>
      <c r="J177" s="32"/>
      <c r="K177" s="32"/>
      <c r="L177" s="32"/>
    </row>
    <row r="178" s="30" customFormat="1" customHeight="1" spans="1:12">
      <c r="A178" s="31"/>
      <c r="B178" s="32"/>
      <c r="C178" s="33"/>
      <c r="D178" s="32"/>
      <c r="E178" s="32"/>
      <c r="F178" s="32"/>
      <c r="G178" s="32"/>
      <c r="H178" s="34"/>
      <c r="I178" s="34"/>
      <c r="J178" s="32"/>
      <c r="K178" s="32"/>
      <c r="L178" s="32"/>
    </row>
    <row r="179" s="30" customFormat="1" customHeight="1" spans="1:12">
      <c r="A179" s="31"/>
      <c r="B179" s="32"/>
      <c r="C179" s="33"/>
      <c r="D179" s="32"/>
      <c r="E179" s="32"/>
      <c r="F179" s="32"/>
      <c r="G179" s="32"/>
      <c r="H179" s="34"/>
      <c r="I179" s="34"/>
      <c r="J179" s="32"/>
      <c r="K179" s="32"/>
      <c r="L179" s="32"/>
    </row>
  </sheetData>
  <sheetCalcPr fullCalcOnLoad="1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9"/>
  <sheetViews>
    <sheetView topLeftCell="E1" workbookViewId="0">
      <pane ySplit="1" topLeftCell="A14" activePane="bottomLeft" state="frozen"/>
      <selection/>
      <selection pane="bottomLeft" activeCell="C2" sqref="C2"/>
    </sheetView>
  </sheetViews>
  <sheetFormatPr defaultColWidth="9" defaultRowHeight="14.25" customHeight="1"/>
  <cols>
    <col min="1" max="1" width="9" style="22"/>
    <col min="2" max="2" width="15.625" style="23" customWidth="1"/>
    <col min="3" max="3" width="15.625" style="24" customWidth="1"/>
    <col min="4" max="4" width="12.625" style="23" customWidth="1"/>
    <col min="5" max="6" width="14.125" style="23"/>
    <col min="7" max="7" width="10.875" style="23" customWidth="1"/>
    <col min="8" max="8" width="14.125" style="25"/>
    <col min="9" max="9" width="11" style="25" customWidth="1"/>
    <col min="10" max="10" width="9.875" style="23" customWidth="1"/>
    <col min="11" max="12" width="9" style="23"/>
    <col min="13" max="16384" width="9" style="21"/>
  </cols>
  <sheetData>
    <row r="1" s="21" customFormat="1" ht="40.5" spans="1:17">
      <c r="A1" s="11" t="s">
        <v>0</v>
      </c>
      <c r="B1" s="11" t="s">
        <v>1</v>
      </c>
      <c r="C1" s="2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="21" customFormat="1" ht="20" customHeight="1" spans="1:17">
      <c r="A2" s="27">
        <v>46082</v>
      </c>
      <c r="B2" s="6">
        <v>9.5</v>
      </c>
      <c r="C2" s="28">
        <f ca="1">SUM(O2:O3)/B2</f>
        <v>0.698830409356725</v>
      </c>
      <c r="D2" s="6" t="s">
        <v>246</v>
      </c>
      <c r="E2" s="5" t="s">
        <v>244</v>
      </c>
      <c r="F2" s="6">
        <v>860</v>
      </c>
      <c r="G2" s="6" t="s">
        <v>39</v>
      </c>
      <c r="H2" s="6">
        <f ca="1" t="array" ref="H2">INDEX(成本核算表!J:J,MATCH(1,(成本核算表!D:D=E2)*(成本核算表!C:C=G2),0))</f>
        <v>500</v>
      </c>
      <c r="I2" s="6">
        <v>35</v>
      </c>
      <c r="J2" s="6">
        <f ca="1" t="shared" ref="J2:J65" si="0">H2*I2</f>
        <v>17500</v>
      </c>
      <c r="K2" s="6"/>
      <c r="L2" s="6"/>
      <c r="M2" s="6"/>
      <c r="N2" s="6">
        <f ca="1" t="shared" ref="N2:N65" si="1">J2-M2+L2</f>
        <v>17500</v>
      </c>
      <c r="O2" s="6">
        <f ca="1" t="shared" ref="O2:O65" si="2">N2/3600</f>
        <v>4.86111111111111</v>
      </c>
      <c r="P2" s="6"/>
      <c r="Q2" s="6"/>
    </row>
    <row r="3" s="21" customFormat="1" ht="20" customHeight="1" spans="1:17">
      <c r="A3" s="27">
        <v>46082</v>
      </c>
      <c r="B3" s="6"/>
      <c r="C3" s="28"/>
      <c r="D3" s="6" t="s">
        <v>246</v>
      </c>
      <c r="E3" s="5" t="s">
        <v>244</v>
      </c>
      <c r="F3" s="6">
        <v>860</v>
      </c>
      <c r="G3" s="5" t="s">
        <v>267</v>
      </c>
      <c r="H3" s="6">
        <f ca="1" t="array" ref="H3">INDEX(成本核算表!J:J,MATCH(1,(成本核算表!D:D=E3)*(成本核算表!C:C=G3),0))</f>
        <v>200</v>
      </c>
      <c r="I3" s="6">
        <v>32</v>
      </c>
      <c r="J3" s="6">
        <f ca="1" t="shared" si="0"/>
        <v>6400</v>
      </c>
      <c r="K3" s="6"/>
      <c r="L3" s="6"/>
      <c r="M3" s="6"/>
      <c r="N3" s="6">
        <f ca="1" t="shared" si="1"/>
        <v>6400</v>
      </c>
      <c r="O3" s="6">
        <f ca="1" t="shared" si="2"/>
        <v>1.77777777777778</v>
      </c>
      <c r="P3" s="6"/>
      <c r="Q3" s="6"/>
    </row>
    <row r="4" s="21" customFormat="1" ht="20" customHeight="1" spans="1:17">
      <c r="A4" s="27">
        <v>46083</v>
      </c>
      <c r="B4" s="6">
        <v>11</v>
      </c>
      <c r="C4" s="28">
        <f ca="1">SUM(O4)/B4</f>
        <v>0.707070707070707</v>
      </c>
      <c r="D4" s="6" t="s">
        <v>246</v>
      </c>
      <c r="E4" s="5" t="s">
        <v>244</v>
      </c>
      <c r="F4" s="6">
        <v>860</v>
      </c>
      <c r="G4" s="5" t="s">
        <v>267</v>
      </c>
      <c r="H4" s="6">
        <f ca="1" t="array" ref="H4">INDEX(成本核算表!J:J,MATCH(1,(成本核算表!D:D=E4)*(成本核算表!C:C=G4),0))</f>
        <v>200</v>
      </c>
      <c r="I4" s="6">
        <v>140</v>
      </c>
      <c r="J4" s="6">
        <f ca="1" t="shared" si="0"/>
        <v>28000</v>
      </c>
      <c r="K4" s="6"/>
      <c r="L4" s="6"/>
      <c r="M4" s="6"/>
      <c r="N4" s="6">
        <f ca="1" t="shared" si="1"/>
        <v>28000</v>
      </c>
      <c r="O4" s="6">
        <f ca="1" t="shared" si="2"/>
        <v>7.77777777777778</v>
      </c>
      <c r="P4" s="6"/>
      <c r="Q4" s="6"/>
    </row>
    <row r="5" s="21" customFormat="1" ht="20" customHeight="1" spans="1:17">
      <c r="A5" s="27">
        <v>46084</v>
      </c>
      <c r="B5" s="6">
        <v>11</v>
      </c>
      <c r="C5" s="28">
        <f ca="1">SUM(O5:O6)/B5</f>
        <v>0.712121212121212</v>
      </c>
      <c r="D5" s="6" t="s">
        <v>246</v>
      </c>
      <c r="E5" s="5" t="s">
        <v>244</v>
      </c>
      <c r="F5" s="6">
        <v>860</v>
      </c>
      <c r="G5" s="5" t="s">
        <v>267</v>
      </c>
      <c r="H5" s="6">
        <f ca="1" t="array" ref="H5">INDEX(成本核算表!J:J,MATCH(1,(成本核算表!D:D=E5)*(成本核算表!C:C=G5),0))</f>
        <v>200</v>
      </c>
      <c r="I5" s="6">
        <v>23</v>
      </c>
      <c r="J5" s="6">
        <f ca="1" t="shared" si="0"/>
        <v>4600</v>
      </c>
      <c r="K5" s="6"/>
      <c r="L5" s="6"/>
      <c r="M5" s="6"/>
      <c r="N5" s="6">
        <f ca="1" t="shared" si="1"/>
        <v>4600</v>
      </c>
      <c r="O5" s="6">
        <f ca="1" t="shared" si="2"/>
        <v>1.27777777777778</v>
      </c>
      <c r="P5" s="6"/>
      <c r="Q5" s="6"/>
    </row>
    <row r="6" s="21" customFormat="1" ht="20" customHeight="1" spans="1:17">
      <c r="A6" s="27">
        <v>46084</v>
      </c>
      <c r="B6" s="6"/>
      <c r="C6" s="28"/>
      <c r="D6" s="6" t="s">
        <v>246</v>
      </c>
      <c r="E6" s="5" t="s">
        <v>244</v>
      </c>
      <c r="F6" s="6">
        <v>860</v>
      </c>
      <c r="G6" s="5" t="s">
        <v>267</v>
      </c>
      <c r="H6" s="6">
        <f ca="1" t="array" ref="H6">INDEX(成本核算表!J:J,MATCH(1,(成本核算表!D:D=E6)*(成本核算表!C:C=G6),0))</f>
        <v>200</v>
      </c>
      <c r="I6" s="6">
        <v>118</v>
      </c>
      <c r="J6" s="6">
        <f ca="1" t="shared" si="0"/>
        <v>23600</v>
      </c>
      <c r="K6" s="6"/>
      <c r="L6" s="6"/>
      <c r="M6" s="6"/>
      <c r="N6" s="6">
        <f ca="1" t="shared" si="1"/>
        <v>23600</v>
      </c>
      <c r="O6" s="6">
        <f ca="1" t="shared" si="2"/>
        <v>6.55555555555556</v>
      </c>
      <c r="P6" s="6"/>
      <c r="Q6" s="6"/>
    </row>
    <row r="7" s="21" customFormat="1" ht="20" customHeight="1" spans="1:17">
      <c r="A7" s="27">
        <v>46085</v>
      </c>
      <c r="B7" s="6">
        <v>11</v>
      </c>
      <c r="C7" s="28">
        <f ca="1">SUM(O7:O9)/B7</f>
        <v>0.883838383838384</v>
      </c>
      <c r="D7" s="6" t="s">
        <v>246</v>
      </c>
      <c r="E7" s="5" t="s">
        <v>244</v>
      </c>
      <c r="F7" s="6">
        <v>860</v>
      </c>
      <c r="G7" s="5" t="s">
        <v>267</v>
      </c>
      <c r="H7" s="6">
        <f ca="1" t="array" ref="H7">INDEX(成本核算表!J:J,MATCH(1,(成本核算表!D:D=E7)*(成本核算表!C:C=G7),0))</f>
        <v>200</v>
      </c>
      <c r="I7" s="6">
        <v>77</v>
      </c>
      <c r="J7" s="6">
        <f ca="1" t="shared" si="0"/>
        <v>15400</v>
      </c>
      <c r="K7" s="6"/>
      <c r="L7" s="6"/>
      <c r="M7" s="6"/>
      <c r="N7" s="6">
        <f ca="1" t="shared" si="1"/>
        <v>15400</v>
      </c>
      <c r="O7" s="6">
        <f ca="1" t="shared" si="2"/>
        <v>4.27777777777778</v>
      </c>
      <c r="P7" s="6"/>
      <c r="Q7" s="6"/>
    </row>
    <row r="8" s="21" customFormat="1" ht="20" customHeight="1" spans="1:17">
      <c r="A8" s="27">
        <v>46085</v>
      </c>
      <c r="B8" s="6"/>
      <c r="C8" s="28"/>
      <c r="D8" s="6" t="s">
        <v>246</v>
      </c>
      <c r="E8" s="5" t="s">
        <v>216</v>
      </c>
      <c r="F8" s="6"/>
      <c r="G8" s="5" t="s">
        <v>22</v>
      </c>
      <c r="H8" s="6">
        <f ca="1" t="array" ref="H8">INDEX(成本核算表!J:J,MATCH(1,(成本核算表!D:D=E8)*(成本核算表!C:C=G8),0))</f>
        <v>100</v>
      </c>
      <c r="I8" s="6">
        <v>46</v>
      </c>
      <c r="J8" s="6">
        <f ca="1" t="shared" si="0"/>
        <v>4600</v>
      </c>
      <c r="K8" s="6"/>
      <c r="L8" s="6"/>
      <c r="M8" s="6"/>
      <c r="N8" s="6">
        <f ca="1" t="shared" si="1"/>
        <v>4600</v>
      </c>
      <c r="O8" s="6">
        <f ca="1" t="shared" si="2"/>
        <v>1.27777777777778</v>
      </c>
      <c r="P8" s="6"/>
      <c r="Q8" s="6"/>
    </row>
    <row r="9" s="21" customFormat="1" ht="20" customHeight="1" spans="1:17">
      <c r="A9" s="27">
        <v>46085</v>
      </c>
      <c r="B9" s="6"/>
      <c r="C9" s="28"/>
      <c r="D9" s="6" t="s">
        <v>246</v>
      </c>
      <c r="E9" s="5" t="s">
        <v>244</v>
      </c>
      <c r="F9" s="6">
        <v>860</v>
      </c>
      <c r="G9" s="5" t="s">
        <v>39</v>
      </c>
      <c r="H9" s="6">
        <f ca="1" t="array" ref="H9">INDEX(成本核算表!J:J,MATCH(1,(成本核算表!D:D=E9)*(成本核算表!C:C=G9),0))</f>
        <v>500</v>
      </c>
      <c r="I9" s="6">
        <v>30</v>
      </c>
      <c r="J9" s="6">
        <f ca="1" t="shared" si="0"/>
        <v>15000</v>
      </c>
      <c r="K9" s="6"/>
      <c r="L9" s="6"/>
      <c r="M9" s="6"/>
      <c r="N9" s="6">
        <f ca="1" t="shared" si="1"/>
        <v>15000</v>
      </c>
      <c r="O9" s="6">
        <f ca="1" t="shared" si="2"/>
        <v>4.16666666666667</v>
      </c>
      <c r="P9" s="6"/>
      <c r="Q9" s="6"/>
    </row>
    <row r="10" s="21" customFormat="1" ht="20" customHeight="1" spans="1:17">
      <c r="A10" s="27">
        <v>46086</v>
      </c>
      <c r="B10" s="6">
        <v>11</v>
      </c>
      <c r="C10" s="28">
        <f ca="1">SUM(O10:O12)/B10</f>
        <v>0.813131313131313</v>
      </c>
      <c r="D10" s="6" t="s">
        <v>246</v>
      </c>
      <c r="E10" s="5" t="s">
        <v>244</v>
      </c>
      <c r="F10" s="6">
        <v>860</v>
      </c>
      <c r="G10" s="5" t="s">
        <v>39</v>
      </c>
      <c r="H10" s="6">
        <f ca="1" t="array" ref="H10">INDEX(成本核算表!J:J,MATCH(1,(成本核算表!D:D=E10)*(成本核算表!C:C=G10),0))</f>
        <v>500</v>
      </c>
      <c r="I10" s="6">
        <v>44</v>
      </c>
      <c r="J10" s="6">
        <f ca="1" t="shared" si="0"/>
        <v>22000</v>
      </c>
      <c r="K10" s="6"/>
      <c r="L10" s="6"/>
      <c r="M10" s="6"/>
      <c r="N10" s="6">
        <f ca="1" t="shared" si="1"/>
        <v>22000</v>
      </c>
      <c r="O10" s="6">
        <f ca="1" t="shared" si="2"/>
        <v>6.11111111111111</v>
      </c>
      <c r="P10" s="6"/>
      <c r="Q10" s="6"/>
    </row>
    <row r="11" s="21" customFormat="1" ht="20" customHeight="1" spans="1:17">
      <c r="A11" s="27">
        <v>46086</v>
      </c>
      <c r="B11" s="6"/>
      <c r="C11" s="28"/>
      <c r="D11" s="6" t="s">
        <v>246</v>
      </c>
      <c r="E11" s="5" t="s">
        <v>244</v>
      </c>
      <c r="F11" s="6">
        <v>860</v>
      </c>
      <c r="G11" s="5" t="s">
        <v>267</v>
      </c>
      <c r="H11" s="6">
        <f ca="1" t="array" ref="H11">INDEX(成本核算表!J:J,MATCH(1,(成本核算表!D:D=E11)*(成本核算表!C:C=G11),0))</f>
        <v>200</v>
      </c>
      <c r="I11" s="6">
        <v>42</v>
      </c>
      <c r="J11" s="6">
        <f ca="1" t="shared" si="0"/>
        <v>8400</v>
      </c>
      <c r="K11" s="6"/>
      <c r="L11" s="6"/>
      <c r="M11" s="6"/>
      <c r="N11" s="6">
        <f ca="1" t="shared" si="1"/>
        <v>8400</v>
      </c>
      <c r="O11" s="6">
        <f ca="1" t="shared" si="2"/>
        <v>2.33333333333333</v>
      </c>
      <c r="P11" s="6"/>
      <c r="Q11" s="6"/>
    </row>
    <row r="12" s="21" customFormat="1" ht="20" customHeight="1" spans="1:17">
      <c r="A12" s="27">
        <v>46086</v>
      </c>
      <c r="B12" s="6"/>
      <c r="C12" s="28"/>
      <c r="D12" s="6" t="s">
        <v>246</v>
      </c>
      <c r="E12" s="5" t="s">
        <v>244</v>
      </c>
      <c r="F12" s="6">
        <v>860</v>
      </c>
      <c r="G12" s="5" t="s">
        <v>268</v>
      </c>
      <c r="H12" s="6">
        <f ca="1" t="array" ref="H12">INDEX(成本核算表!J:J,MATCH(1,(成本核算表!D:D=E12)*(成本核算表!C:C=G12),0))</f>
        <v>450</v>
      </c>
      <c r="I12" s="6">
        <v>4</v>
      </c>
      <c r="J12" s="6">
        <f ca="1" t="shared" si="0"/>
        <v>1800</v>
      </c>
      <c r="K12" s="6"/>
      <c r="L12" s="6"/>
      <c r="M12" s="6"/>
      <c r="N12" s="6">
        <f ca="1" t="shared" si="1"/>
        <v>1800</v>
      </c>
      <c r="O12" s="6">
        <f ca="1" t="shared" si="2"/>
        <v>0.5</v>
      </c>
      <c r="P12" s="6"/>
      <c r="Q12" s="6"/>
    </row>
    <row r="13" s="21" customFormat="1" ht="20" customHeight="1" spans="1:17">
      <c r="A13" s="27">
        <v>46087</v>
      </c>
      <c r="B13" s="6">
        <v>11</v>
      </c>
      <c r="C13" s="28">
        <f ca="1">SUM(O13:O14)/B13</f>
        <v>0.964646464646465</v>
      </c>
      <c r="D13" s="6" t="s">
        <v>246</v>
      </c>
      <c r="E13" s="5" t="s">
        <v>244</v>
      </c>
      <c r="F13" s="6">
        <v>860</v>
      </c>
      <c r="G13" s="5" t="s">
        <v>267</v>
      </c>
      <c r="H13" s="6">
        <f ca="1" t="array" ref="H13">INDEX(成本核算表!J:J,MATCH(1,(成本核算表!D:D=E13)*(成本核算表!C:C=G13),0))</f>
        <v>200</v>
      </c>
      <c r="I13" s="6">
        <f>26+68+52</f>
        <v>146</v>
      </c>
      <c r="J13" s="6">
        <f ca="1" t="shared" si="0"/>
        <v>29200</v>
      </c>
      <c r="K13" s="6"/>
      <c r="L13" s="6"/>
      <c r="M13" s="6"/>
      <c r="N13" s="6">
        <f ca="1" t="shared" si="1"/>
        <v>29200</v>
      </c>
      <c r="O13" s="6">
        <f ca="1" t="shared" si="2"/>
        <v>8.11111111111111</v>
      </c>
      <c r="P13" s="6"/>
      <c r="Q13" s="6"/>
    </row>
    <row r="14" s="21" customFormat="1" ht="20" customHeight="1" spans="1:17">
      <c r="A14" s="27">
        <v>46088</v>
      </c>
      <c r="B14" s="6">
        <v>11</v>
      </c>
      <c r="C14" s="28"/>
      <c r="D14" s="5" t="s">
        <v>80</v>
      </c>
      <c r="E14" s="5" t="s">
        <v>78</v>
      </c>
      <c r="F14" s="6">
        <v>1960</v>
      </c>
      <c r="G14" s="5" t="s">
        <v>132</v>
      </c>
      <c r="H14" s="6">
        <f ca="1" t="array" ref="H14">INDEX(成本核算表!J:J,MATCH(1,(成本核算表!D:D=E14)*(成本核算表!C:C=G14),0))</f>
        <v>30</v>
      </c>
      <c r="I14" s="6">
        <v>300</v>
      </c>
      <c r="J14" s="6">
        <f ca="1" t="shared" si="0"/>
        <v>9000</v>
      </c>
      <c r="K14" s="6"/>
      <c r="L14" s="6"/>
      <c r="M14" s="6"/>
      <c r="N14" s="6">
        <f ca="1" t="shared" si="1"/>
        <v>9000</v>
      </c>
      <c r="O14" s="6">
        <f ca="1" t="shared" si="2"/>
        <v>2.5</v>
      </c>
      <c r="P14" s="6"/>
      <c r="Q14" s="6"/>
    </row>
    <row r="15" s="21" customFormat="1" ht="20" customHeight="1" spans="1:17">
      <c r="A15" s="27">
        <v>46088</v>
      </c>
      <c r="B15" s="6"/>
      <c r="C15" s="28"/>
      <c r="D15" s="5" t="s">
        <v>77</v>
      </c>
      <c r="E15" s="5" t="s">
        <v>78</v>
      </c>
      <c r="F15" s="6">
        <v>1960</v>
      </c>
      <c r="G15" s="5" t="s">
        <v>132</v>
      </c>
      <c r="H15" s="6">
        <f ca="1" t="array" ref="H15">INDEX(成本核算表!J:J,MATCH(1,(成本核算表!D:D=E15)*(成本核算表!C:C=G15),0))</f>
        <v>30</v>
      </c>
      <c r="I15" s="6">
        <v>300</v>
      </c>
      <c r="J15" s="6">
        <f ca="1" t="shared" si="0"/>
        <v>9000</v>
      </c>
      <c r="K15" s="6"/>
      <c r="L15" s="6"/>
      <c r="M15" s="6"/>
      <c r="N15" s="6">
        <f ca="1" t="shared" si="1"/>
        <v>9000</v>
      </c>
      <c r="O15" s="6">
        <f ca="1" t="shared" si="2"/>
        <v>2.5</v>
      </c>
      <c r="P15" s="6"/>
      <c r="Q15" s="6"/>
    </row>
    <row r="16" s="21" customFormat="1" ht="20" customHeight="1" spans="1:17">
      <c r="A16" s="27">
        <v>46089</v>
      </c>
      <c r="B16" s="6">
        <v>9.5</v>
      </c>
      <c r="C16" s="28">
        <f ca="1">SUM(O16:O18)/B16</f>
        <v>0.948245614035088</v>
      </c>
      <c r="D16" s="5" t="s">
        <v>80</v>
      </c>
      <c r="E16" s="5" t="s">
        <v>78</v>
      </c>
      <c r="F16" s="6">
        <v>1960</v>
      </c>
      <c r="G16" s="5" t="s">
        <v>132</v>
      </c>
      <c r="H16" s="6">
        <f ca="1" t="array" ref="H16">INDEX(成本核算表!J:J,MATCH(1,(成本核算表!D:D=E16)*(成本核算表!C:C=G16),0))</f>
        <v>30</v>
      </c>
      <c r="I16" s="6">
        <v>300</v>
      </c>
      <c r="J16" s="6">
        <f ca="1" t="shared" si="0"/>
        <v>9000</v>
      </c>
      <c r="K16" s="6"/>
      <c r="L16" s="6">
        <v>10800</v>
      </c>
      <c r="M16" s="6"/>
      <c r="N16" s="6">
        <f ca="1" t="shared" si="1"/>
        <v>19800</v>
      </c>
      <c r="O16" s="6">
        <f ca="1" t="shared" si="2"/>
        <v>5.5</v>
      </c>
      <c r="P16" s="6"/>
      <c r="Q16" s="6"/>
    </row>
    <row r="17" s="21" customFormat="1" ht="20" customHeight="1" spans="1:17">
      <c r="A17" s="27">
        <v>46089</v>
      </c>
      <c r="B17" s="6"/>
      <c r="C17" s="28"/>
      <c r="D17" s="5" t="s">
        <v>77</v>
      </c>
      <c r="E17" s="5" t="s">
        <v>78</v>
      </c>
      <c r="F17" s="6">
        <v>1960</v>
      </c>
      <c r="G17" s="5" t="s">
        <v>132</v>
      </c>
      <c r="H17" s="6">
        <f ca="1" t="array" ref="H17">INDEX(成本核算表!J:J,MATCH(1,(成本核算表!D:D=E17)*(成本核算表!C:C=G17),0))</f>
        <v>30</v>
      </c>
      <c r="I17" s="6">
        <v>219</v>
      </c>
      <c r="J17" s="6">
        <f ca="1" t="shared" si="0"/>
        <v>6570</v>
      </c>
      <c r="K17" s="6"/>
      <c r="L17" s="6"/>
      <c r="M17" s="6"/>
      <c r="N17" s="6">
        <f ca="1" t="shared" si="1"/>
        <v>6570</v>
      </c>
      <c r="O17" s="6">
        <f ca="1" t="shared" si="2"/>
        <v>1.825</v>
      </c>
      <c r="P17" s="6"/>
      <c r="Q17" s="6"/>
    </row>
    <row r="18" s="21" customFormat="1" ht="20" customHeight="1" spans="1:17">
      <c r="A18" s="27">
        <v>46089</v>
      </c>
      <c r="B18" s="6"/>
      <c r="C18" s="28"/>
      <c r="D18" s="5" t="s">
        <v>84</v>
      </c>
      <c r="E18" s="5" t="s">
        <v>78</v>
      </c>
      <c r="F18" s="6">
        <v>780</v>
      </c>
      <c r="G18" s="5" t="s">
        <v>132</v>
      </c>
      <c r="H18" s="6">
        <f ca="1" t="array" ref="H18">INDEX(成本核算表!J:J,MATCH(1,(成本核算表!D:D=E18)*(成本核算表!C:C=G18),0))</f>
        <v>30</v>
      </c>
      <c r="I18" s="6">
        <v>202</v>
      </c>
      <c r="J18" s="6">
        <f ca="1" t="shared" si="0"/>
        <v>6060</v>
      </c>
      <c r="K18" s="6"/>
      <c r="L18" s="6"/>
      <c r="M18" s="6"/>
      <c r="N18" s="6">
        <f ca="1" t="shared" si="1"/>
        <v>6060</v>
      </c>
      <c r="O18" s="6">
        <f ca="1" t="shared" si="2"/>
        <v>1.68333333333333</v>
      </c>
      <c r="P18" s="6"/>
      <c r="Q18" s="6"/>
    </row>
    <row r="19" s="21" customFormat="1" ht="20" customHeight="1" spans="1:17">
      <c r="A19" s="15">
        <v>46090</v>
      </c>
      <c r="B19" s="6">
        <v>11</v>
      </c>
      <c r="C19" s="28">
        <f ca="1">SUM(O19:O20)/B19</f>
        <v>0.992929292929293</v>
      </c>
      <c r="D19" s="5" t="s">
        <v>77</v>
      </c>
      <c r="E19" s="5" t="s">
        <v>78</v>
      </c>
      <c r="F19" s="6">
        <v>1960</v>
      </c>
      <c r="G19" s="5" t="s">
        <v>132</v>
      </c>
      <c r="H19" s="6">
        <f ca="1" t="array" ref="H19">INDEX(成本核算表!J:J,MATCH(1,(成本核算表!D:D=E19)*(成本核算表!C:C=G19),0))</f>
        <v>30</v>
      </c>
      <c r="I19" s="6">
        <v>264</v>
      </c>
      <c r="J19" s="6">
        <f ca="1" t="shared" si="0"/>
        <v>7920</v>
      </c>
      <c r="K19" s="6"/>
      <c r="L19" s="6">
        <v>14400</v>
      </c>
      <c r="M19" s="6"/>
      <c r="N19" s="6">
        <f ca="1" t="shared" si="1"/>
        <v>22320</v>
      </c>
      <c r="O19" s="6">
        <f ca="1" t="shared" si="2"/>
        <v>6.2</v>
      </c>
      <c r="P19" s="6"/>
      <c r="Q19" s="5" t="s">
        <v>133</v>
      </c>
    </row>
    <row r="20" s="21" customFormat="1" ht="20" customHeight="1" spans="1:17">
      <c r="A20" s="15">
        <v>46090</v>
      </c>
      <c r="B20" s="6"/>
      <c r="C20" s="28"/>
      <c r="D20" s="6" t="s">
        <v>246</v>
      </c>
      <c r="E20" s="5" t="s">
        <v>244</v>
      </c>
      <c r="F20" s="6">
        <v>860</v>
      </c>
      <c r="G20" s="5" t="s">
        <v>267</v>
      </c>
      <c r="H20" s="6">
        <f ca="1" t="array" ref="H20">INDEX(成本核算表!J:J,MATCH(1,(成本核算表!D:D=E20)*(成本核算表!C:C=G20),0))</f>
        <v>200</v>
      </c>
      <c r="I20" s="6">
        <v>85</v>
      </c>
      <c r="J20" s="6">
        <f ca="1" t="shared" si="0"/>
        <v>17000</v>
      </c>
      <c r="K20" s="6"/>
      <c r="L20" s="6"/>
      <c r="M20" s="6"/>
      <c r="N20" s="6">
        <f ca="1" t="shared" si="1"/>
        <v>17000</v>
      </c>
      <c r="O20" s="6">
        <f ca="1" t="shared" si="2"/>
        <v>4.72222222222222</v>
      </c>
      <c r="P20" s="6"/>
      <c r="Q20" s="6"/>
    </row>
    <row r="21" s="21" customFormat="1" ht="20" customHeight="1" spans="1:17">
      <c r="A21" s="27">
        <v>46091</v>
      </c>
      <c r="B21" s="6">
        <v>11</v>
      </c>
      <c r="C21" s="28">
        <f ca="1">SUM(O21:O23)/B21</f>
        <v>0.656565656565657</v>
      </c>
      <c r="D21" s="6" t="s">
        <v>246</v>
      </c>
      <c r="E21" s="5" t="s">
        <v>244</v>
      </c>
      <c r="F21" s="6">
        <v>1060</v>
      </c>
      <c r="G21" s="5" t="s">
        <v>267</v>
      </c>
      <c r="H21" s="6">
        <f ca="1" t="array" ref="H21">INDEX(成本核算表!J:J,MATCH(1,(成本核算表!D:D=E21)*(成本核算表!C:C=G21),0))</f>
        <v>200</v>
      </c>
      <c r="I21" s="6">
        <v>80</v>
      </c>
      <c r="J21" s="6">
        <f ca="1" t="shared" si="0"/>
        <v>16000</v>
      </c>
      <c r="K21" s="6"/>
      <c r="L21" s="6"/>
      <c r="M21" s="6"/>
      <c r="N21" s="6">
        <f ca="1" t="shared" si="1"/>
        <v>16000</v>
      </c>
      <c r="O21" s="6">
        <f ca="1" t="shared" si="2"/>
        <v>4.44444444444444</v>
      </c>
      <c r="P21" s="6"/>
      <c r="Q21" s="6"/>
    </row>
    <row r="22" s="21" customFormat="1" ht="20" customHeight="1" spans="1:17">
      <c r="A22" s="27">
        <v>46091</v>
      </c>
      <c r="B22" s="6"/>
      <c r="C22" s="28"/>
      <c r="D22" s="6" t="s">
        <v>246</v>
      </c>
      <c r="E22" s="5" t="s">
        <v>244</v>
      </c>
      <c r="F22" s="6">
        <v>1060</v>
      </c>
      <c r="G22" s="5" t="s">
        <v>39</v>
      </c>
      <c r="H22" s="6">
        <f ca="1" t="array" ref="H22">INDEX(成本核算表!J:J,MATCH(1,(成本核算表!D:D=E22)*(成本核算表!C:C=G22),0))</f>
        <v>500</v>
      </c>
      <c r="I22" s="6">
        <v>17</v>
      </c>
      <c r="J22" s="6">
        <f ca="1" t="shared" si="0"/>
        <v>8500</v>
      </c>
      <c r="K22" s="6"/>
      <c r="L22" s="6"/>
      <c r="M22" s="6"/>
      <c r="N22" s="6">
        <f ca="1" t="shared" si="1"/>
        <v>8500</v>
      </c>
      <c r="O22" s="6">
        <f ca="1" t="shared" si="2"/>
        <v>2.36111111111111</v>
      </c>
      <c r="P22" s="6"/>
      <c r="Q22" s="6"/>
    </row>
    <row r="23" s="21" customFormat="1" ht="20" customHeight="1" spans="1:17">
      <c r="A23" s="27">
        <v>46091</v>
      </c>
      <c r="B23" s="6"/>
      <c r="C23" s="28"/>
      <c r="D23" s="6"/>
      <c r="E23" s="5" t="s">
        <v>38</v>
      </c>
      <c r="F23" s="6"/>
      <c r="G23" s="5" t="s">
        <v>22</v>
      </c>
      <c r="H23" s="6">
        <f ca="1" t="array" ref="H23">INDEX(成本核算表!J:J,MATCH(1,(成本核算表!D:D=E23)*(成本核算表!C:C=G23),0))</f>
        <v>150</v>
      </c>
      <c r="I23" s="6">
        <v>10</v>
      </c>
      <c r="J23" s="6">
        <f ca="1" t="shared" si="0"/>
        <v>1500</v>
      </c>
      <c r="K23" s="6"/>
      <c r="L23" s="6"/>
      <c r="M23" s="6"/>
      <c r="N23" s="6">
        <f ca="1" t="shared" si="1"/>
        <v>1500</v>
      </c>
      <c r="O23" s="6">
        <f ca="1" t="shared" si="2"/>
        <v>0.416666666666667</v>
      </c>
      <c r="P23" s="6"/>
      <c r="Q23" s="6"/>
    </row>
    <row r="24" s="21" customFormat="1" ht="20" customHeight="1" spans="1:17">
      <c r="A24" s="27">
        <v>46092</v>
      </c>
      <c r="B24" s="6">
        <v>11</v>
      </c>
      <c r="C24" s="29">
        <f ca="1" t="shared" ref="C24:C27" si="3">O24/B24</f>
        <v>0.775252525252525</v>
      </c>
      <c r="D24" s="5" t="s">
        <v>203</v>
      </c>
      <c r="E24" s="6" t="s">
        <v>55</v>
      </c>
      <c r="F24" s="6">
        <v>950</v>
      </c>
      <c r="G24" s="5" t="s">
        <v>126</v>
      </c>
      <c r="H24" s="6">
        <f ca="1" t="array" ref="H24">INDEX(成本核算表!J:J,MATCH(1,(成本核算表!D:D=E24)*(成本核算表!C:C=G24),0))</f>
        <v>20</v>
      </c>
      <c r="I24" s="6">
        <f>900+635</f>
        <v>1535</v>
      </c>
      <c r="J24" s="6">
        <f ca="1" t="shared" si="0"/>
        <v>30700</v>
      </c>
      <c r="K24" s="6"/>
      <c r="L24" s="6"/>
      <c r="M24" s="6">
        <f ca="1">K24*H24</f>
        <v>0</v>
      </c>
      <c r="N24" s="6">
        <f ca="1" t="shared" si="1"/>
        <v>30700</v>
      </c>
      <c r="O24" s="6">
        <f ca="1" t="shared" si="2"/>
        <v>8.52777777777778</v>
      </c>
      <c r="P24" s="6"/>
      <c r="Q24" s="6"/>
    </row>
    <row r="25" s="21" customFormat="1" ht="20" customHeight="1" spans="1:17">
      <c r="A25" s="27">
        <v>46093</v>
      </c>
      <c r="B25" s="6">
        <v>11</v>
      </c>
      <c r="C25" s="29">
        <f ca="1" t="shared" si="3"/>
        <v>0.944444444444445</v>
      </c>
      <c r="D25" s="5" t="s">
        <v>203</v>
      </c>
      <c r="E25" s="6" t="s">
        <v>55</v>
      </c>
      <c r="F25" s="6">
        <v>950</v>
      </c>
      <c r="G25" s="5" t="s">
        <v>126</v>
      </c>
      <c r="H25" s="6">
        <f ca="1" t="array" ref="H25">INDEX(成本核算表!J:J,MATCH(1,(成本核算表!D:D=E25)*(成本核算表!C:C=G25),0))</f>
        <v>20</v>
      </c>
      <c r="I25" s="6">
        <f>265+900+680+25</f>
        <v>1870</v>
      </c>
      <c r="J25" s="6">
        <f ca="1" t="shared" si="0"/>
        <v>37400</v>
      </c>
      <c r="K25" s="6"/>
      <c r="L25" s="6"/>
      <c r="M25" s="6"/>
      <c r="N25" s="6">
        <f ca="1" t="shared" si="1"/>
        <v>37400</v>
      </c>
      <c r="O25" s="6">
        <f ca="1" t="shared" si="2"/>
        <v>10.3888888888889</v>
      </c>
      <c r="P25" s="6"/>
      <c r="Q25" s="6"/>
    </row>
    <row r="26" s="21" customFormat="1" ht="20" customHeight="1" spans="1:17">
      <c r="A26" s="27">
        <v>46094</v>
      </c>
      <c r="B26" s="6">
        <v>11</v>
      </c>
      <c r="C26" s="29">
        <f ca="1" t="shared" si="3"/>
        <v>0.938383838383838</v>
      </c>
      <c r="D26" s="6"/>
      <c r="E26" s="6" t="s">
        <v>55</v>
      </c>
      <c r="F26" s="5" t="s">
        <v>209</v>
      </c>
      <c r="G26" s="5" t="s">
        <v>126</v>
      </c>
      <c r="H26" s="6">
        <f ca="1" t="array" ref="H26">INDEX(成本核算表!J:J,MATCH(1,(成本核算表!D:D=E26)*(成本核算表!C:C=G26),0))</f>
        <v>20</v>
      </c>
      <c r="I26" s="6">
        <f>135+442+605+230+320+126</f>
        <v>1858</v>
      </c>
      <c r="J26" s="6">
        <f ca="1" t="shared" si="0"/>
        <v>37160</v>
      </c>
      <c r="K26" s="6"/>
      <c r="L26" s="6"/>
      <c r="M26" s="6">
        <f ca="1">K26*H26</f>
        <v>0</v>
      </c>
      <c r="N26" s="6">
        <f ca="1" t="shared" si="1"/>
        <v>37160</v>
      </c>
      <c r="O26" s="6">
        <f ca="1" t="shared" si="2"/>
        <v>10.3222222222222</v>
      </c>
      <c r="P26" s="6"/>
      <c r="Q26" s="6"/>
    </row>
    <row r="27" s="21" customFormat="1" ht="20" customHeight="1" spans="1:17">
      <c r="A27" s="27">
        <v>46095</v>
      </c>
      <c r="B27" s="6">
        <v>11</v>
      </c>
      <c r="C27" s="29">
        <f ca="1" t="shared" si="3"/>
        <v>0.775757575757576</v>
      </c>
      <c r="D27" s="6"/>
      <c r="E27" s="5" t="s">
        <v>34</v>
      </c>
      <c r="F27" s="6"/>
      <c r="G27" s="5" t="s">
        <v>126</v>
      </c>
      <c r="H27" s="6">
        <f ca="1" t="array" ref="H27">INDEX(成本核算表!J:J,MATCH(1,(成本核算表!D:D=E27)*(成本核算表!C:C=G27),0))</f>
        <v>120</v>
      </c>
      <c r="I27" s="6">
        <f>56+49+63+41+12+9+26</f>
        <v>256</v>
      </c>
      <c r="J27" s="6">
        <f ca="1" t="shared" si="0"/>
        <v>30720</v>
      </c>
      <c r="K27" s="6"/>
      <c r="L27" s="6"/>
      <c r="M27" s="6"/>
      <c r="N27" s="6">
        <f ca="1" t="shared" si="1"/>
        <v>30720</v>
      </c>
      <c r="O27" s="6">
        <f ca="1" t="shared" si="2"/>
        <v>8.53333333333333</v>
      </c>
      <c r="P27" s="6"/>
      <c r="Q27" s="6"/>
    </row>
    <row r="28" s="21" customFormat="1" ht="20" customHeight="1" spans="1:17">
      <c r="A28" s="27">
        <v>46096</v>
      </c>
      <c r="B28" s="6">
        <v>9.5</v>
      </c>
      <c r="C28" s="28">
        <f ca="1">SUM(O28:O30)/B28</f>
        <v>0.720760233918129</v>
      </c>
      <c r="D28" s="5" t="s">
        <v>106</v>
      </c>
      <c r="E28" s="5" t="s">
        <v>34</v>
      </c>
      <c r="F28" s="6"/>
      <c r="G28" s="5" t="s">
        <v>126</v>
      </c>
      <c r="H28" s="6">
        <f ca="1" t="array" ref="H28">INDEX(成本核算表!J:J,MATCH(1,(成本核算表!D:D=E28)*(成本核算表!C:C=G28),0))</f>
        <v>120</v>
      </c>
      <c r="I28" s="6">
        <f>19+22+6</f>
        <v>47</v>
      </c>
      <c r="J28" s="6">
        <f ca="1" t="shared" si="0"/>
        <v>5640</v>
      </c>
      <c r="K28" s="6"/>
      <c r="L28" s="6"/>
      <c r="M28" s="6"/>
      <c r="N28" s="6">
        <f ca="1" t="shared" si="1"/>
        <v>5640</v>
      </c>
      <c r="O28" s="6">
        <f ca="1" t="shared" si="2"/>
        <v>1.56666666666667</v>
      </c>
      <c r="P28" s="6"/>
      <c r="Q28" s="6"/>
    </row>
    <row r="29" s="21" customFormat="1" ht="20" customHeight="1" spans="1:17">
      <c r="A29" s="27">
        <v>46096</v>
      </c>
      <c r="B29" s="6"/>
      <c r="C29" s="28"/>
      <c r="D29" s="5" t="s">
        <v>106</v>
      </c>
      <c r="E29" s="5" t="s">
        <v>32</v>
      </c>
      <c r="F29" s="6"/>
      <c r="G29" s="5" t="s">
        <v>33</v>
      </c>
      <c r="H29" s="6">
        <f ca="1" t="array" ref="H29">INDEX(成本核算表!J:J,MATCH(1,(成本核算表!D:D=E29)*(成本核算表!C:C=G29),0))</f>
        <v>100</v>
      </c>
      <c r="I29" s="6">
        <f>19+6+17+22+16+13+8+6</f>
        <v>107</v>
      </c>
      <c r="J29" s="6">
        <f ca="1" t="shared" si="0"/>
        <v>10700</v>
      </c>
      <c r="K29" s="6"/>
      <c r="L29" s="6"/>
      <c r="M29" s="6"/>
      <c r="N29" s="6">
        <f ca="1" t="shared" si="1"/>
        <v>10700</v>
      </c>
      <c r="O29" s="6">
        <f ca="1" t="shared" si="2"/>
        <v>2.97222222222222</v>
      </c>
      <c r="P29" s="6"/>
      <c r="Q29" s="6"/>
    </row>
    <row r="30" s="21" customFormat="1" ht="20" customHeight="1" spans="1:17">
      <c r="A30" s="27">
        <v>46096</v>
      </c>
      <c r="B30" s="6"/>
      <c r="C30" s="28"/>
      <c r="D30" s="5" t="s">
        <v>106</v>
      </c>
      <c r="E30" s="5" t="s">
        <v>220</v>
      </c>
      <c r="F30" s="6"/>
      <c r="G30" s="5" t="s">
        <v>44</v>
      </c>
      <c r="H30" s="6">
        <f ca="1" t="array" ref="H30">INDEX(成本核算表!J:J,MATCH(1,(成本核算表!D:D=E30)*(成本核算表!C:C=G30),0))</f>
        <v>30</v>
      </c>
      <c r="I30" s="6">
        <v>277</v>
      </c>
      <c r="J30" s="6">
        <f ca="1" t="shared" si="0"/>
        <v>8310</v>
      </c>
      <c r="K30" s="6"/>
      <c r="L30" s="6"/>
      <c r="M30" s="6"/>
      <c r="N30" s="6">
        <f ca="1" t="shared" si="1"/>
        <v>8310</v>
      </c>
      <c r="O30" s="6">
        <f ca="1" t="shared" si="2"/>
        <v>2.30833333333333</v>
      </c>
      <c r="P30" s="6"/>
      <c r="Q30" s="6"/>
    </row>
    <row r="31" s="21" customFormat="1" ht="20" customHeight="1" spans="1:17">
      <c r="A31" s="27">
        <v>46097</v>
      </c>
      <c r="B31" s="6">
        <v>12</v>
      </c>
      <c r="C31" s="28">
        <f ca="1">SUM(O31:O34)/B31</f>
        <v>0.66712962962963</v>
      </c>
      <c r="D31" s="5" t="s">
        <v>106</v>
      </c>
      <c r="E31" s="5" t="s">
        <v>32</v>
      </c>
      <c r="F31" s="6"/>
      <c r="G31" s="5" t="s">
        <v>33</v>
      </c>
      <c r="H31" s="6">
        <f ca="1" t="array" ref="H31">INDEX(成本核算表!J:J,MATCH(1,(成本核算表!D:D=E31)*(成本核算表!C:C=G31),0))</f>
        <v>100</v>
      </c>
      <c r="I31" s="6">
        <f>26+18+15+22+8+6</f>
        <v>95</v>
      </c>
      <c r="J31" s="6">
        <f ca="1" t="shared" si="0"/>
        <v>9500</v>
      </c>
      <c r="K31" s="6"/>
      <c r="L31" s="6"/>
      <c r="M31" s="6"/>
      <c r="N31" s="6">
        <f ca="1" t="shared" si="1"/>
        <v>9500</v>
      </c>
      <c r="O31" s="6">
        <f ca="1" t="shared" si="2"/>
        <v>2.63888888888889</v>
      </c>
      <c r="P31" s="6"/>
      <c r="Q31" s="6"/>
    </row>
    <row r="32" s="21" customFormat="1" ht="20" customHeight="1" spans="1:17">
      <c r="A32" s="27">
        <v>46097</v>
      </c>
      <c r="B32" s="6"/>
      <c r="C32" s="28"/>
      <c r="D32" s="5" t="s">
        <v>106</v>
      </c>
      <c r="E32" s="5" t="s">
        <v>219</v>
      </c>
      <c r="F32" s="6"/>
      <c r="G32" s="5" t="s">
        <v>24</v>
      </c>
      <c r="H32" s="6">
        <f ca="1" t="array" ref="H32">INDEX(成本核算表!J:J,MATCH(1,(成本核算表!D:D=E32)*(成本核算表!C:C=G32),0))</f>
        <v>260</v>
      </c>
      <c r="I32" s="6">
        <f>14+10</f>
        <v>24</v>
      </c>
      <c r="J32" s="6">
        <f ca="1" t="shared" si="0"/>
        <v>6240</v>
      </c>
      <c r="K32" s="6"/>
      <c r="L32" s="6"/>
      <c r="M32" s="6"/>
      <c r="N32" s="6">
        <f ca="1" t="shared" si="1"/>
        <v>6240</v>
      </c>
      <c r="O32" s="6">
        <f ca="1" t="shared" si="2"/>
        <v>1.73333333333333</v>
      </c>
      <c r="P32" s="6"/>
      <c r="Q32" s="6"/>
    </row>
    <row r="33" s="21" customFormat="1" ht="20" customHeight="1" spans="1:17">
      <c r="A33" s="27">
        <v>46097</v>
      </c>
      <c r="B33" s="6"/>
      <c r="C33" s="28"/>
      <c r="D33" s="5" t="s">
        <v>106</v>
      </c>
      <c r="E33" s="5" t="s">
        <v>220</v>
      </c>
      <c r="F33" s="6"/>
      <c r="G33" s="5" t="s">
        <v>44</v>
      </c>
      <c r="H33" s="6">
        <f ca="1" t="array" ref="H33">INDEX(成本核算表!J:J,MATCH(1,(成本核算表!D:D=E33)*(成本核算表!C:C=G33),0))</f>
        <v>30</v>
      </c>
      <c r="I33" s="6">
        <v>164</v>
      </c>
      <c r="J33" s="6">
        <f ca="1" t="shared" si="0"/>
        <v>4920</v>
      </c>
      <c r="K33" s="6"/>
      <c r="L33" s="6"/>
      <c r="M33" s="6"/>
      <c r="N33" s="6">
        <f ca="1" t="shared" si="1"/>
        <v>4920</v>
      </c>
      <c r="O33" s="6">
        <f ca="1" t="shared" si="2"/>
        <v>1.36666666666667</v>
      </c>
      <c r="P33" s="6"/>
      <c r="Q33" s="6"/>
    </row>
    <row r="34" s="21" customFormat="1" ht="20" customHeight="1" spans="1:17">
      <c r="A34" s="27">
        <v>46097</v>
      </c>
      <c r="B34" s="6"/>
      <c r="C34" s="28"/>
      <c r="D34" s="5" t="s">
        <v>35</v>
      </c>
      <c r="E34" s="5" t="s">
        <v>36</v>
      </c>
      <c r="F34" s="6">
        <v>119.5</v>
      </c>
      <c r="G34" s="5" t="s">
        <v>37</v>
      </c>
      <c r="H34" s="6">
        <f ca="1" t="array" ref="H34">INDEX(成本核算表!J:J,MATCH(1,(成本核算表!D:D=E34)*(成本核算表!C:C=G34),0))</f>
        <v>15</v>
      </c>
      <c r="I34" s="6">
        <v>544</v>
      </c>
      <c r="J34" s="6">
        <f ca="1" t="shared" si="0"/>
        <v>8160</v>
      </c>
      <c r="K34" s="6"/>
      <c r="L34" s="6"/>
      <c r="M34" s="6"/>
      <c r="N34" s="6">
        <f ca="1" t="shared" si="1"/>
        <v>8160</v>
      </c>
      <c r="O34" s="6">
        <f ca="1" t="shared" si="2"/>
        <v>2.26666666666667</v>
      </c>
      <c r="P34" s="6"/>
      <c r="Q34" s="6"/>
    </row>
    <row r="35" s="21" customFormat="1" ht="20" customHeight="1" spans="1:17">
      <c r="A35" s="27">
        <v>46098</v>
      </c>
      <c r="B35" s="6">
        <v>12</v>
      </c>
      <c r="C35" s="28">
        <f ca="1" t="shared" ref="C35:C39" si="4">SUM(O35:O36)/B35</f>
        <v>0.902777777777778</v>
      </c>
      <c r="D35" s="5" t="s">
        <v>80</v>
      </c>
      <c r="E35" s="5" t="s">
        <v>78</v>
      </c>
      <c r="F35" s="6">
        <v>1960</v>
      </c>
      <c r="G35" s="5" t="s">
        <v>132</v>
      </c>
      <c r="H35" s="6">
        <f ca="1" t="array" ref="H35">INDEX(成本核算表!J:J,MATCH(1,(成本核算表!D:D=E35)*(成本核算表!C:C=G35),0))</f>
        <v>30</v>
      </c>
      <c r="I35" s="6">
        <v>500</v>
      </c>
      <c r="J35" s="6">
        <f ca="1" t="shared" si="0"/>
        <v>15000</v>
      </c>
      <c r="K35" s="6"/>
      <c r="L35" s="6">
        <v>14400</v>
      </c>
      <c r="M35" s="6"/>
      <c r="N35" s="6">
        <f ca="1" t="shared" si="1"/>
        <v>29400</v>
      </c>
      <c r="O35" s="6">
        <f ca="1" t="shared" si="2"/>
        <v>8.16666666666667</v>
      </c>
      <c r="P35" s="6"/>
      <c r="Q35" s="5" t="s">
        <v>133</v>
      </c>
    </row>
    <row r="36" s="21" customFormat="1" ht="20" customHeight="1" spans="1:17">
      <c r="A36" s="27">
        <v>46098</v>
      </c>
      <c r="B36" s="6"/>
      <c r="C36" s="28"/>
      <c r="D36" s="5" t="s">
        <v>77</v>
      </c>
      <c r="E36" s="5" t="s">
        <v>78</v>
      </c>
      <c r="F36" s="6">
        <v>1960</v>
      </c>
      <c r="G36" s="5" t="s">
        <v>132</v>
      </c>
      <c r="H36" s="6">
        <f ca="1" t="array" ref="H36">INDEX(成本核算表!J:J,MATCH(1,(成本核算表!D:D=E36)*(成本核算表!C:C=G36),0))</f>
        <v>30</v>
      </c>
      <c r="I36" s="6">
        <v>320</v>
      </c>
      <c r="J36" s="6">
        <f ca="1" t="shared" si="0"/>
        <v>9600</v>
      </c>
      <c r="K36" s="6"/>
      <c r="L36" s="6"/>
      <c r="M36" s="6"/>
      <c r="N36" s="6">
        <f ca="1" t="shared" si="1"/>
        <v>9600</v>
      </c>
      <c r="O36" s="6">
        <f ca="1" t="shared" si="2"/>
        <v>2.66666666666667</v>
      </c>
      <c r="P36" s="6"/>
      <c r="Q36" s="6"/>
    </row>
    <row r="37" s="21" customFormat="1" ht="20" customHeight="1" spans="1:17">
      <c r="A37" s="27">
        <v>46099</v>
      </c>
      <c r="B37" s="6">
        <v>12</v>
      </c>
      <c r="C37" s="28">
        <f ca="1" t="shared" si="4"/>
        <v>0.586805555555555</v>
      </c>
      <c r="D37" s="5" t="s">
        <v>83</v>
      </c>
      <c r="E37" s="5" t="s">
        <v>78</v>
      </c>
      <c r="F37" s="6">
        <v>780</v>
      </c>
      <c r="G37" s="5" t="s">
        <v>132</v>
      </c>
      <c r="H37" s="6">
        <f ca="1" t="array" ref="H37">INDEX(成本核算表!J:J,MATCH(1,(成本核算表!D:D=E37)*(成本核算表!C:C=G37),0))</f>
        <v>30</v>
      </c>
      <c r="I37" s="6">
        <v>505</v>
      </c>
      <c r="J37" s="6">
        <f ca="1" t="shared" si="0"/>
        <v>15150</v>
      </c>
      <c r="K37" s="6"/>
      <c r="L37" s="6">
        <v>7200</v>
      </c>
      <c r="M37" s="6"/>
      <c r="N37" s="6">
        <f ca="1" t="shared" si="1"/>
        <v>22350</v>
      </c>
      <c r="O37" s="6">
        <f ca="1" t="shared" si="2"/>
        <v>6.20833333333333</v>
      </c>
      <c r="P37" s="6"/>
      <c r="Q37" s="6"/>
    </row>
    <row r="38" s="21" customFormat="1" ht="20" customHeight="1" spans="1:17">
      <c r="A38" s="27">
        <v>46099</v>
      </c>
      <c r="B38" s="6"/>
      <c r="C38" s="28"/>
      <c r="D38" s="5" t="s">
        <v>35</v>
      </c>
      <c r="E38" s="5" t="s">
        <v>36</v>
      </c>
      <c r="F38" s="6">
        <v>119.5</v>
      </c>
      <c r="G38" s="5" t="s">
        <v>37</v>
      </c>
      <c r="H38" s="6">
        <f ca="1" t="array" ref="H38">INDEX(成本核算表!J:J,MATCH(1,(成本核算表!D:D=E38)*(成本核算表!C:C=G38),0))</f>
        <v>15</v>
      </c>
      <c r="I38" s="6">
        <v>200</v>
      </c>
      <c r="J38" s="6">
        <f ca="1" t="shared" si="0"/>
        <v>3000</v>
      </c>
      <c r="K38" s="6"/>
      <c r="L38" s="6"/>
      <c r="M38" s="6"/>
      <c r="N38" s="6">
        <f ca="1" t="shared" si="1"/>
        <v>3000</v>
      </c>
      <c r="O38" s="6">
        <f ca="1" t="shared" si="2"/>
        <v>0.833333333333333</v>
      </c>
      <c r="P38" s="6"/>
      <c r="Q38" s="6"/>
    </row>
    <row r="39" s="21" customFormat="1" ht="20" customHeight="1" spans="1:17">
      <c r="A39" s="27">
        <v>46100</v>
      </c>
      <c r="B39" s="6">
        <v>12</v>
      </c>
      <c r="C39" s="28">
        <f ca="1">SUM(O39)/B39</f>
        <v>0.561111111111111</v>
      </c>
      <c r="D39" s="5" t="s">
        <v>35</v>
      </c>
      <c r="E39" s="5" t="s">
        <v>36</v>
      </c>
      <c r="F39" s="6">
        <v>119.5</v>
      </c>
      <c r="G39" s="5" t="s">
        <v>37</v>
      </c>
      <c r="H39" s="6">
        <f ca="1" t="array" ref="H39">INDEX(成本核算表!J:J,MATCH(1,(成本核算表!D:D=E39)*(成本核算表!C:C=G39),0))</f>
        <v>15</v>
      </c>
      <c r="I39" s="6">
        <v>1616</v>
      </c>
      <c r="J39" s="6">
        <f ca="1" t="shared" si="0"/>
        <v>24240</v>
      </c>
      <c r="K39" s="6"/>
      <c r="L39" s="6"/>
      <c r="M39" s="6"/>
      <c r="N39" s="6">
        <f ca="1" t="shared" si="1"/>
        <v>24240</v>
      </c>
      <c r="O39" s="6">
        <f ca="1" t="shared" si="2"/>
        <v>6.73333333333333</v>
      </c>
      <c r="P39" s="6"/>
      <c r="Q39" s="6"/>
    </row>
    <row r="40" s="21" customFormat="1" ht="20" customHeight="1" spans="1:17">
      <c r="A40" s="27">
        <v>46101</v>
      </c>
      <c r="B40" s="6">
        <v>12</v>
      </c>
      <c r="C40" s="28">
        <f ca="1">SUM(O40)/B40</f>
        <v>0.608333333333333</v>
      </c>
      <c r="D40" s="5" t="s">
        <v>35</v>
      </c>
      <c r="E40" s="5" t="s">
        <v>36</v>
      </c>
      <c r="F40" s="6">
        <v>119.5</v>
      </c>
      <c r="G40" s="5" t="s">
        <v>37</v>
      </c>
      <c r="H40" s="6">
        <f ca="1" t="array" ref="H40">INDEX(成本核算表!J:J,MATCH(1,(成本核算表!D:D=E40)*(成本核算表!C:C=G40),0))</f>
        <v>15</v>
      </c>
      <c r="I40" s="6">
        <v>1752</v>
      </c>
      <c r="J40" s="6">
        <f ca="1" t="shared" si="0"/>
        <v>26280</v>
      </c>
      <c r="K40" s="6"/>
      <c r="L40" s="6"/>
      <c r="M40" s="6"/>
      <c r="N40" s="6">
        <f ca="1" t="shared" si="1"/>
        <v>26280</v>
      </c>
      <c r="O40" s="6">
        <f ca="1" t="shared" si="2"/>
        <v>7.3</v>
      </c>
      <c r="P40" s="6"/>
      <c r="Q40" s="6"/>
    </row>
    <row r="41" s="21" customFormat="1" ht="20" customHeight="1" spans="1:17">
      <c r="A41" s="6"/>
      <c r="B41" s="6"/>
      <c r="C41" s="28"/>
      <c r="D41" s="6"/>
      <c r="E41" s="6"/>
      <c r="F41" s="6"/>
      <c r="G41" s="6"/>
      <c r="H41" s="6">
        <f ca="1" t="array" ref="H41">INDEX(成本核算表!J:J,MATCH(1,(成本核算表!D:D=E41)*(成本核算表!C:C=G41),0))</f>
        <v>0</v>
      </c>
      <c r="I41" s="6"/>
      <c r="J41" s="6">
        <f ca="1" t="shared" si="0"/>
        <v>0</v>
      </c>
      <c r="K41" s="6"/>
      <c r="L41" s="6"/>
      <c r="M41" s="6"/>
      <c r="N41" s="6">
        <f ca="1" t="shared" si="1"/>
        <v>0</v>
      </c>
      <c r="O41" s="6">
        <f ca="1" t="shared" si="2"/>
        <v>0</v>
      </c>
      <c r="P41" s="6"/>
      <c r="Q41" s="6"/>
    </row>
    <row r="42" s="21" customFormat="1" ht="20" customHeight="1" spans="1:17">
      <c r="A42" s="22"/>
      <c r="B42" s="23"/>
      <c r="C42" s="24"/>
      <c r="D42" s="23"/>
      <c r="E42" s="23"/>
      <c r="F42" s="23"/>
      <c r="G42" s="23"/>
      <c r="H42" s="6">
        <f ca="1" t="array" ref="H42">INDEX(成本核算表!J:J,MATCH(1,(成本核算表!D:D=E42)*(成本核算表!C:C=G42),0))</f>
        <v>0</v>
      </c>
      <c r="I42" s="6"/>
      <c r="J42" s="6">
        <f ca="1" t="shared" si="0"/>
        <v>0</v>
      </c>
      <c r="K42" s="23"/>
      <c r="L42" s="23"/>
      <c r="N42" s="6">
        <f ca="1" t="shared" si="1"/>
        <v>0</v>
      </c>
      <c r="O42" s="6">
        <f ca="1" t="shared" si="2"/>
        <v>0</v>
      </c>
    </row>
    <row r="43" s="21" customFormat="1" ht="20" customHeight="1" spans="1:17">
      <c r="A43" s="22"/>
      <c r="B43" s="23"/>
      <c r="C43" s="24"/>
      <c r="D43" s="23"/>
      <c r="E43" s="23"/>
      <c r="F43" s="23"/>
      <c r="G43" s="23"/>
      <c r="H43" s="6">
        <f ca="1" t="array" ref="H43">INDEX(成本核算表!J:J,MATCH(1,(成本核算表!D:D=E43)*(成本核算表!C:C=G43),0))</f>
        <v>0</v>
      </c>
      <c r="I43" s="6"/>
      <c r="J43" s="6">
        <f ca="1" t="shared" si="0"/>
        <v>0</v>
      </c>
      <c r="K43" s="23"/>
      <c r="L43" s="23"/>
      <c r="N43" s="6">
        <f ca="1" t="shared" si="1"/>
        <v>0</v>
      </c>
      <c r="O43" s="6">
        <f ca="1" t="shared" si="2"/>
        <v>0</v>
      </c>
    </row>
    <row r="44" s="21" customFormat="1" ht="20" customHeight="1" spans="1:17">
      <c r="A44" s="22"/>
      <c r="B44" s="23"/>
      <c r="C44" s="24"/>
      <c r="D44" s="23"/>
      <c r="E44" s="23"/>
      <c r="F44" s="23"/>
      <c r="G44" s="23"/>
      <c r="H44" s="6">
        <f ca="1" t="array" ref="H44">INDEX(成本核算表!J:J,MATCH(1,(成本核算表!D:D=E44)*(成本核算表!C:C=G44),0))</f>
        <v>0</v>
      </c>
      <c r="I44" s="6"/>
      <c r="J44" s="6">
        <f ca="1" t="shared" si="0"/>
        <v>0</v>
      </c>
      <c r="K44" s="23"/>
      <c r="L44" s="23"/>
      <c r="N44" s="6">
        <f ca="1" t="shared" si="1"/>
        <v>0</v>
      </c>
      <c r="O44" s="6">
        <f ca="1" t="shared" si="2"/>
        <v>0</v>
      </c>
    </row>
    <row r="45" s="21" customFormat="1" ht="20" customHeight="1" spans="1:17">
      <c r="A45" s="22"/>
      <c r="B45" s="23"/>
      <c r="C45" s="24"/>
      <c r="D45" s="23"/>
      <c r="E45" s="23"/>
      <c r="F45" s="23"/>
      <c r="G45" s="23"/>
      <c r="H45" s="6">
        <f ca="1" t="array" ref="H45">INDEX(成本核算表!J:J,MATCH(1,(成本核算表!D:D=E45)*(成本核算表!C:C=G45),0))</f>
        <v>0</v>
      </c>
      <c r="I45" s="6"/>
      <c r="J45" s="6">
        <f ca="1" t="shared" si="0"/>
        <v>0</v>
      </c>
      <c r="K45" s="23"/>
      <c r="L45" s="23"/>
      <c r="N45" s="6">
        <f ca="1" t="shared" si="1"/>
        <v>0</v>
      </c>
      <c r="O45" s="6">
        <f ca="1" t="shared" si="2"/>
        <v>0</v>
      </c>
    </row>
    <row r="46" s="21" customFormat="1" ht="20" customHeight="1" spans="1:17">
      <c r="A46" s="22"/>
      <c r="B46" s="23"/>
      <c r="C46" s="24"/>
      <c r="D46" s="23"/>
      <c r="E46" s="23"/>
      <c r="F46" s="23"/>
      <c r="G46" s="23"/>
      <c r="H46" s="6">
        <f ca="1" t="array" ref="H46">INDEX(成本核算表!J:J,MATCH(1,(成本核算表!D:D=E46)*(成本核算表!C:C=G46),0))</f>
        <v>0</v>
      </c>
      <c r="I46" s="6"/>
      <c r="J46" s="6">
        <f ca="1" t="shared" si="0"/>
        <v>0</v>
      </c>
      <c r="K46" s="23"/>
      <c r="L46" s="23"/>
      <c r="N46" s="6">
        <f ca="1" t="shared" si="1"/>
        <v>0</v>
      </c>
      <c r="O46" s="6">
        <f ca="1" t="shared" si="2"/>
        <v>0</v>
      </c>
    </row>
    <row r="47" s="21" customFormat="1" ht="20" customHeight="1" spans="1:17">
      <c r="A47" s="22"/>
      <c r="B47" s="23"/>
      <c r="C47" s="24"/>
      <c r="D47" s="23"/>
      <c r="E47" s="23"/>
      <c r="F47" s="23"/>
      <c r="G47" s="23"/>
      <c r="H47" s="6">
        <f ca="1" t="array" ref="H47">INDEX(成本核算表!J:J,MATCH(1,(成本核算表!D:D=E47)*(成本核算表!C:C=G47),0))</f>
        <v>0</v>
      </c>
      <c r="I47" s="6"/>
      <c r="J47" s="6">
        <f ca="1" t="shared" si="0"/>
        <v>0</v>
      </c>
      <c r="K47" s="23"/>
      <c r="L47" s="23"/>
      <c r="N47" s="6">
        <f ca="1" t="shared" si="1"/>
        <v>0</v>
      </c>
      <c r="O47" s="6">
        <f ca="1" t="shared" si="2"/>
        <v>0</v>
      </c>
    </row>
    <row r="48" s="21" customFormat="1" ht="20" customHeight="1" spans="1:17">
      <c r="A48" s="22"/>
      <c r="B48" s="23"/>
      <c r="C48" s="24"/>
      <c r="D48" s="23"/>
      <c r="E48" s="23"/>
      <c r="F48" s="23"/>
      <c r="G48" s="23"/>
      <c r="H48" s="6">
        <f ca="1" t="array" ref="H48">INDEX(成本核算表!J:J,MATCH(1,(成本核算表!D:D=E48)*(成本核算表!C:C=G48),0))</f>
        <v>0</v>
      </c>
      <c r="I48" s="6"/>
      <c r="J48" s="6">
        <f ca="1" t="shared" si="0"/>
        <v>0</v>
      </c>
      <c r="K48" s="23"/>
      <c r="L48" s="23"/>
      <c r="N48" s="6">
        <f ca="1" t="shared" si="1"/>
        <v>0</v>
      </c>
      <c r="O48" s="6">
        <f ca="1" t="shared" si="2"/>
        <v>0</v>
      </c>
    </row>
    <row r="49" s="21" customFormat="1" ht="20" customHeight="1" spans="1:15">
      <c r="A49" s="22"/>
      <c r="B49" s="23"/>
      <c r="C49" s="24"/>
      <c r="D49" s="23"/>
      <c r="E49" s="23"/>
      <c r="F49" s="23"/>
      <c r="G49" s="23"/>
      <c r="H49" s="6">
        <f ca="1" t="array" ref="H49">INDEX(成本核算表!J:J,MATCH(1,(成本核算表!D:D=E49)*(成本核算表!C:C=G49),0))</f>
        <v>0</v>
      </c>
      <c r="I49" s="6"/>
      <c r="J49" s="6">
        <f ca="1" t="shared" si="0"/>
        <v>0</v>
      </c>
      <c r="K49" s="23"/>
      <c r="L49" s="23"/>
      <c r="N49" s="6">
        <f ca="1" t="shared" si="1"/>
        <v>0</v>
      </c>
      <c r="O49" s="6">
        <f ca="1" t="shared" si="2"/>
        <v>0</v>
      </c>
    </row>
    <row r="50" s="21" customFormat="1" ht="20" customHeight="1" spans="1:15">
      <c r="A50" s="22"/>
      <c r="B50" s="23"/>
      <c r="C50" s="24"/>
      <c r="D50" s="23"/>
      <c r="E50" s="23"/>
      <c r="F50" s="23"/>
      <c r="G50" s="23"/>
      <c r="H50" s="6">
        <f ca="1" t="array" ref="H50">INDEX(成本核算表!J:J,MATCH(1,(成本核算表!D:D=E50)*(成本核算表!C:C=G50),0))</f>
        <v>0</v>
      </c>
      <c r="I50" s="6"/>
      <c r="J50" s="6">
        <f ca="1" t="shared" si="0"/>
        <v>0</v>
      </c>
      <c r="K50" s="23"/>
      <c r="L50" s="23"/>
      <c r="N50" s="6">
        <f ca="1" t="shared" si="1"/>
        <v>0</v>
      </c>
      <c r="O50" s="6">
        <f ca="1" t="shared" si="2"/>
        <v>0</v>
      </c>
    </row>
    <row r="51" s="21" customFormat="1" ht="20" customHeight="1" spans="1:15">
      <c r="A51" s="22"/>
      <c r="B51" s="23"/>
      <c r="C51" s="24"/>
      <c r="D51" s="23"/>
      <c r="E51" s="23"/>
      <c r="F51" s="23"/>
      <c r="G51" s="23"/>
      <c r="H51" s="6">
        <f ca="1" t="array" ref="H51">INDEX(成本核算表!J:J,MATCH(1,(成本核算表!D:D=E51)*(成本核算表!C:C=G51),0))</f>
        <v>0</v>
      </c>
      <c r="I51" s="6"/>
      <c r="J51" s="6">
        <f ca="1" t="shared" si="0"/>
        <v>0</v>
      </c>
      <c r="K51" s="23"/>
      <c r="L51" s="23"/>
      <c r="N51" s="6">
        <f ca="1" t="shared" si="1"/>
        <v>0</v>
      </c>
      <c r="O51" s="6">
        <f ca="1" t="shared" si="2"/>
        <v>0</v>
      </c>
    </row>
    <row r="52" s="21" customFormat="1" ht="20" customHeight="1" spans="1:15">
      <c r="A52" s="22"/>
      <c r="B52" s="23"/>
      <c r="C52" s="24"/>
      <c r="D52" s="23"/>
      <c r="E52" s="23"/>
      <c r="F52" s="23"/>
      <c r="G52" s="23"/>
      <c r="H52" s="6">
        <f ca="1" t="array" ref="H52">INDEX(成本核算表!J:J,MATCH(1,(成本核算表!D:D=E52)*(成本核算表!C:C=G52),0))</f>
        <v>0</v>
      </c>
      <c r="I52" s="6"/>
      <c r="J52" s="6">
        <f ca="1" t="shared" si="0"/>
        <v>0</v>
      </c>
      <c r="K52" s="23"/>
      <c r="L52" s="23"/>
      <c r="N52" s="6">
        <f ca="1" t="shared" si="1"/>
        <v>0</v>
      </c>
      <c r="O52" s="6">
        <f ca="1" t="shared" si="2"/>
        <v>0</v>
      </c>
    </row>
    <row r="53" s="21" customFormat="1" ht="20" customHeight="1" spans="1:15">
      <c r="A53" s="22"/>
      <c r="B53" s="23"/>
      <c r="C53" s="24"/>
      <c r="D53" s="23"/>
      <c r="E53" s="23"/>
      <c r="F53" s="23"/>
      <c r="G53" s="23"/>
      <c r="H53" s="6">
        <f ca="1" t="array" ref="H53">INDEX(成本核算表!J:J,MATCH(1,(成本核算表!D:D=E53)*(成本核算表!C:C=G53),0))</f>
        <v>0</v>
      </c>
      <c r="I53" s="6"/>
      <c r="J53" s="6">
        <f ca="1" t="shared" si="0"/>
        <v>0</v>
      </c>
      <c r="K53" s="23"/>
      <c r="L53" s="23"/>
      <c r="N53" s="6">
        <f ca="1" t="shared" si="1"/>
        <v>0</v>
      </c>
      <c r="O53" s="6">
        <f ca="1" t="shared" si="2"/>
        <v>0</v>
      </c>
    </row>
    <row r="54" s="21" customFormat="1" ht="20" customHeight="1" spans="1:15">
      <c r="A54" s="22"/>
      <c r="B54" s="23"/>
      <c r="C54" s="24"/>
      <c r="D54" s="23"/>
      <c r="E54" s="23"/>
      <c r="F54" s="23"/>
      <c r="G54" s="23"/>
      <c r="H54" s="6">
        <f ca="1" t="array" ref="H54">INDEX(成本核算表!J:J,MATCH(1,(成本核算表!D:D=E54)*(成本核算表!C:C=G54),0))</f>
        <v>0</v>
      </c>
      <c r="I54" s="6"/>
      <c r="J54" s="6">
        <f ca="1" t="shared" si="0"/>
        <v>0</v>
      </c>
      <c r="K54" s="23"/>
      <c r="L54" s="23"/>
      <c r="N54" s="6">
        <f ca="1" t="shared" si="1"/>
        <v>0</v>
      </c>
      <c r="O54" s="6">
        <f ca="1" t="shared" si="2"/>
        <v>0</v>
      </c>
    </row>
    <row r="55" s="21" customFormat="1" ht="20" customHeight="1" spans="1:15">
      <c r="A55" s="22"/>
      <c r="B55" s="23"/>
      <c r="C55" s="24"/>
      <c r="D55" s="23"/>
      <c r="E55" s="23"/>
      <c r="F55" s="23"/>
      <c r="G55" s="23"/>
      <c r="H55" s="6">
        <f ca="1" t="array" ref="H55">INDEX(成本核算表!J:J,MATCH(1,(成本核算表!D:D=E55)*(成本核算表!C:C=G55),0))</f>
        <v>0</v>
      </c>
      <c r="I55" s="6"/>
      <c r="J55" s="6">
        <f ca="1" t="shared" si="0"/>
        <v>0</v>
      </c>
      <c r="K55" s="23"/>
      <c r="L55" s="23"/>
      <c r="N55" s="6">
        <f ca="1" t="shared" si="1"/>
        <v>0</v>
      </c>
      <c r="O55" s="6">
        <f ca="1" t="shared" si="2"/>
        <v>0</v>
      </c>
    </row>
    <row r="56" s="21" customFormat="1" ht="20" customHeight="1" spans="1:15">
      <c r="A56" s="22"/>
      <c r="B56" s="23"/>
      <c r="C56" s="24"/>
      <c r="D56" s="23"/>
      <c r="E56" s="23"/>
      <c r="F56" s="23"/>
      <c r="G56" s="23"/>
      <c r="H56" s="6">
        <f ca="1" t="array" ref="H56">INDEX(成本核算表!J:J,MATCH(1,(成本核算表!D:D=E56)*(成本核算表!C:C=G56),0))</f>
        <v>0</v>
      </c>
      <c r="I56" s="6"/>
      <c r="J56" s="6">
        <f ca="1" t="shared" si="0"/>
        <v>0</v>
      </c>
      <c r="K56" s="23"/>
      <c r="L56" s="23"/>
      <c r="N56" s="6">
        <f ca="1" t="shared" si="1"/>
        <v>0</v>
      </c>
      <c r="O56" s="6">
        <f ca="1" t="shared" si="2"/>
        <v>0</v>
      </c>
    </row>
    <row r="57" s="21" customFormat="1" ht="20" customHeight="1" spans="1:15">
      <c r="A57" s="22"/>
      <c r="B57" s="23"/>
      <c r="C57" s="24"/>
      <c r="D57" s="23"/>
      <c r="E57" s="23"/>
      <c r="F57" s="23"/>
      <c r="G57" s="23"/>
      <c r="H57" s="6">
        <f ca="1" t="array" ref="H57">INDEX(成本核算表!J:J,MATCH(1,(成本核算表!D:D=E57)*(成本核算表!C:C=G57),0))</f>
        <v>0</v>
      </c>
      <c r="I57" s="6"/>
      <c r="J57" s="6">
        <f ca="1" t="shared" si="0"/>
        <v>0</v>
      </c>
      <c r="K57" s="23"/>
      <c r="L57" s="23"/>
      <c r="N57" s="6">
        <f ca="1" t="shared" si="1"/>
        <v>0</v>
      </c>
      <c r="O57" s="6">
        <f ca="1" t="shared" si="2"/>
        <v>0</v>
      </c>
    </row>
    <row r="58" s="21" customFormat="1" ht="20" customHeight="1" spans="1:15">
      <c r="A58" s="22"/>
      <c r="B58" s="23"/>
      <c r="C58" s="24"/>
      <c r="D58" s="23"/>
      <c r="E58" s="23"/>
      <c r="F58" s="23"/>
      <c r="G58" s="23"/>
      <c r="H58" s="6">
        <f ca="1" t="array" ref="H58">INDEX(成本核算表!J:J,MATCH(1,(成本核算表!D:D=E58)*(成本核算表!C:C=G58),0))</f>
        <v>0</v>
      </c>
      <c r="I58" s="6"/>
      <c r="J58" s="6">
        <f ca="1" t="shared" si="0"/>
        <v>0</v>
      </c>
      <c r="K58" s="23"/>
      <c r="L58" s="23"/>
      <c r="N58" s="6">
        <f ca="1" t="shared" si="1"/>
        <v>0</v>
      </c>
      <c r="O58" s="6">
        <f ca="1" t="shared" si="2"/>
        <v>0</v>
      </c>
    </row>
    <row r="59" s="21" customFormat="1" ht="20" customHeight="1" spans="1:15">
      <c r="A59" s="22"/>
      <c r="B59" s="23"/>
      <c r="C59" s="24"/>
      <c r="D59" s="23"/>
      <c r="E59" s="23"/>
      <c r="F59" s="23"/>
      <c r="G59" s="23"/>
      <c r="H59" s="6">
        <f ca="1" t="array" ref="H59">INDEX(成本核算表!J:J,MATCH(1,(成本核算表!D:D=E59)*(成本核算表!C:C=G59),0))</f>
        <v>0</v>
      </c>
      <c r="I59" s="6"/>
      <c r="J59" s="6">
        <f ca="1" t="shared" si="0"/>
        <v>0</v>
      </c>
      <c r="K59" s="23"/>
      <c r="L59" s="23"/>
      <c r="N59" s="6">
        <f ca="1" t="shared" si="1"/>
        <v>0</v>
      </c>
      <c r="O59" s="6">
        <f ca="1" t="shared" si="2"/>
        <v>0</v>
      </c>
    </row>
    <row r="60" s="21" customFormat="1" ht="20" customHeight="1" spans="1:15">
      <c r="A60" s="22"/>
      <c r="B60" s="23"/>
      <c r="C60" s="24"/>
      <c r="D60" s="23"/>
      <c r="E60" s="23"/>
      <c r="F60" s="23"/>
      <c r="G60" s="23"/>
      <c r="H60" s="6">
        <f ca="1" t="array" ref="H60">INDEX(成本核算表!J:J,MATCH(1,(成本核算表!D:D=E60)*(成本核算表!C:C=G60),0))</f>
        <v>0</v>
      </c>
      <c r="I60" s="6"/>
      <c r="J60" s="6">
        <f ca="1" t="shared" si="0"/>
        <v>0</v>
      </c>
      <c r="K60" s="23"/>
      <c r="L60" s="23"/>
      <c r="N60" s="6">
        <f ca="1" t="shared" si="1"/>
        <v>0</v>
      </c>
      <c r="O60" s="6">
        <f ca="1" t="shared" si="2"/>
        <v>0</v>
      </c>
    </row>
    <row r="61" s="21" customFormat="1" ht="20" customHeight="1" spans="1:15">
      <c r="A61" s="22"/>
      <c r="B61" s="23"/>
      <c r="C61" s="24"/>
      <c r="D61" s="23"/>
      <c r="E61" s="23"/>
      <c r="F61" s="23"/>
      <c r="G61" s="23"/>
      <c r="H61" s="6">
        <f ca="1" t="array" ref="H61">INDEX(成本核算表!J:J,MATCH(1,(成本核算表!D:D=E61)*(成本核算表!C:C=G61),0))</f>
        <v>0</v>
      </c>
      <c r="I61" s="6"/>
      <c r="J61" s="6">
        <f ca="1" t="shared" si="0"/>
        <v>0</v>
      </c>
      <c r="K61" s="23"/>
      <c r="L61" s="23"/>
      <c r="N61" s="6">
        <f ca="1" t="shared" si="1"/>
        <v>0</v>
      </c>
      <c r="O61" s="6">
        <f ca="1" t="shared" si="2"/>
        <v>0</v>
      </c>
    </row>
    <row r="62" s="21" customFormat="1" ht="20" customHeight="1" spans="1:15">
      <c r="A62" s="22"/>
      <c r="B62" s="23"/>
      <c r="C62" s="24"/>
      <c r="D62" s="23"/>
      <c r="E62" s="23"/>
      <c r="F62" s="23"/>
      <c r="G62" s="23"/>
      <c r="H62" s="6">
        <f ca="1" t="array" ref="H62">INDEX(成本核算表!J:J,MATCH(1,(成本核算表!D:D=E62)*(成本核算表!C:C=G62),0))</f>
        <v>0</v>
      </c>
      <c r="I62" s="6"/>
      <c r="J62" s="6">
        <f ca="1" t="shared" si="0"/>
        <v>0</v>
      </c>
      <c r="K62" s="23"/>
      <c r="L62" s="23"/>
      <c r="N62" s="6">
        <f ca="1" t="shared" si="1"/>
        <v>0</v>
      </c>
      <c r="O62" s="6">
        <f ca="1" t="shared" si="2"/>
        <v>0</v>
      </c>
    </row>
    <row r="63" s="21" customFormat="1" ht="20" customHeight="1" spans="1:15">
      <c r="A63" s="22"/>
      <c r="B63" s="23"/>
      <c r="C63" s="24"/>
      <c r="D63" s="23"/>
      <c r="E63" s="23"/>
      <c r="F63" s="23"/>
      <c r="G63" s="23"/>
      <c r="H63" s="6">
        <f ca="1" t="array" ref="H63">INDEX(成本核算表!J:J,MATCH(1,(成本核算表!D:D=E63)*(成本核算表!C:C=G63),0))</f>
        <v>0</v>
      </c>
      <c r="I63" s="6"/>
      <c r="J63" s="6">
        <f ca="1" t="shared" si="0"/>
        <v>0</v>
      </c>
      <c r="K63" s="23"/>
      <c r="L63" s="23"/>
      <c r="N63" s="6">
        <f ca="1" t="shared" si="1"/>
        <v>0</v>
      </c>
      <c r="O63" s="6">
        <f ca="1" t="shared" si="2"/>
        <v>0</v>
      </c>
    </row>
    <row r="64" s="21" customFormat="1" ht="20" customHeight="1" spans="1:15">
      <c r="A64" s="22"/>
      <c r="B64" s="23"/>
      <c r="C64" s="24"/>
      <c r="D64" s="23"/>
      <c r="E64" s="23"/>
      <c r="F64" s="23"/>
      <c r="G64" s="23"/>
      <c r="H64" s="6">
        <f ca="1" t="array" ref="H64">INDEX(成本核算表!J:J,MATCH(1,(成本核算表!D:D=E64)*(成本核算表!C:C=G64),0))</f>
        <v>0</v>
      </c>
      <c r="I64" s="6"/>
      <c r="J64" s="6">
        <f ca="1" t="shared" si="0"/>
        <v>0</v>
      </c>
      <c r="K64" s="23"/>
      <c r="L64" s="23"/>
      <c r="N64" s="6">
        <f ca="1" t="shared" si="1"/>
        <v>0</v>
      </c>
      <c r="O64" s="6">
        <f ca="1" t="shared" si="2"/>
        <v>0</v>
      </c>
    </row>
    <row r="65" s="21" customFormat="1" ht="20" customHeight="1" spans="1:15">
      <c r="A65" s="22"/>
      <c r="B65" s="23"/>
      <c r="C65" s="24"/>
      <c r="D65" s="23"/>
      <c r="E65" s="23"/>
      <c r="F65" s="23"/>
      <c r="G65" s="23"/>
      <c r="H65" s="6">
        <f ca="1" t="array" ref="H65">INDEX(成本核算表!J:J,MATCH(1,(成本核算表!D:D=E65)*(成本核算表!C:C=G65),0))</f>
        <v>0</v>
      </c>
      <c r="I65" s="6"/>
      <c r="J65" s="6">
        <f ca="1" t="shared" si="0"/>
        <v>0</v>
      </c>
      <c r="K65" s="23"/>
      <c r="L65" s="23"/>
      <c r="N65" s="6">
        <f ca="1" t="shared" si="1"/>
        <v>0</v>
      </c>
      <c r="O65" s="6">
        <f ca="1" t="shared" si="2"/>
        <v>0</v>
      </c>
    </row>
    <row r="66" s="21" customFormat="1" ht="20" customHeight="1" spans="1:15">
      <c r="A66" s="22"/>
      <c r="B66" s="23"/>
      <c r="C66" s="24"/>
      <c r="D66" s="23"/>
      <c r="E66" s="23"/>
      <c r="F66" s="23"/>
      <c r="G66" s="23"/>
      <c r="H66" s="6">
        <f ca="1" t="array" ref="H66">INDEX(成本核算表!J:J,MATCH(1,(成本核算表!D:D=E66)*(成本核算表!C:C=G66),0))</f>
        <v>0</v>
      </c>
      <c r="I66" s="6"/>
      <c r="J66" s="6">
        <f ca="1" t="shared" ref="J66:J101" si="5">H66*I66</f>
        <v>0</v>
      </c>
      <c r="K66" s="23"/>
      <c r="L66" s="23"/>
      <c r="N66" s="6">
        <f ca="1" t="shared" ref="N66:N101" si="6">J66-M66+L66</f>
        <v>0</v>
      </c>
      <c r="O66" s="6">
        <f ca="1" t="shared" ref="O66:O101" si="7">N66/3600</f>
        <v>0</v>
      </c>
    </row>
    <row r="67" s="21" customFormat="1" ht="20" customHeight="1" spans="1:15">
      <c r="A67" s="22"/>
      <c r="B67" s="23"/>
      <c r="C67" s="24"/>
      <c r="D67" s="23"/>
      <c r="E67" s="23"/>
      <c r="F67" s="23"/>
      <c r="G67" s="23"/>
      <c r="H67" s="6">
        <f ca="1" t="array" ref="H67">INDEX(成本核算表!J:J,MATCH(1,(成本核算表!D:D=E67)*(成本核算表!C:C=G67),0))</f>
        <v>0</v>
      </c>
      <c r="I67" s="6"/>
      <c r="J67" s="6">
        <f ca="1" t="shared" si="5"/>
        <v>0</v>
      </c>
      <c r="K67" s="23"/>
      <c r="L67" s="23"/>
      <c r="N67" s="6">
        <f ca="1" t="shared" si="6"/>
        <v>0</v>
      </c>
      <c r="O67" s="6">
        <f ca="1" t="shared" si="7"/>
        <v>0</v>
      </c>
    </row>
    <row r="68" s="21" customFormat="1" ht="20" customHeight="1" spans="1:15">
      <c r="A68" s="22"/>
      <c r="B68" s="23"/>
      <c r="C68" s="24"/>
      <c r="D68" s="23"/>
      <c r="E68" s="23"/>
      <c r="F68" s="23"/>
      <c r="G68" s="23"/>
      <c r="H68" s="6">
        <f ca="1" t="array" ref="H68">INDEX(成本核算表!J:J,MATCH(1,(成本核算表!D:D=E68)*(成本核算表!C:C=G68),0))</f>
        <v>0</v>
      </c>
      <c r="I68" s="6"/>
      <c r="J68" s="6">
        <f ca="1" t="shared" si="5"/>
        <v>0</v>
      </c>
      <c r="K68" s="23"/>
      <c r="L68" s="23"/>
      <c r="N68" s="6">
        <f ca="1" t="shared" si="6"/>
        <v>0</v>
      </c>
      <c r="O68" s="6">
        <f ca="1" t="shared" si="7"/>
        <v>0</v>
      </c>
    </row>
    <row r="69" s="21" customFormat="1" ht="20" customHeight="1" spans="1:15">
      <c r="A69" s="22"/>
      <c r="B69" s="23"/>
      <c r="C69" s="24"/>
      <c r="D69" s="23"/>
      <c r="E69" s="23"/>
      <c r="F69" s="23"/>
      <c r="G69" s="23"/>
      <c r="H69" s="6">
        <f ca="1" t="array" ref="H69">INDEX(成本核算表!J:J,MATCH(1,(成本核算表!D:D=E69)*(成本核算表!C:C=G69),0))</f>
        <v>0</v>
      </c>
      <c r="I69" s="6"/>
      <c r="J69" s="6">
        <f ca="1" t="shared" si="5"/>
        <v>0</v>
      </c>
      <c r="K69" s="23"/>
      <c r="L69" s="23"/>
      <c r="N69" s="6">
        <f ca="1" t="shared" si="6"/>
        <v>0</v>
      </c>
      <c r="O69" s="6">
        <f ca="1" t="shared" si="7"/>
        <v>0</v>
      </c>
    </row>
    <row r="70" s="21" customFormat="1" ht="20" customHeight="1" spans="1:15">
      <c r="A70" s="22"/>
      <c r="B70" s="23"/>
      <c r="C70" s="24"/>
      <c r="D70" s="23"/>
      <c r="E70" s="23"/>
      <c r="F70" s="23"/>
      <c r="G70" s="23"/>
      <c r="H70" s="6">
        <f ca="1" t="array" ref="H70">INDEX(成本核算表!J:J,MATCH(1,(成本核算表!D:D=E70)*(成本核算表!C:C=G70),0))</f>
        <v>0</v>
      </c>
      <c r="I70" s="6"/>
      <c r="J70" s="6">
        <f ca="1" t="shared" si="5"/>
        <v>0</v>
      </c>
      <c r="K70" s="23"/>
      <c r="L70" s="23"/>
      <c r="N70" s="6">
        <f ca="1" t="shared" si="6"/>
        <v>0</v>
      </c>
      <c r="O70" s="6">
        <f ca="1" t="shared" si="7"/>
        <v>0</v>
      </c>
    </row>
    <row r="71" s="21" customFormat="1" ht="20" customHeight="1" spans="1:15">
      <c r="A71" s="22"/>
      <c r="B71" s="23"/>
      <c r="C71" s="24"/>
      <c r="D71" s="23"/>
      <c r="E71" s="23"/>
      <c r="F71" s="23"/>
      <c r="G71" s="23"/>
      <c r="H71" s="6">
        <f ca="1" t="array" ref="H71">INDEX(成本核算表!J:J,MATCH(1,(成本核算表!D:D=E71)*(成本核算表!C:C=G71),0))</f>
        <v>0</v>
      </c>
      <c r="I71" s="6"/>
      <c r="J71" s="6">
        <f ca="1" t="shared" si="5"/>
        <v>0</v>
      </c>
      <c r="K71" s="23"/>
      <c r="L71" s="23"/>
      <c r="N71" s="6">
        <f ca="1" t="shared" si="6"/>
        <v>0</v>
      </c>
      <c r="O71" s="6">
        <f ca="1" t="shared" si="7"/>
        <v>0</v>
      </c>
    </row>
    <row r="72" s="21" customFormat="1" ht="20" customHeight="1" spans="1:15">
      <c r="A72" s="22"/>
      <c r="B72" s="23"/>
      <c r="C72" s="24"/>
      <c r="D72" s="23"/>
      <c r="E72" s="23"/>
      <c r="F72" s="23"/>
      <c r="G72" s="23"/>
      <c r="H72" s="6">
        <f ca="1" t="array" ref="H72">INDEX(成本核算表!J:J,MATCH(1,(成本核算表!D:D=E72)*(成本核算表!C:C=G72),0))</f>
        <v>0</v>
      </c>
      <c r="I72" s="6"/>
      <c r="J72" s="6">
        <f ca="1" t="shared" si="5"/>
        <v>0</v>
      </c>
      <c r="K72" s="23"/>
      <c r="L72" s="23"/>
      <c r="N72" s="6">
        <f ca="1" t="shared" si="6"/>
        <v>0</v>
      </c>
      <c r="O72" s="6">
        <f ca="1" t="shared" si="7"/>
        <v>0</v>
      </c>
    </row>
    <row r="73" s="21" customFormat="1" ht="20" customHeight="1" spans="1:15">
      <c r="A73" s="22"/>
      <c r="B73" s="23"/>
      <c r="C73" s="24"/>
      <c r="D73" s="23"/>
      <c r="E73" s="23"/>
      <c r="F73" s="23"/>
      <c r="G73" s="23"/>
      <c r="H73" s="6">
        <f ca="1" t="array" ref="H73">INDEX(成本核算表!J:J,MATCH(1,(成本核算表!D:D=E73)*(成本核算表!C:C=G73),0))</f>
        <v>0</v>
      </c>
      <c r="I73" s="6"/>
      <c r="J73" s="6">
        <f ca="1" t="shared" si="5"/>
        <v>0</v>
      </c>
      <c r="K73" s="23"/>
      <c r="L73" s="23"/>
      <c r="N73" s="6">
        <f ca="1" t="shared" si="6"/>
        <v>0</v>
      </c>
      <c r="O73" s="6">
        <f ca="1" t="shared" si="7"/>
        <v>0</v>
      </c>
    </row>
    <row r="74" s="21" customFormat="1" ht="20" customHeight="1" spans="1:15">
      <c r="A74" s="22"/>
      <c r="B74" s="23"/>
      <c r="C74" s="24"/>
      <c r="D74" s="23"/>
      <c r="E74" s="23"/>
      <c r="F74" s="23"/>
      <c r="G74" s="23"/>
      <c r="H74" s="6">
        <f ca="1" t="array" ref="H74">INDEX(成本核算表!J:J,MATCH(1,(成本核算表!D:D=E74)*(成本核算表!C:C=G74),0))</f>
        <v>0</v>
      </c>
      <c r="I74" s="6"/>
      <c r="J74" s="6">
        <f ca="1" t="shared" si="5"/>
        <v>0</v>
      </c>
      <c r="K74" s="23"/>
      <c r="L74" s="23"/>
      <c r="N74" s="6">
        <f ca="1" t="shared" si="6"/>
        <v>0</v>
      </c>
      <c r="O74" s="6">
        <f ca="1" t="shared" si="7"/>
        <v>0</v>
      </c>
    </row>
    <row r="75" s="21" customFormat="1" ht="20" customHeight="1" spans="1:15">
      <c r="A75" s="22"/>
      <c r="B75" s="23"/>
      <c r="C75" s="24"/>
      <c r="D75" s="23"/>
      <c r="E75" s="23"/>
      <c r="F75" s="23"/>
      <c r="G75" s="23"/>
      <c r="H75" s="6">
        <f ca="1" t="array" ref="H75">INDEX(成本核算表!J:J,MATCH(1,(成本核算表!D:D=E75)*(成本核算表!C:C=G75),0))</f>
        <v>0</v>
      </c>
      <c r="I75" s="6"/>
      <c r="J75" s="6">
        <f ca="1" t="shared" si="5"/>
        <v>0</v>
      </c>
      <c r="K75" s="23"/>
      <c r="L75" s="23"/>
      <c r="N75" s="6">
        <f ca="1" t="shared" si="6"/>
        <v>0</v>
      </c>
      <c r="O75" s="6">
        <f ca="1" t="shared" si="7"/>
        <v>0</v>
      </c>
    </row>
    <row r="76" s="21" customFormat="1" ht="20" customHeight="1" spans="1:15">
      <c r="A76" s="22"/>
      <c r="B76" s="23"/>
      <c r="C76" s="24"/>
      <c r="D76" s="23"/>
      <c r="E76" s="23"/>
      <c r="F76" s="23"/>
      <c r="G76" s="23"/>
      <c r="H76" s="6">
        <f ca="1" t="array" ref="H76">INDEX(成本核算表!J:J,MATCH(1,(成本核算表!D:D=E76)*(成本核算表!C:C=G76),0))</f>
        <v>0</v>
      </c>
      <c r="I76" s="6"/>
      <c r="J76" s="6">
        <f ca="1" t="shared" si="5"/>
        <v>0</v>
      </c>
      <c r="K76" s="23"/>
      <c r="L76" s="23"/>
      <c r="N76" s="6">
        <f ca="1" t="shared" si="6"/>
        <v>0</v>
      </c>
      <c r="O76" s="6">
        <f ca="1" t="shared" si="7"/>
        <v>0</v>
      </c>
    </row>
    <row r="77" s="21" customFormat="1" ht="20" customHeight="1" spans="1:15">
      <c r="A77" s="22"/>
      <c r="B77" s="23"/>
      <c r="C77" s="24"/>
      <c r="D77" s="23"/>
      <c r="E77" s="23"/>
      <c r="F77" s="23"/>
      <c r="G77" s="23"/>
      <c r="H77" s="6">
        <f ca="1" t="array" ref="H77">INDEX(成本核算表!J:J,MATCH(1,(成本核算表!D:D=E77)*(成本核算表!C:C=G77),0))</f>
        <v>0</v>
      </c>
      <c r="I77" s="6"/>
      <c r="J77" s="6">
        <f ca="1" t="shared" si="5"/>
        <v>0</v>
      </c>
      <c r="K77" s="23"/>
      <c r="L77" s="23"/>
      <c r="N77" s="6">
        <f ca="1" t="shared" si="6"/>
        <v>0</v>
      </c>
      <c r="O77" s="6">
        <f ca="1" t="shared" si="7"/>
        <v>0</v>
      </c>
    </row>
    <row r="78" s="21" customFormat="1" ht="20" customHeight="1" spans="1:15">
      <c r="A78" s="22"/>
      <c r="B78" s="23"/>
      <c r="C78" s="24"/>
      <c r="D78" s="23"/>
      <c r="E78" s="23"/>
      <c r="F78" s="23"/>
      <c r="G78" s="23"/>
      <c r="H78" s="6">
        <f ca="1" t="array" ref="H78">INDEX(成本核算表!J:J,MATCH(1,(成本核算表!D:D=E78)*(成本核算表!C:C=G78),0))</f>
        <v>0</v>
      </c>
      <c r="I78" s="6"/>
      <c r="J78" s="6">
        <f ca="1" t="shared" si="5"/>
        <v>0</v>
      </c>
      <c r="K78" s="23"/>
      <c r="L78" s="23"/>
      <c r="N78" s="6">
        <f ca="1" t="shared" si="6"/>
        <v>0</v>
      </c>
      <c r="O78" s="6">
        <f ca="1" t="shared" si="7"/>
        <v>0</v>
      </c>
    </row>
    <row r="79" s="21" customFormat="1" ht="20" customHeight="1" spans="1:15">
      <c r="A79" s="22"/>
      <c r="B79" s="23"/>
      <c r="C79" s="24"/>
      <c r="D79" s="23"/>
      <c r="E79" s="23"/>
      <c r="F79" s="23"/>
      <c r="G79" s="23"/>
      <c r="H79" s="6">
        <f ca="1" t="array" ref="H79">INDEX(成本核算表!J:J,MATCH(1,(成本核算表!D:D=E79)*(成本核算表!C:C=G79),0))</f>
        <v>0</v>
      </c>
      <c r="I79" s="6"/>
      <c r="J79" s="6">
        <f ca="1" t="shared" si="5"/>
        <v>0</v>
      </c>
      <c r="K79" s="23"/>
      <c r="L79" s="23"/>
      <c r="N79" s="6">
        <f ca="1" t="shared" si="6"/>
        <v>0</v>
      </c>
      <c r="O79" s="6">
        <f ca="1" t="shared" si="7"/>
        <v>0</v>
      </c>
    </row>
    <row r="80" s="21" customFormat="1" ht="20" customHeight="1" spans="1:15">
      <c r="A80" s="22"/>
      <c r="B80" s="23"/>
      <c r="C80" s="24"/>
      <c r="D80" s="23"/>
      <c r="E80" s="23"/>
      <c r="F80" s="23"/>
      <c r="G80" s="23"/>
      <c r="H80" s="6">
        <f ca="1" t="array" ref="H80">INDEX(成本核算表!J:J,MATCH(1,(成本核算表!D:D=E80)*(成本核算表!C:C=G80),0))</f>
        <v>0</v>
      </c>
      <c r="I80" s="6"/>
      <c r="J80" s="6">
        <f ca="1" t="shared" si="5"/>
        <v>0</v>
      </c>
      <c r="K80" s="23"/>
      <c r="L80" s="23"/>
      <c r="N80" s="6">
        <f ca="1" t="shared" si="6"/>
        <v>0</v>
      </c>
      <c r="O80" s="6">
        <f ca="1" t="shared" si="7"/>
        <v>0</v>
      </c>
    </row>
    <row r="81" s="21" customFormat="1" ht="20" customHeight="1" spans="1:15">
      <c r="A81" s="22"/>
      <c r="B81" s="23"/>
      <c r="C81" s="24"/>
      <c r="D81" s="23"/>
      <c r="E81" s="23"/>
      <c r="F81" s="23"/>
      <c r="G81" s="23"/>
      <c r="H81" s="6">
        <f ca="1" t="array" ref="H81">INDEX(成本核算表!J:J,MATCH(1,(成本核算表!D:D=E81)*(成本核算表!C:C=G81),0))</f>
        <v>0</v>
      </c>
      <c r="I81" s="6"/>
      <c r="J81" s="6">
        <f ca="1" t="shared" si="5"/>
        <v>0</v>
      </c>
      <c r="K81" s="23"/>
      <c r="L81" s="23"/>
      <c r="N81" s="6">
        <f ca="1" t="shared" si="6"/>
        <v>0</v>
      </c>
      <c r="O81" s="6">
        <f ca="1" t="shared" si="7"/>
        <v>0</v>
      </c>
    </row>
    <row r="82" s="21" customFormat="1" ht="20" customHeight="1" spans="1:15">
      <c r="A82" s="22"/>
      <c r="B82" s="23"/>
      <c r="C82" s="24"/>
      <c r="D82" s="23"/>
      <c r="E82" s="23"/>
      <c r="F82" s="23"/>
      <c r="G82" s="23"/>
      <c r="H82" s="6">
        <f ca="1" t="array" ref="H82">INDEX(成本核算表!J:J,MATCH(1,(成本核算表!D:D=E82)*(成本核算表!C:C=G82),0))</f>
        <v>0</v>
      </c>
      <c r="I82" s="6"/>
      <c r="J82" s="6">
        <f ca="1" t="shared" si="5"/>
        <v>0</v>
      </c>
      <c r="K82" s="23"/>
      <c r="L82" s="23"/>
      <c r="N82" s="6">
        <f ca="1" t="shared" si="6"/>
        <v>0</v>
      </c>
      <c r="O82" s="6">
        <f ca="1" t="shared" si="7"/>
        <v>0</v>
      </c>
    </row>
    <row r="83" s="21" customFormat="1" ht="20" customHeight="1" spans="1:15">
      <c r="A83" s="22"/>
      <c r="B83" s="23"/>
      <c r="C83" s="24"/>
      <c r="D83" s="23"/>
      <c r="E83" s="23"/>
      <c r="F83" s="23"/>
      <c r="G83" s="23"/>
      <c r="H83" s="6">
        <f ca="1" t="array" ref="H83">INDEX(成本核算表!J:J,MATCH(1,(成本核算表!D:D=E83)*(成本核算表!C:C=G83),0))</f>
        <v>0</v>
      </c>
      <c r="I83" s="6"/>
      <c r="J83" s="6">
        <f ca="1" t="shared" si="5"/>
        <v>0</v>
      </c>
      <c r="K83" s="23"/>
      <c r="L83" s="23"/>
      <c r="N83" s="6">
        <f ca="1" t="shared" si="6"/>
        <v>0</v>
      </c>
      <c r="O83" s="6">
        <f ca="1" t="shared" si="7"/>
        <v>0</v>
      </c>
    </row>
    <row r="84" s="21" customFormat="1" ht="20" customHeight="1" spans="1:15">
      <c r="A84" s="22"/>
      <c r="B84" s="23"/>
      <c r="C84" s="24"/>
      <c r="D84" s="23"/>
      <c r="E84" s="23"/>
      <c r="F84" s="23"/>
      <c r="G84" s="23"/>
      <c r="H84" s="6">
        <f ca="1" t="array" ref="H84">INDEX(成本核算表!J:J,MATCH(1,(成本核算表!D:D=E84)*(成本核算表!C:C=G84),0))</f>
        <v>0</v>
      </c>
      <c r="I84" s="6"/>
      <c r="J84" s="6">
        <f ca="1" t="shared" si="5"/>
        <v>0</v>
      </c>
      <c r="K84" s="23"/>
      <c r="L84" s="23"/>
      <c r="N84" s="6">
        <f ca="1" t="shared" si="6"/>
        <v>0</v>
      </c>
      <c r="O84" s="6">
        <f ca="1" t="shared" si="7"/>
        <v>0</v>
      </c>
    </row>
    <row r="85" s="21" customFormat="1" ht="20" customHeight="1" spans="1:15">
      <c r="A85" s="22"/>
      <c r="B85" s="23"/>
      <c r="C85" s="24"/>
      <c r="D85" s="23"/>
      <c r="E85" s="23"/>
      <c r="F85" s="23"/>
      <c r="G85" s="23"/>
      <c r="H85" s="6">
        <f ca="1" t="array" ref="H85">INDEX(成本核算表!J:J,MATCH(1,(成本核算表!D:D=E85)*(成本核算表!C:C=G85),0))</f>
        <v>0</v>
      </c>
      <c r="I85" s="6"/>
      <c r="J85" s="6">
        <f ca="1" t="shared" si="5"/>
        <v>0</v>
      </c>
      <c r="K85" s="23"/>
      <c r="L85" s="23"/>
      <c r="N85" s="6">
        <f ca="1" t="shared" si="6"/>
        <v>0</v>
      </c>
      <c r="O85" s="6">
        <f ca="1" t="shared" si="7"/>
        <v>0</v>
      </c>
    </row>
    <row r="86" s="21" customFormat="1" ht="20" customHeight="1" spans="1:15">
      <c r="A86" s="22"/>
      <c r="B86" s="23"/>
      <c r="C86" s="24"/>
      <c r="D86" s="23"/>
      <c r="E86" s="23"/>
      <c r="F86" s="23"/>
      <c r="G86" s="23"/>
      <c r="H86" s="6">
        <f ca="1" t="array" ref="H86">INDEX(成本核算表!J:J,MATCH(1,(成本核算表!D:D=E86)*(成本核算表!C:C=G86),0))</f>
        <v>0</v>
      </c>
      <c r="I86" s="6"/>
      <c r="J86" s="6">
        <f ca="1" t="shared" si="5"/>
        <v>0</v>
      </c>
      <c r="K86" s="23"/>
      <c r="L86" s="23"/>
      <c r="N86" s="6">
        <f ca="1" t="shared" si="6"/>
        <v>0</v>
      </c>
      <c r="O86" s="6">
        <f ca="1" t="shared" si="7"/>
        <v>0</v>
      </c>
    </row>
    <row r="87" s="21" customFormat="1" ht="20" customHeight="1" spans="1:15">
      <c r="A87" s="22"/>
      <c r="B87" s="23"/>
      <c r="C87" s="24"/>
      <c r="D87" s="23"/>
      <c r="E87" s="23"/>
      <c r="F87" s="23"/>
      <c r="G87" s="23"/>
      <c r="H87" s="6">
        <f ca="1" t="array" ref="H87">INDEX(成本核算表!J:J,MATCH(1,(成本核算表!D:D=E87)*(成本核算表!C:C=G87),0))</f>
        <v>0</v>
      </c>
      <c r="I87" s="6"/>
      <c r="J87" s="6">
        <f ca="1" t="shared" si="5"/>
        <v>0</v>
      </c>
      <c r="K87" s="23"/>
      <c r="L87" s="23"/>
      <c r="N87" s="6">
        <f ca="1" t="shared" si="6"/>
        <v>0</v>
      </c>
      <c r="O87" s="6">
        <f ca="1" t="shared" si="7"/>
        <v>0</v>
      </c>
    </row>
    <row r="88" s="21" customFormat="1" ht="20" customHeight="1" spans="1:15">
      <c r="A88" s="22"/>
      <c r="B88" s="23"/>
      <c r="C88" s="24"/>
      <c r="D88" s="23"/>
      <c r="E88" s="23"/>
      <c r="F88" s="23"/>
      <c r="G88" s="23"/>
      <c r="H88" s="6">
        <f ca="1" t="array" ref="H88">INDEX(成本核算表!J:J,MATCH(1,(成本核算表!D:D=E88)*(成本核算表!C:C=G88),0))</f>
        <v>0</v>
      </c>
      <c r="I88" s="6"/>
      <c r="J88" s="6">
        <f ca="1" t="shared" si="5"/>
        <v>0</v>
      </c>
      <c r="K88" s="23"/>
      <c r="L88" s="23"/>
      <c r="N88" s="6">
        <f ca="1" t="shared" si="6"/>
        <v>0</v>
      </c>
      <c r="O88" s="6">
        <f ca="1" t="shared" si="7"/>
        <v>0</v>
      </c>
    </row>
    <row r="89" s="21" customFormat="1" ht="20" customHeight="1" spans="1:15">
      <c r="A89" s="22"/>
      <c r="B89" s="23"/>
      <c r="C89" s="24"/>
      <c r="D89" s="23"/>
      <c r="E89" s="23"/>
      <c r="F89" s="23"/>
      <c r="G89" s="23"/>
      <c r="H89" s="6">
        <f ca="1" t="array" ref="H89">INDEX(成本核算表!J:J,MATCH(1,(成本核算表!D:D=E89)*(成本核算表!C:C=G89),0))</f>
        <v>0</v>
      </c>
      <c r="I89" s="6"/>
      <c r="J89" s="6">
        <f ca="1" t="shared" si="5"/>
        <v>0</v>
      </c>
      <c r="K89" s="23"/>
      <c r="L89" s="23"/>
      <c r="N89" s="6">
        <f ca="1" t="shared" si="6"/>
        <v>0</v>
      </c>
      <c r="O89" s="6">
        <f ca="1" t="shared" si="7"/>
        <v>0</v>
      </c>
    </row>
    <row r="90" s="21" customFormat="1" ht="20" customHeight="1" spans="1:15">
      <c r="A90" s="22"/>
      <c r="B90" s="23"/>
      <c r="C90" s="24"/>
      <c r="D90" s="23"/>
      <c r="E90" s="23"/>
      <c r="F90" s="23"/>
      <c r="G90" s="23"/>
      <c r="H90" s="6">
        <f ca="1" t="array" ref="H90">INDEX(成本核算表!J:J,MATCH(1,(成本核算表!D:D=E90)*(成本核算表!C:C=G90),0))</f>
        <v>0</v>
      </c>
      <c r="I90" s="6"/>
      <c r="J90" s="6">
        <f ca="1" t="shared" si="5"/>
        <v>0</v>
      </c>
      <c r="K90" s="23"/>
      <c r="L90" s="23"/>
      <c r="N90" s="6">
        <f ca="1" t="shared" si="6"/>
        <v>0</v>
      </c>
      <c r="O90" s="6">
        <f ca="1" t="shared" si="7"/>
        <v>0</v>
      </c>
    </row>
    <row r="91" s="21" customFormat="1" ht="20" customHeight="1" spans="1:15">
      <c r="A91" s="22"/>
      <c r="B91" s="23"/>
      <c r="C91" s="24"/>
      <c r="D91" s="23"/>
      <c r="E91" s="23"/>
      <c r="F91" s="23"/>
      <c r="G91" s="23"/>
      <c r="H91" s="6">
        <f ca="1" t="array" ref="H91">INDEX(成本核算表!J:J,MATCH(1,(成本核算表!D:D=E91)*(成本核算表!C:C=G91),0))</f>
        <v>0</v>
      </c>
      <c r="I91" s="6"/>
      <c r="J91" s="6">
        <f ca="1" t="shared" si="5"/>
        <v>0</v>
      </c>
      <c r="K91" s="23"/>
      <c r="L91" s="23"/>
      <c r="N91" s="6">
        <f ca="1" t="shared" si="6"/>
        <v>0</v>
      </c>
      <c r="O91" s="6">
        <f ca="1" t="shared" si="7"/>
        <v>0</v>
      </c>
    </row>
    <row r="92" s="21" customFormat="1" ht="20" customHeight="1" spans="1:15">
      <c r="A92" s="22"/>
      <c r="B92" s="23"/>
      <c r="C92" s="24"/>
      <c r="D92" s="23"/>
      <c r="E92" s="23"/>
      <c r="F92" s="23"/>
      <c r="G92" s="23"/>
      <c r="H92" s="6">
        <f ca="1" t="array" ref="H92">INDEX(成本核算表!J:J,MATCH(1,(成本核算表!D:D=E92)*(成本核算表!C:C=G92),0))</f>
        <v>0</v>
      </c>
      <c r="I92" s="6"/>
      <c r="J92" s="6">
        <f ca="1" t="shared" si="5"/>
        <v>0</v>
      </c>
      <c r="K92" s="23"/>
      <c r="L92" s="23"/>
      <c r="N92" s="6">
        <f ca="1" t="shared" si="6"/>
        <v>0</v>
      </c>
      <c r="O92" s="6">
        <f ca="1" t="shared" si="7"/>
        <v>0</v>
      </c>
    </row>
    <row r="93" s="21" customFormat="1" ht="20" customHeight="1" spans="1:15">
      <c r="A93" s="22"/>
      <c r="B93" s="23"/>
      <c r="C93" s="24"/>
      <c r="D93" s="23"/>
      <c r="E93" s="23"/>
      <c r="F93" s="23"/>
      <c r="G93" s="23"/>
      <c r="H93" s="6">
        <f ca="1" t="array" ref="H93">INDEX(成本核算表!J:J,MATCH(1,(成本核算表!D:D=E93)*(成本核算表!C:C=G93),0))</f>
        <v>0</v>
      </c>
      <c r="I93" s="6"/>
      <c r="J93" s="6">
        <f ca="1" t="shared" si="5"/>
        <v>0</v>
      </c>
      <c r="K93" s="23"/>
      <c r="L93" s="23"/>
      <c r="N93" s="6">
        <f ca="1" t="shared" si="6"/>
        <v>0</v>
      </c>
      <c r="O93" s="6">
        <f ca="1" t="shared" si="7"/>
        <v>0</v>
      </c>
    </row>
    <row r="94" s="21" customFormat="1" ht="20" customHeight="1" spans="1:15">
      <c r="A94" s="22"/>
      <c r="B94" s="23"/>
      <c r="C94" s="24"/>
      <c r="D94" s="23"/>
      <c r="E94" s="23"/>
      <c r="F94" s="23"/>
      <c r="G94" s="23"/>
      <c r="H94" s="6">
        <f ca="1" t="array" ref="H94">INDEX(成本核算表!J:J,MATCH(1,(成本核算表!D:D=E94)*(成本核算表!C:C=G94),0))</f>
        <v>0</v>
      </c>
      <c r="I94" s="6"/>
      <c r="J94" s="6">
        <f ca="1" t="shared" si="5"/>
        <v>0</v>
      </c>
      <c r="K94" s="23"/>
      <c r="L94" s="23"/>
      <c r="N94" s="6">
        <f ca="1" t="shared" si="6"/>
        <v>0</v>
      </c>
      <c r="O94" s="6">
        <f ca="1" t="shared" si="7"/>
        <v>0</v>
      </c>
    </row>
    <row r="95" s="21" customFormat="1" ht="20" customHeight="1" spans="1:15">
      <c r="A95" s="22"/>
      <c r="B95" s="23"/>
      <c r="C95" s="24"/>
      <c r="D95" s="23"/>
      <c r="E95" s="23"/>
      <c r="F95" s="23"/>
      <c r="G95" s="23"/>
      <c r="H95" s="6">
        <f ca="1" t="array" ref="H95">INDEX(成本核算表!J:J,MATCH(1,(成本核算表!D:D=E95)*(成本核算表!C:C=G95),0))</f>
        <v>0</v>
      </c>
      <c r="I95" s="6"/>
      <c r="J95" s="6">
        <f ca="1" t="shared" si="5"/>
        <v>0</v>
      </c>
      <c r="K95" s="23"/>
      <c r="L95" s="23"/>
      <c r="N95" s="6">
        <f ca="1" t="shared" si="6"/>
        <v>0</v>
      </c>
      <c r="O95" s="6">
        <f ca="1" t="shared" si="7"/>
        <v>0</v>
      </c>
    </row>
    <row r="96" s="21" customFormat="1" ht="20" customHeight="1" spans="1:15">
      <c r="A96" s="22"/>
      <c r="B96" s="23"/>
      <c r="C96" s="24"/>
      <c r="D96" s="23"/>
      <c r="E96" s="23"/>
      <c r="F96" s="23"/>
      <c r="G96" s="23"/>
      <c r="H96" s="6">
        <f ca="1" t="array" ref="H96">INDEX(成本核算表!J:J,MATCH(1,(成本核算表!D:D=E96)*(成本核算表!C:C=G96),0))</f>
        <v>0</v>
      </c>
      <c r="I96" s="6"/>
      <c r="J96" s="6">
        <f ca="1" t="shared" si="5"/>
        <v>0</v>
      </c>
      <c r="K96" s="23"/>
      <c r="L96" s="23"/>
      <c r="N96" s="6">
        <f ca="1" t="shared" si="6"/>
        <v>0</v>
      </c>
      <c r="O96" s="6">
        <f ca="1" t="shared" si="7"/>
        <v>0</v>
      </c>
    </row>
    <row r="97" s="21" customFormat="1" ht="20" customHeight="1" spans="1:15">
      <c r="A97" s="22"/>
      <c r="B97" s="23"/>
      <c r="C97" s="24"/>
      <c r="D97" s="23"/>
      <c r="E97" s="23"/>
      <c r="F97" s="23"/>
      <c r="G97" s="23"/>
      <c r="H97" s="6">
        <f ca="1" t="array" ref="H97">INDEX(成本核算表!J:J,MATCH(1,(成本核算表!D:D=E97)*(成本核算表!C:C=G97),0))</f>
        <v>0</v>
      </c>
      <c r="I97" s="6"/>
      <c r="J97" s="6">
        <f ca="1" t="shared" si="5"/>
        <v>0</v>
      </c>
      <c r="K97" s="23"/>
      <c r="L97" s="23"/>
      <c r="N97" s="6">
        <f ca="1" t="shared" si="6"/>
        <v>0</v>
      </c>
      <c r="O97" s="6">
        <f ca="1" t="shared" si="7"/>
        <v>0</v>
      </c>
    </row>
    <row r="98" s="21" customFormat="1" ht="20" customHeight="1" spans="1:15">
      <c r="A98" s="22"/>
      <c r="B98" s="23"/>
      <c r="C98" s="24"/>
      <c r="D98" s="23"/>
      <c r="E98" s="23"/>
      <c r="F98" s="23"/>
      <c r="G98" s="23"/>
      <c r="H98" s="6">
        <f ca="1" t="array" ref="H98">INDEX(成本核算表!J:J,MATCH(1,(成本核算表!D:D=E98)*(成本核算表!C:C=G98),0))</f>
        <v>0</v>
      </c>
      <c r="I98" s="6"/>
      <c r="J98" s="6">
        <f ca="1" t="shared" si="5"/>
        <v>0</v>
      </c>
      <c r="K98" s="23"/>
      <c r="L98" s="23"/>
      <c r="N98" s="6">
        <f ca="1" t="shared" si="6"/>
        <v>0</v>
      </c>
      <c r="O98" s="6">
        <f ca="1" t="shared" si="7"/>
        <v>0</v>
      </c>
    </row>
    <row r="99" s="21" customFormat="1" ht="20" customHeight="1" spans="1:15">
      <c r="A99" s="22"/>
      <c r="B99" s="23"/>
      <c r="C99" s="24"/>
      <c r="D99" s="23"/>
      <c r="E99" s="23"/>
      <c r="F99" s="23"/>
      <c r="G99" s="23"/>
      <c r="H99" s="6">
        <f ca="1" t="array" ref="H99">INDEX(成本核算表!J:J,MATCH(1,(成本核算表!D:D=E99)*(成本核算表!C:C=G99),0))</f>
        <v>0</v>
      </c>
      <c r="I99" s="6"/>
      <c r="J99" s="6">
        <f ca="1" t="shared" si="5"/>
        <v>0</v>
      </c>
      <c r="K99" s="23"/>
      <c r="L99" s="23"/>
      <c r="N99" s="6">
        <f ca="1" t="shared" si="6"/>
        <v>0</v>
      </c>
      <c r="O99" s="6">
        <f ca="1" t="shared" si="7"/>
        <v>0</v>
      </c>
    </row>
    <row r="100" s="21" customFormat="1" ht="20" customHeight="1" spans="1:15">
      <c r="A100" s="22"/>
      <c r="B100" s="23"/>
      <c r="C100" s="24"/>
      <c r="D100" s="23"/>
      <c r="E100" s="23"/>
      <c r="F100" s="23"/>
      <c r="G100" s="23"/>
      <c r="H100" s="6">
        <f ca="1" t="array" ref="H100">INDEX(成本核算表!J:J,MATCH(1,(成本核算表!D:D=E100)*(成本核算表!C:C=G100),0))</f>
        <v>0</v>
      </c>
      <c r="I100" s="6"/>
      <c r="J100" s="6">
        <f ca="1" t="shared" si="5"/>
        <v>0</v>
      </c>
      <c r="K100" s="23"/>
      <c r="L100" s="23"/>
      <c r="N100" s="6">
        <f ca="1" t="shared" si="6"/>
        <v>0</v>
      </c>
      <c r="O100" s="6">
        <f ca="1" t="shared" si="7"/>
        <v>0</v>
      </c>
    </row>
    <row r="101" s="21" customFormat="1" ht="20" customHeight="1" spans="1:15">
      <c r="A101" s="22"/>
      <c r="B101" s="23"/>
      <c r="C101" s="24"/>
      <c r="D101" s="23"/>
      <c r="E101" s="23"/>
      <c r="F101" s="23"/>
      <c r="G101" s="23"/>
      <c r="H101" s="6">
        <f ca="1" t="array" ref="H101">INDEX(成本核算表!J:J,MATCH(1,(成本核算表!D:D=E101)*(成本核算表!C:C=G101),0))</f>
        <v>0</v>
      </c>
      <c r="I101" s="6"/>
      <c r="J101" s="6">
        <f ca="1" t="shared" si="5"/>
        <v>0</v>
      </c>
      <c r="K101" s="23"/>
      <c r="L101" s="23"/>
      <c r="N101" s="6">
        <f ca="1" t="shared" si="6"/>
        <v>0</v>
      </c>
      <c r="O101" s="6">
        <f ca="1" t="shared" si="7"/>
        <v>0</v>
      </c>
    </row>
    <row r="102" s="21" customFormat="1" customHeight="1" spans="1:15">
      <c r="A102" s="22"/>
      <c r="B102" s="23"/>
      <c r="C102" s="24"/>
      <c r="D102" s="23"/>
      <c r="E102" s="23"/>
      <c r="F102" s="23"/>
      <c r="G102" s="23"/>
      <c r="H102" s="25"/>
      <c r="I102" s="25"/>
      <c r="J102" s="23"/>
      <c r="K102" s="23"/>
      <c r="L102" s="23"/>
    </row>
    <row r="103" s="21" customFormat="1" customHeight="1" spans="1:15">
      <c r="A103" s="22"/>
      <c r="B103" s="23"/>
      <c r="C103" s="24"/>
      <c r="D103" s="23"/>
      <c r="E103" s="23"/>
      <c r="F103" s="23"/>
      <c r="G103" s="23"/>
      <c r="H103" s="25"/>
      <c r="I103" s="25"/>
      <c r="J103" s="23"/>
      <c r="K103" s="23"/>
      <c r="L103" s="23"/>
    </row>
    <row r="104" s="21" customFormat="1" customHeight="1" spans="1:15">
      <c r="A104" s="22"/>
      <c r="B104" s="23"/>
      <c r="C104" s="24"/>
      <c r="D104" s="23"/>
      <c r="E104" s="23"/>
      <c r="F104" s="23"/>
      <c r="G104" s="23"/>
      <c r="H104" s="25"/>
      <c r="I104" s="25"/>
      <c r="J104" s="23"/>
      <c r="K104" s="23"/>
      <c r="L104" s="23"/>
    </row>
    <row r="105" s="21" customFormat="1" customHeight="1" spans="1:15">
      <c r="A105" s="22"/>
      <c r="B105" s="23"/>
      <c r="C105" s="24"/>
      <c r="D105" s="23"/>
      <c r="E105" s="23"/>
      <c r="F105" s="23"/>
      <c r="G105" s="23"/>
      <c r="H105" s="25"/>
      <c r="I105" s="25"/>
      <c r="J105" s="23"/>
      <c r="K105" s="23"/>
      <c r="L105" s="23"/>
    </row>
    <row r="106" s="21" customFormat="1" customHeight="1" spans="1:15">
      <c r="A106" s="22"/>
      <c r="B106" s="23"/>
      <c r="C106" s="24"/>
      <c r="D106" s="23"/>
      <c r="E106" s="23"/>
      <c r="F106" s="23"/>
      <c r="G106" s="23"/>
      <c r="H106" s="25"/>
      <c r="I106" s="25"/>
      <c r="J106" s="23"/>
      <c r="K106" s="23"/>
      <c r="L106" s="23"/>
    </row>
    <row r="107" s="21" customFormat="1" customHeight="1" spans="1:15">
      <c r="A107" s="22"/>
      <c r="B107" s="23"/>
      <c r="C107" s="24"/>
      <c r="D107" s="23"/>
      <c r="E107" s="23"/>
      <c r="F107" s="23"/>
      <c r="G107" s="23"/>
      <c r="H107" s="25"/>
      <c r="I107" s="25"/>
      <c r="J107" s="23"/>
      <c r="K107" s="23"/>
      <c r="L107" s="23"/>
    </row>
    <row r="108" s="21" customFormat="1" customHeight="1" spans="1:15">
      <c r="A108" s="22"/>
      <c r="B108" s="23"/>
      <c r="C108" s="24"/>
      <c r="D108" s="23"/>
      <c r="E108" s="23"/>
      <c r="F108" s="23"/>
      <c r="G108" s="23"/>
      <c r="H108" s="25"/>
      <c r="I108" s="25"/>
      <c r="J108" s="23"/>
      <c r="K108" s="23"/>
      <c r="L108" s="23"/>
    </row>
    <row r="109" s="21" customFormat="1" customHeight="1" spans="1:15">
      <c r="A109" s="22"/>
      <c r="B109" s="23"/>
      <c r="C109" s="24"/>
      <c r="D109" s="23"/>
      <c r="E109" s="23"/>
      <c r="F109" s="23"/>
      <c r="G109" s="23"/>
      <c r="H109" s="25"/>
      <c r="I109" s="25"/>
      <c r="J109" s="23"/>
      <c r="K109" s="23"/>
      <c r="L109" s="23"/>
    </row>
    <row r="110" s="21" customFormat="1" customHeight="1" spans="1:15">
      <c r="A110" s="22"/>
      <c r="B110" s="23"/>
      <c r="C110" s="24"/>
      <c r="D110" s="23"/>
      <c r="E110" s="23"/>
      <c r="F110" s="23"/>
      <c r="G110" s="23"/>
      <c r="H110" s="25"/>
      <c r="I110" s="25"/>
      <c r="J110" s="23"/>
      <c r="K110" s="23"/>
      <c r="L110" s="23"/>
    </row>
    <row r="111" s="21" customFormat="1" customHeight="1" spans="1:15">
      <c r="A111" s="22"/>
      <c r="B111" s="23"/>
      <c r="C111" s="24"/>
      <c r="D111" s="23"/>
      <c r="E111" s="23"/>
      <c r="F111" s="23"/>
      <c r="G111" s="23"/>
      <c r="H111" s="25"/>
      <c r="I111" s="25"/>
      <c r="J111" s="23"/>
      <c r="K111" s="23"/>
      <c r="L111" s="23"/>
    </row>
    <row r="112" s="21" customFormat="1" customHeight="1" spans="1:15">
      <c r="A112" s="22"/>
      <c r="B112" s="23"/>
      <c r="C112" s="24"/>
      <c r="D112" s="23"/>
      <c r="E112" s="23"/>
      <c r="F112" s="23"/>
      <c r="G112" s="23"/>
      <c r="H112" s="25"/>
      <c r="I112" s="25"/>
      <c r="J112" s="23"/>
      <c r="K112" s="23"/>
      <c r="L112" s="23"/>
    </row>
    <row r="113" s="21" customFormat="1" customHeight="1" spans="1:12">
      <c r="A113" s="22"/>
      <c r="B113" s="23"/>
      <c r="C113" s="24"/>
      <c r="D113" s="23"/>
      <c r="E113" s="23"/>
      <c r="F113" s="23"/>
      <c r="G113" s="23"/>
      <c r="H113" s="25"/>
      <c r="I113" s="25"/>
      <c r="J113" s="23"/>
      <c r="K113" s="23"/>
      <c r="L113" s="23"/>
    </row>
    <row r="114" s="21" customFormat="1" customHeight="1" spans="1:12">
      <c r="A114" s="22"/>
      <c r="B114" s="23"/>
      <c r="C114" s="24"/>
      <c r="D114" s="23"/>
      <c r="E114" s="23"/>
      <c r="F114" s="23"/>
      <c r="G114" s="23"/>
      <c r="H114" s="25"/>
      <c r="I114" s="25"/>
      <c r="J114" s="23"/>
      <c r="K114" s="23"/>
      <c r="L114" s="23"/>
    </row>
    <row r="115" s="21" customFormat="1" customHeight="1" spans="1:12">
      <c r="A115" s="22"/>
      <c r="B115" s="23"/>
      <c r="C115" s="24"/>
      <c r="D115" s="23"/>
      <c r="E115" s="23"/>
      <c r="F115" s="23"/>
      <c r="G115" s="23"/>
      <c r="H115" s="25"/>
      <c r="I115" s="25"/>
      <c r="J115" s="23"/>
      <c r="K115" s="23"/>
      <c r="L115" s="23"/>
    </row>
    <row r="116" s="21" customFormat="1" customHeight="1" spans="1:12">
      <c r="A116" s="22"/>
      <c r="B116" s="23"/>
      <c r="C116" s="24"/>
      <c r="D116" s="23"/>
      <c r="E116" s="23"/>
      <c r="F116" s="23"/>
      <c r="G116" s="23"/>
      <c r="H116" s="25"/>
      <c r="I116" s="25"/>
      <c r="J116" s="23"/>
      <c r="K116" s="23"/>
      <c r="L116" s="23"/>
    </row>
    <row r="117" s="21" customFormat="1" customHeight="1" spans="1:12">
      <c r="A117" s="22"/>
      <c r="B117" s="23"/>
      <c r="C117" s="24"/>
      <c r="D117" s="23"/>
      <c r="E117" s="23"/>
      <c r="F117" s="23"/>
      <c r="G117" s="23"/>
      <c r="H117" s="25"/>
      <c r="I117" s="25"/>
      <c r="J117" s="23"/>
      <c r="K117" s="23"/>
      <c r="L117" s="23"/>
    </row>
    <row r="118" s="21" customFormat="1" customHeight="1" spans="1:12">
      <c r="A118" s="22"/>
      <c r="B118" s="23"/>
      <c r="C118" s="24"/>
      <c r="D118" s="23"/>
      <c r="E118" s="23"/>
      <c r="F118" s="23"/>
      <c r="G118" s="23"/>
      <c r="H118" s="25"/>
      <c r="I118" s="25"/>
      <c r="J118" s="23"/>
      <c r="K118" s="23"/>
      <c r="L118" s="23"/>
    </row>
    <row r="119" s="21" customFormat="1" customHeight="1" spans="1:12">
      <c r="A119" s="22"/>
      <c r="B119" s="23"/>
      <c r="C119" s="24"/>
      <c r="D119" s="23"/>
      <c r="E119" s="23"/>
      <c r="F119" s="23"/>
      <c r="G119" s="23"/>
      <c r="H119" s="25"/>
      <c r="I119" s="25"/>
      <c r="J119" s="23"/>
      <c r="K119" s="23"/>
      <c r="L119" s="23"/>
    </row>
    <row r="120" s="21" customFormat="1" customHeight="1" spans="1:12">
      <c r="A120" s="22"/>
      <c r="B120" s="23"/>
      <c r="C120" s="24"/>
      <c r="D120" s="23"/>
      <c r="E120" s="23"/>
      <c r="F120" s="23"/>
      <c r="G120" s="23"/>
      <c r="H120" s="25"/>
      <c r="I120" s="25"/>
      <c r="J120" s="23"/>
      <c r="K120" s="23"/>
      <c r="L120" s="23"/>
    </row>
    <row r="121" s="21" customFormat="1" customHeight="1" spans="1:12">
      <c r="A121" s="22"/>
      <c r="B121" s="23"/>
      <c r="C121" s="24"/>
      <c r="D121" s="23"/>
      <c r="E121" s="23"/>
      <c r="F121" s="23"/>
      <c r="G121" s="23"/>
      <c r="H121" s="25"/>
      <c r="I121" s="25"/>
      <c r="J121" s="23"/>
      <c r="K121" s="23"/>
      <c r="L121" s="23"/>
    </row>
    <row r="122" s="21" customFormat="1" customHeight="1" spans="1:12">
      <c r="A122" s="22"/>
      <c r="B122" s="23"/>
      <c r="C122" s="24"/>
      <c r="D122" s="23"/>
      <c r="E122" s="23"/>
      <c r="F122" s="23"/>
      <c r="G122" s="23"/>
      <c r="H122" s="25"/>
      <c r="I122" s="25"/>
      <c r="J122" s="23"/>
      <c r="K122" s="23"/>
      <c r="L122" s="23"/>
    </row>
    <row r="123" s="21" customFormat="1" customHeight="1" spans="1:12">
      <c r="A123" s="22"/>
      <c r="B123" s="23"/>
      <c r="C123" s="24"/>
      <c r="D123" s="23"/>
      <c r="E123" s="23"/>
      <c r="F123" s="23"/>
      <c r="G123" s="23"/>
      <c r="H123" s="25"/>
      <c r="I123" s="25"/>
      <c r="J123" s="23"/>
      <c r="K123" s="23"/>
      <c r="L123" s="23"/>
    </row>
    <row r="124" s="21" customFormat="1" customHeight="1" spans="1:12">
      <c r="A124" s="22"/>
      <c r="B124" s="23"/>
      <c r="C124" s="24"/>
      <c r="D124" s="23"/>
      <c r="E124" s="23"/>
      <c r="F124" s="23"/>
      <c r="G124" s="23"/>
      <c r="H124" s="25"/>
      <c r="I124" s="25"/>
      <c r="J124" s="23"/>
      <c r="K124" s="23"/>
      <c r="L124" s="23"/>
    </row>
    <row r="125" s="21" customFormat="1" customHeight="1" spans="1:12">
      <c r="A125" s="22"/>
      <c r="B125" s="23"/>
      <c r="C125" s="24"/>
      <c r="D125" s="23"/>
      <c r="E125" s="23"/>
      <c r="F125" s="23"/>
      <c r="G125" s="23"/>
      <c r="H125" s="25"/>
      <c r="I125" s="25"/>
      <c r="J125" s="23"/>
      <c r="K125" s="23"/>
      <c r="L125" s="23"/>
    </row>
    <row r="126" s="21" customFormat="1" customHeight="1" spans="1:12">
      <c r="A126" s="22"/>
      <c r="B126" s="23"/>
      <c r="C126" s="24"/>
      <c r="D126" s="23"/>
      <c r="E126" s="23"/>
      <c r="F126" s="23"/>
      <c r="G126" s="23"/>
      <c r="H126" s="25"/>
      <c r="I126" s="25"/>
      <c r="J126" s="23"/>
      <c r="K126" s="23"/>
      <c r="L126" s="23"/>
    </row>
    <row r="127" s="21" customFormat="1" customHeight="1" spans="1:12">
      <c r="A127" s="22"/>
      <c r="B127" s="23"/>
      <c r="C127" s="24"/>
      <c r="D127" s="23"/>
      <c r="E127" s="23"/>
      <c r="F127" s="23"/>
      <c r="G127" s="23"/>
      <c r="H127" s="25"/>
      <c r="I127" s="25"/>
      <c r="J127" s="23"/>
      <c r="K127" s="23"/>
      <c r="L127" s="23"/>
    </row>
    <row r="128" s="21" customFormat="1" customHeight="1" spans="1:12">
      <c r="A128" s="22"/>
      <c r="B128" s="23"/>
      <c r="C128" s="24"/>
      <c r="D128" s="23"/>
      <c r="E128" s="23"/>
      <c r="F128" s="23"/>
      <c r="G128" s="23"/>
      <c r="H128" s="25"/>
      <c r="I128" s="25"/>
      <c r="J128" s="23"/>
      <c r="K128" s="23"/>
      <c r="L128" s="23"/>
    </row>
    <row r="129" s="21" customFormat="1" customHeight="1" spans="1:12">
      <c r="A129" s="22"/>
      <c r="B129" s="23"/>
      <c r="C129" s="24"/>
      <c r="D129" s="23"/>
      <c r="E129" s="23"/>
      <c r="F129" s="23"/>
      <c r="G129" s="23"/>
      <c r="H129" s="25"/>
      <c r="I129" s="25"/>
      <c r="J129" s="23"/>
      <c r="K129" s="23"/>
      <c r="L129" s="23"/>
    </row>
    <row r="130" s="21" customFormat="1" customHeight="1" spans="1:12">
      <c r="A130" s="22"/>
      <c r="B130" s="23"/>
      <c r="C130" s="24"/>
      <c r="D130" s="23"/>
      <c r="E130" s="23"/>
      <c r="F130" s="23"/>
      <c r="G130" s="23"/>
      <c r="H130" s="25"/>
      <c r="I130" s="25"/>
      <c r="J130" s="23"/>
      <c r="K130" s="23"/>
      <c r="L130" s="23"/>
    </row>
    <row r="131" s="21" customFormat="1" customHeight="1" spans="1:12">
      <c r="A131" s="22"/>
      <c r="B131" s="23"/>
      <c r="C131" s="24"/>
      <c r="D131" s="23"/>
      <c r="E131" s="23"/>
      <c r="F131" s="23"/>
      <c r="G131" s="23"/>
      <c r="H131" s="25"/>
      <c r="I131" s="25"/>
      <c r="J131" s="23"/>
      <c r="K131" s="23"/>
      <c r="L131" s="23"/>
    </row>
    <row r="132" s="21" customFormat="1" customHeight="1" spans="1:12">
      <c r="A132" s="22"/>
      <c r="B132" s="23"/>
      <c r="C132" s="24"/>
      <c r="D132" s="23"/>
      <c r="E132" s="23"/>
      <c r="F132" s="23"/>
      <c r="G132" s="23"/>
      <c r="H132" s="25"/>
      <c r="I132" s="25"/>
      <c r="J132" s="23"/>
      <c r="K132" s="23"/>
      <c r="L132" s="23"/>
    </row>
    <row r="133" s="21" customFormat="1" customHeight="1" spans="1:12">
      <c r="A133" s="22"/>
      <c r="B133" s="23"/>
      <c r="C133" s="24"/>
      <c r="D133" s="23"/>
      <c r="E133" s="23"/>
      <c r="F133" s="23"/>
      <c r="G133" s="23"/>
      <c r="H133" s="25"/>
      <c r="I133" s="25"/>
      <c r="J133" s="23"/>
      <c r="K133" s="23"/>
      <c r="L133" s="23"/>
    </row>
    <row r="134" s="21" customFormat="1" customHeight="1" spans="1:12">
      <c r="A134" s="22"/>
      <c r="B134" s="23"/>
      <c r="C134" s="24"/>
      <c r="D134" s="23"/>
      <c r="E134" s="23"/>
      <c r="F134" s="23"/>
      <c r="G134" s="23"/>
      <c r="H134" s="25"/>
      <c r="I134" s="25"/>
      <c r="J134" s="23"/>
      <c r="K134" s="23"/>
      <c r="L134" s="23"/>
    </row>
    <row r="135" s="21" customFormat="1" customHeight="1" spans="1:12">
      <c r="A135" s="22"/>
      <c r="B135" s="23"/>
      <c r="C135" s="24"/>
      <c r="D135" s="23"/>
      <c r="E135" s="23"/>
      <c r="F135" s="23"/>
      <c r="G135" s="23"/>
      <c r="H135" s="25"/>
      <c r="I135" s="25"/>
      <c r="J135" s="23"/>
      <c r="K135" s="23"/>
      <c r="L135" s="23"/>
    </row>
    <row r="136" s="21" customFormat="1" customHeight="1" spans="1:12">
      <c r="A136" s="22"/>
      <c r="B136" s="23"/>
      <c r="C136" s="24"/>
      <c r="D136" s="23"/>
      <c r="E136" s="23"/>
      <c r="F136" s="23"/>
      <c r="G136" s="23"/>
      <c r="H136" s="25"/>
      <c r="I136" s="25"/>
      <c r="J136" s="23"/>
      <c r="K136" s="23"/>
      <c r="L136" s="23"/>
    </row>
    <row r="137" s="21" customFormat="1" customHeight="1" spans="1:12">
      <c r="A137" s="22"/>
      <c r="B137" s="23"/>
      <c r="C137" s="24"/>
      <c r="D137" s="23"/>
      <c r="E137" s="23"/>
      <c r="F137" s="23"/>
      <c r="G137" s="23"/>
      <c r="H137" s="25"/>
      <c r="I137" s="25"/>
      <c r="J137" s="23"/>
      <c r="K137" s="23"/>
      <c r="L137" s="23"/>
    </row>
    <row r="138" s="21" customFormat="1" customHeight="1" spans="1:12">
      <c r="A138" s="22"/>
      <c r="B138" s="23"/>
      <c r="C138" s="24"/>
      <c r="D138" s="23"/>
      <c r="E138" s="23"/>
      <c r="F138" s="23"/>
      <c r="G138" s="23"/>
      <c r="H138" s="25"/>
      <c r="I138" s="25"/>
      <c r="J138" s="23"/>
      <c r="K138" s="23"/>
      <c r="L138" s="23"/>
    </row>
    <row r="139" s="21" customFormat="1" customHeight="1" spans="1:12">
      <c r="A139" s="22"/>
      <c r="B139" s="23"/>
      <c r="C139" s="24"/>
      <c r="D139" s="23"/>
      <c r="E139" s="23"/>
      <c r="F139" s="23"/>
      <c r="G139" s="23"/>
      <c r="H139" s="25"/>
      <c r="I139" s="25"/>
      <c r="J139" s="23"/>
      <c r="K139" s="23"/>
      <c r="L139" s="23"/>
    </row>
    <row r="140" s="21" customFormat="1" customHeight="1" spans="1:12">
      <c r="A140" s="22"/>
      <c r="B140" s="23"/>
      <c r="C140" s="24"/>
      <c r="D140" s="23"/>
      <c r="E140" s="23"/>
      <c r="F140" s="23"/>
      <c r="G140" s="23"/>
      <c r="H140" s="25"/>
      <c r="I140" s="25"/>
      <c r="J140" s="23"/>
      <c r="K140" s="23"/>
      <c r="L140" s="23"/>
    </row>
    <row r="141" s="21" customFormat="1" customHeight="1" spans="1:12">
      <c r="A141" s="22"/>
      <c r="B141" s="23"/>
      <c r="C141" s="24"/>
      <c r="D141" s="23"/>
      <c r="E141" s="23"/>
      <c r="F141" s="23"/>
      <c r="G141" s="23"/>
      <c r="H141" s="25"/>
      <c r="I141" s="25"/>
      <c r="J141" s="23"/>
      <c r="K141" s="23"/>
      <c r="L141" s="23"/>
    </row>
    <row r="142" s="21" customFormat="1" customHeight="1" spans="1:12">
      <c r="A142" s="22"/>
      <c r="B142" s="23"/>
      <c r="C142" s="24"/>
      <c r="D142" s="23"/>
      <c r="E142" s="23"/>
      <c r="F142" s="23"/>
      <c r="G142" s="23"/>
      <c r="H142" s="25"/>
      <c r="I142" s="25"/>
      <c r="J142" s="23"/>
      <c r="K142" s="23"/>
      <c r="L142" s="23"/>
    </row>
    <row r="143" s="21" customFormat="1" customHeight="1" spans="1:12">
      <c r="A143" s="22"/>
      <c r="B143" s="23"/>
      <c r="C143" s="24"/>
      <c r="D143" s="23"/>
      <c r="E143" s="23"/>
      <c r="F143" s="23"/>
      <c r="G143" s="23"/>
      <c r="H143" s="25"/>
      <c r="I143" s="25"/>
      <c r="J143" s="23"/>
      <c r="K143" s="23"/>
      <c r="L143" s="23"/>
    </row>
    <row r="144" s="21" customFormat="1" customHeight="1" spans="1:12">
      <c r="A144" s="22"/>
      <c r="B144" s="23"/>
      <c r="C144" s="24"/>
      <c r="D144" s="23"/>
      <c r="E144" s="23"/>
      <c r="F144" s="23"/>
      <c r="G144" s="23"/>
      <c r="H144" s="25"/>
      <c r="I144" s="25"/>
      <c r="J144" s="23"/>
      <c r="K144" s="23"/>
      <c r="L144" s="23"/>
    </row>
    <row r="145" s="21" customFormat="1" customHeight="1" spans="1:12">
      <c r="A145" s="22"/>
      <c r="B145" s="23"/>
      <c r="C145" s="24"/>
      <c r="D145" s="23"/>
      <c r="E145" s="23"/>
      <c r="F145" s="23"/>
      <c r="G145" s="23"/>
      <c r="H145" s="25"/>
      <c r="I145" s="25"/>
      <c r="J145" s="23"/>
      <c r="K145" s="23"/>
      <c r="L145" s="23"/>
    </row>
    <row r="146" s="21" customFormat="1" customHeight="1" spans="1:12">
      <c r="A146" s="22"/>
      <c r="B146" s="23"/>
      <c r="C146" s="24"/>
      <c r="D146" s="23"/>
      <c r="E146" s="23"/>
      <c r="F146" s="23"/>
      <c r="G146" s="23"/>
      <c r="H146" s="25"/>
      <c r="I146" s="25"/>
      <c r="J146" s="23"/>
      <c r="K146" s="23"/>
      <c r="L146" s="23"/>
    </row>
    <row r="147" s="21" customFormat="1" customHeight="1" spans="1:12">
      <c r="A147" s="22"/>
      <c r="B147" s="23"/>
      <c r="C147" s="24"/>
      <c r="D147" s="23"/>
      <c r="E147" s="23"/>
      <c r="F147" s="23"/>
      <c r="G147" s="23"/>
      <c r="H147" s="25"/>
      <c r="I147" s="25"/>
      <c r="J147" s="23"/>
      <c r="K147" s="23"/>
      <c r="L147" s="23"/>
    </row>
    <row r="148" s="21" customFormat="1" customHeight="1" spans="1:12">
      <c r="A148" s="22"/>
      <c r="B148" s="23"/>
      <c r="C148" s="24"/>
      <c r="D148" s="23"/>
      <c r="E148" s="23"/>
      <c r="F148" s="23"/>
      <c r="G148" s="23"/>
      <c r="H148" s="25"/>
      <c r="I148" s="25"/>
      <c r="J148" s="23"/>
      <c r="K148" s="23"/>
      <c r="L148" s="23"/>
    </row>
    <row r="149" s="21" customFormat="1" customHeight="1" spans="1:12">
      <c r="A149" s="22"/>
      <c r="B149" s="23"/>
      <c r="C149" s="24"/>
      <c r="D149" s="23"/>
      <c r="E149" s="23"/>
      <c r="F149" s="23"/>
      <c r="G149" s="23"/>
      <c r="H149" s="25"/>
      <c r="I149" s="25"/>
      <c r="J149" s="23"/>
      <c r="K149" s="23"/>
      <c r="L149" s="23"/>
    </row>
    <row r="150" s="21" customFormat="1" customHeight="1" spans="1:12">
      <c r="A150" s="22"/>
      <c r="B150" s="23"/>
      <c r="C150" s="24"/>
      <c r="D150" s="23"/>
      <c r="E150" s="23"/>
      <c r="F150" s="23"/>
      <c r="G150" s="23"/>
      <c r="H150" s="25"/>
      <c r="I150" s="25"/>
      <c r="J150" s="23"/>
      <c r="K150" s="23"/>
      <c r="L150" s="23"/>
    </row>
    <row r="151" s="21" customFormat="1" customHeight="1" spans="1:12">
      <c r="A151" s="22"/>
      <c r="B151" s="23"/>
      <c r="C151" s="24"/>
      <c r="D151" s="23"/>
      <c r="E151" s="23"/>
      <c r="F151" s="23"/>
      <c r="G151" s="23"/>
      <c r="H151" s="25"/>
      <c r="I151" s="25"/>
      <c r="J151" s="23"/>
      <c r="K151" s="23"/>
      <c r="L151" s="23"/>
    </row>
    <row r="152" s="21" customFormat="1" customHeight="1" spans="1:12">
      <c r="A152" s="22"/>
      <c r="B152" s="23"/>
      <c r="C152" s="24"/>
      <c r="D152" s="23"/>
      <c r="E152" s="23"/>
      <c r="F152" s="23"/>
      <c r="G152" s="23"/>
      <c r="H152" s="25"/>
      <c r="I152" s="25"/>
      <c r="J152" s="23"/>
      <c r="K152" s="23"/>
      <c r="L152" s="23"/>
    </row>
    <row r="153" s="21" customFormat="1" customHeight="1" spans="1:12">
      <c r="A153" s="22"/>
      <c r="B153" s="23"/>
      <c r="C153" s="24"/>
      <c r="D153" s="23"/>
      <c r="E153" s="23"/>
      <c r="F153" s="23"/>
      <c r="G153" s="23"/>
      <c r="H153" s="25"/>
      <c r="I153" s="25"/>
      <c r="J153" s="23"/>
      <c r="K153" s="23"/>
      <c r="L153" s="23"/>
    </row>
    <row r="154" s="21" customFormat="1" customHeight="1" spans="1:12">
      <c r="A154" s="22"/>
      <c r="B154" s="23"/>
      <c r="C154" s="24"/>
      <c r="D154" s="23"/>
      <c r="E154" s="23"/>
      <c r="F154" s="23"/>
      <c r="G154" s="23"/>
      <c r="H154" s="25"/>
      <c r="I154" s="25"/>
      <c r="J154" s="23"/>
      <c r="K154" s="23"/>
      <c r="L154" s="23"/>
    </row>
    <row r="155" s="21" customFormat="1" customHeight="1" spans="1:12">
      <c r="A155" s="22"/>
      <c r="B155" s="23"/>
      <c r="C155" s="24"/>
      <c r="D155" s="23"/>
      <c r="E155" s="23"/>
      <c r="F155" s="23"/>
      <c r="G155" s="23"/>
      <c r="H155" s="25"/>
      <c r="I155" s="25"/>
      <c r="J155" s="23"/>
      <c r="K155" s="23"/>
      <c r="L155" s="23"/>
    </row>
    <row r="156" s="21" customFormat="1" customHeight="1" spans="1:12">
      <c r="A156" s="22"/>
      <c r="B156" s="23"/>
      <c r="C156" s="24"/>
      <c r="D156" s="23"/>
      <c r="E156" s="23"/>
      <c r="F156" s="23"/>
      <c r="G156" s="23"/>
      <c r="H156" s="25"/>
      <c r="I156" s="25"/>
      <c r="J156" s="23"/>
      <c r="K156" s="23"/>
      <c r="L156" s="23"/>
    </row>
    <row r="157" s="21" customFormat="1" customHeight="1" spans="1:12">
      <c r="A157" s="22"/>
      <c r="B157" s="23"/>
      <c r="C157" s="24"/>
      <c r="D157" s="23"/>
      <c r="E157" s="23"/>
      <c r="F157" s="23"/>
      <c r="G157" s="23"/>
      <c r="H157" s="25"/>
      <c r="I157" s="25"/>
      <c r="J157" s="23"/>
      <c r="K157" s="23"/>
      <c r="L157" s="23"/>
    </row>
    <row r="158" s="21" customFormat="1" customHeight="1" spans="1:12">
      <c r="A158" s="22"/>
      <c r="B158" s="23"/>
      <c r="C158" s="24"/>
      <c r="D158" s="23"/>
      <c r="E158" s="23"/>
      <c r="F158" s="23"/>
      <c r="G158" s="23"/>
      <c r="H158" s="25"/>
      <c r="I158" s="25"/>
      <c r="J158" s="23"/>
      <c r="K158" s="23"/>
      <c r="L158" s="23"/>
    </row>
    <row r="159" s="21" customFormat="1" customHeight="1" spans="1:12">
      <c r="A159" s="22"/>
      <c r="B159" s="23"/>
      <c r="C159" s="24"/>
      <c r="D159" s="23"/>
      <c r="E159" s="23"/>
      <c r="F159" s="23"/>
      <c r="G159" s="23"/>
      <c r="H159" s="25"/>
      <c r="I159" s="25"/>
      <c r="J159" s="23"/>
      <c r="K159" s="23"/>
      <c r="L159" s="23"/>
    </row>
    <row r="160" s="21" customFormat="1" customHeight="1" spans="1:12">
      <c r="A160" s="22"/>
      <c r="B160" s="23"/>
      <c r="C160" s="24"/>
      <c r="D160" s="23"/>
      <c r="E160" s="23"/>
      <c r="F160" s="23"/>
      <c r="G160" s="23"/>
      <c r="H160" s="25"/>
      <c r="I160" s="25"/>
      <c r="J160" s="23"/>
      <c r="K160" s="23"/>
      <c r="L160" s="23"/>
    </row>
    <row r="161" s="21" customFormat="1" customHeight="1" spans="1:12">
      <c r="A161" s="22"/>
      <c r="B161" s="23"/>
      <c r="C161" s="24"/>
      <c r="D161" s="23"/>
      <c r="E161" s="23"/>
      <c r="F161" s="23"/>
      <c r="G161" s="23"/>
      <c r="H161" s="25"/>
      <c r="I161" s="25"/>
      <c r="J161" s="23"/>
      <c r="K161" s="23"/>
      <c r="L161" s="23"/>
    </row>
    <row r="162" s="21" customFormat="1" customHeight="1" spans="1:12">
      <c r="A162" s="22"/>
      <c r="B162" s="23"/>
      <c r="C162" s="24"/>
      <c r="D162" s="23"/>
      <c r="E162" s="23"/>
      <c r="F162" s="23"/>
      <c r="G162" s="23"/>
      <c r="H162" s="25"/>
      <c r="I162" s="25"/>
      <c r="J162" s="23"/>
      <c r="K162" s="23"/>
      <c r="L162" s="23"/>
    </row>
    <row r="163" s="21" customFormat="1" customHeight="1" spans="1:12">
      <c r="A163" s="22"/>
      <c r="B163" s="23"/>
      <c r="C163" s="24"/>
      <c r="D163" s="23"/>
      <c r="E163" s="23"/>
      <c r="F163" s="23"/>
      <c r="G163" s="23"/>
      <c r="H163" s="25"/>
      <c r="I163" s="25"/>
      <c r="J163" s="23"/>
      <c r="K163" s="23"/>
      <c r="L163" s="23"/>
    </row>
    <row r="164" s="21" customFormat="1" customHeight="1" spans="1:12">
      <c r="A164" s="22"/>
      <c r="B164" s="23"/>
      <c r="C164" s="24"/>
      <c r="D164" s="23"/>
      <c r="E164" s="23"/>
      <c r="F164" s="23"/>
      <c r="G164" s="23"/>
      <c r="H164" s="25"/>
      <c r="I164" s="25"/>
      <c r="J164" s="23"/>
      <c r="K164" s="23"/>
      <c r="L164" s="23"/>
    </row>
    <row r="165" s="21" customFormat="1" customHeight="1" spans="1:12">
      <c r="A165" s="22"/>
      <c r="B165" s="23"/>
      <c r="C165" s="24"/>
      <c r="D165" s="23"/>
      <c r="E165" s="23"/>
      <c r="F165" s="23"/>
      <c r="G165" s="23"/>
      <c r="H165" s="25"/>
      <c r="I165" s="25"/>
      <c r="J165" s="23"/>
      <c r="K165" s="23"/>
      <c r="L165" s="23"/>
    </row>
    <row r="166" s="21" customFormat="1" customHeight="1" spans="1:12">
      <c r="A166" s="22"/>
      <c r="B166" s="23"/>
      <c r="C166" s="24"/>
      <c r="D166" s="23"/>
      <c r="E166" s="23"/>
      <c r="F166" s="23"/>
      <c r="G166" s="23"/>
      <c r="H166" s="25"/>
      <c r="I166" s="25"/>
      <c r="J166" s="23"/>
      <c r="K166" s="23"/>
      <c r="L166" s="23"/>
    </row>
    <row r="167" s="21" customFormat="1" customHeight="1" spans="1:12">
      <c r="A167" s="22"/>
      <c r="B167" s="23"/>
      <c r="C167" s="24"/>
      <c r="D167" s="23"/>
      <c r="E167" s="23"/>
      <c r="F167" s="23"/>
      <c r="G167" s="23"/>
      <c r="H167" s="25"/>
      <c r="I167" s="25"/>
      <c r="J167" s="23"/>
      <c r="K167" s="23"/>
      <c r="L167" s="23"/>
    </row>
    <row r="168" s="21" customFormat="1" customHeight="1" spans="1:12">
      <c r="A168" s="22"/>
      <c r="B168" s="23"/>
      <c r="C168" s="24"/>
      <c r="D168" s="23"/>
      <c r="E168" s="23"/>
      <c r="F168" s="23"/>
      <c r="G168" s="23"/>
      <c r="H168" s="25"/>
      <c r="I168" s="25"/>
      <c r="J168" s="23"/>
      <c r="K168" s="23"/>
      <c r="L168" s="23"/>
    </row>
    <row r="169" s="21" customFormat="1" customHeight="1" spans="1:12">
      <c r="A169" s="22"/>
      <c r="B169" s="23"/>
      <c r="C169" s="24"/>
      <c r="D169" s="23"/>
      <c r="E169" s="23"/>
      <c r="F169" s="23"/>
      <c r="G169" s="23"/>
      <c r="H169" s="25"/>
      <c r="I169" s="25"/>
      <c r="J169" s="23"/>
      <c r="K169" s="23"/>
      <c r="L169" s="23"/>
    </row>
    <row r="170" s="21" customFormat="1" customHeight="1" spans="1:12">
      <c r="A170" s="22"/>
      <c r="B170" s="23"/>
      <c r="C170" s="24"/>
      <c r="D170" s="23"/>
      <c r="E170" s="23"/>
      <c r="F170" s="23"/>
      <c r="G170" s="23"/>
      <c r="H170" s="25"/>
      <c r="I170" s="25"/>
      <c r="J170" s="23"/>
      <c r="K170" s="23"/>
      <c r="L170" s="23"/>
    </row>
    <row r="171" s="21" customFormat="1" customHeight="1" spans="1:12">
      <c r="A171" s="22"/>
      <c r="B171" s="23"/>
      <c r="C171" s="24"/>
      <c r="D171" s="23"/>
      <c r="E171" s="23"/>
      <c r="F171" s="23"/>
      <c r="G171" s="23"/>
      <c r="H171" s="25"/>
      <c r="I171" s="25"/>
      <c r="J171" s="23"/>
      <c r="K171" s="23"/>
      <c r="L171" s="23"/>
    </row>
    <row r="172" s="21" customFormat="1" customHeight="1" spans="1:12">
      <c r="A172" s="22"/>
      <c r="B172" s="23"/>
      <c r="C172" s="24"/>
      <c r="D172" s="23"/>
      <c r="E172" s="23"/>
      <c r="F172" s="23"/>
      <c r="G172" s="23"/>
      <c r="H172" s="25"/>
      <c r="I172" s="25"/>
      <c r="J172" s="23"/>
      <c r="K172" s="23"/>
      <c r="L172" s="23"/>
    </row>
    <row r="173" s="21" customFormat="1" customHeight="1" spans="1:12">
      <c r="A173" s="22"/>
      <c r="B173" s="23"/>
      <c r="C173" s="24"/>
      <c r="D173" s="23"/>
      <c r="E173" s="23"/>
      <c r="F173" s="23"/>
      <c r="G173" s="23"/>
      <c r="H173" s="25"/>
      <c r="I173" s="25"/>
      <c r="J173" s="23"/>
      <c r="K173" s="23"/>
      <c r="L173" s="23"/>
    </row>
    <row r="174" s="21" customFormat="1" customHeight="1" spans="1:12">
      <c r="A174" s="22"/>
      <c r="B174" s="23"/>
      <c r="C174" s="24"/>
      <c r="D174" s="23"/>
      <c r="E174" s="23"/>
      <c r="F174" s="23"/>
      <c r="G174" s="23"/>
      <c r="H174" s="25"/>
      <c r="I174" s="25"/>
      <c r="J174" s="23"/>
      <c r="K174" s="23"/>
      <c r="L174" s="23"/>
    </row>
    <row r="175" s="21" customFormat="1" customHeight="1" spans="1:12">
      <c r="A175" s="22"/>
      <c r="B175" s="23"/>
      <c r="C175" s="24"/>
      <c r="D175" s="23"/>
      <c r="E175" s="23"/>
      <c r="F175" s="23"/>
      <c r="G175" s="23"/>
      <c r="H175" s="25"/>
      <c r="I175" s="25"/>
      <c r="J175" s="23"/>
      <c r="K175" s="23"/>
      <c r="L175" s="23"/>
    </row>
    <row r="176" s="21" customFormat="1" customHeight="1" spans="1:12">
      <c r="A176" s="22"/>
      <c r="B176" s="23"/>
      <c r="C176" s="24"/>
      <c r="D176" s="23"/>
      <c r="E176" s="23"/>
      <c r="F176" s="23"/>
      <c r="G176" s="23"/>
      <c r="H176" s="25"/>
      <c r="I176" s="25"/>
      <c r="J176" s="23"/>
      <c r="K176" s="23"/>
      <c r="L176" s="23"/>
    </row>
    <row r="177" s="21" customFormat="1" customHeight="1" spans="1:12">
      <c r="A177" s="22"/>
      <c r="B177" s="23"/>
      <c r="C177" s="24"/>
      <c r="D177" s="23"/>
      <c r="E177" s="23"/>
      <c r="F177" s="23"/>
      <c r="G177" s="23"/>
      <c r="H177" s="25"/>
      <c r="I177" s="25"/>
      <c r="J177" s="23"/>
      <c r="K177" s="23"/>
      <c r="L177" s="23"/>
    </row>
    <row r="178" s="21" customFormat="1" customHeight="1" spans="1:12">
      <c r="A178" s="22"/>
      <c r="B178" s="23"/>
      <c r="C178" s="24"/>
      <c r="D178" s="23"/>
      <c r="E178" s="23"/>
      <c r="F178" s="23"/>
      <c r="G178" s="23"/>
      <c r="H178" s="25"/>
      <c r="I178" s="25"/>
      <c r="J178" s="23"/>
      <c r="K178" s="23"/>
      <c r="L178" s="23"/>
    </row>
    <row r="179" s="21" customFormat="1" customHeight="1" spans="1:12">
      <c r="A179" s="22"/>
      <c r="B179" s="23"/>
      <c r="C179" s="24"/>
      <c r="D179" s="23"/>
      <c r="E179" s="23"/>
      <c r="F179" s="23"/>
      <c r="G179" s="23"/>
      <c r="H179" s="25"/>
      <c r="I179" s="25"/>
      <c r="J179" s="23"/>
      <c r="K179" s="23"/>
      <c r="L179" s="23"/>
    </row>
  </sheetData>
  <sheetCalcPr fullCalcOnLoad="1"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302"/>
  <sheetViews>
    <sheetView zoomScale="80" zoomScaleNormal="80" workbookViewId="0">
      <pane xSplit="1" ySplit="2" topLeftCell="Q36" activePane="bottomRight" state="frozen"/>
      <selection/>
      <selection pane="topRight"/>
      <selection pane="bottomLeft"/>
      <selection pane="bottomRight" activeCell="Q129" sqref="Q129"/>
    </sheetView>
  </sheetViews>
  <sheetFormatPr defaultColWidth="9" defaultRowHeight="13.5"/>
  <cols>
    <col min="1" max="1" width="4.375" style="7" customWidth="1"/>
    <col min="2" max="2" width="15.375" style="7" customWidth="1"/>
    <col min="3" max="3" width="10.875" style="7" customWidth="1"/>
    <col min="4" max="4" width="12" style="7" customWidth="1"/>
    <col min="5" max="5" width="12.5" style="7" customWidth="1"/>
    <col min="6" max="6" width="7.375" style="7" customWidth="1"/>
    <col min="7" max="7" width="8.125" style="7" hidden="1" customWidth="1"/>
    <col min="8" max="8" width="10.375" style="7" hidden="1" customWidth="1"/>
    <col min="9" max="9" width="4.5" style="7" hidden="1" customWidth="1"/>
    <col min="10" max="10" width="9.375" style="7" customWidth="1"/>
    <col min="11" max="12" width="7.375" style="7" hidden="1" customWidth="1"/>
    <col min="13" max="13" width="10.625" style="7" customWidth="1"/>
    <col min="14" max="14" width="6.375" style="7" hidden="1" customWidth="1"/>
    <col min="15" max="15" width="7.375" style="7" hidden="1" customWidth="1"/>
    <col min="16" max="16" width="10.125" style="7" hidden="1" customWidth="1"/>
    <col min="17" max="17" width="9.5" style="7" hidden="1" customWidth="1"/>
    <col min="18" max="18" width="7" style="7" customWidth="1"/>
    <col min="19" max="24" width="9" style="7"/>
    <col min="25" max="25" width="12.5" style="7" customWidth="1"/>
    <col min="26" max="16384" width="9" style="7"/>
  </cols>
  <sheetData>
    <row r="1" s="7" customFormat="1" ht="33" customHeight="1" spans="1:19">
      <c r="A1" s="9" t="s">
        <v>269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="8" customFormat="1" ht="55" customHeight="1" spans="1:19">
      <c r="A2" s="11" t="s">
        <v>270</v>
      </c>
      <c r="B2" s="11" t="s">
        <v>271</v>
      </c>
      <c r="C2" s="11" t="s">
        <v>6</v>
      </c>
      <c r="D2" s="11" t="s">
        <v>272</v>
      </c>
      <c r="E2" s="11" t="s">
        <v>273</v>
      </c>
      <c r="F2" s="11" t="s">
        <v>274</v>
      </c>
      <c r="G2" s="11" t="s">
        <v>275</v>
      </c>
      <c r="H2" s="11" t="s">
        <v>276</v>
      </c>
      <c r="I2" s="11" t="s">
        <v>277</v>
      </c>
      <c r="J2" s="11" t="s">
        <v>278</v>
      </c>
      <c r="K2" s="11" t="s">
        <v>279</v>
      </c>
      <c r="L2" s="11" t="s">
        <v>280</v>
      </c>
      <c r="M2" s="11" t="s">
        <v>281</v>
      </c>
      <c r="N2" s="11" t="s">
        <v>282</v>
      </c>
      <c r="O2" s="11" t="s">
        <v>283</v>
      </c>
      <c r="P2" s="11" t="s">
        <v>15</v>
      </c>
      <c r="Q2" s="11" t="s">
        <v>284</v>
      </c>
      <c r="R2" s="11" t="s">
        <v>16</v>
      </c>
      <c r="S2" s="12"/>
    </row>
    <row r="3" s="7" customFormat="1" ht="20" hidden="1" customHeight="1" spans="1:19">
      <c r="A3" s="6"/>
      <c r="B3" s="5" t="s">
        <v>285</v>
      </c>
      <c r="C3" s="5" t="s">
        <v>61</v>
      </c>
      <c r="D3" s="5" t="s">
        <v>76</v>
      </c>
      <c r="E3" s="6"/>
      <c r="F3" s="6"/>
      <c r="G3" s="6"/>
      <c r="H3" s="6"/>
      <c r="I3" s="6"/>
      <c r="J3" s="6">
        <v>70</v>
      </c>
      <c r="K3" s="6"/>
      <c r="L3" s="6"/>
      <c r="M3" s="6">
        <v>40</v>
      </c>
      <c r="N3" s="6"/>
      <c r="O3" s="6"/>
      <c r="P3" s="6"/>
      <c r="Q3" s="6"/>
      <c r="R3" s="6"/>
      <c r="S3" s="10"/>
    </row>
    <row r="4" s="7" customFormat="1" ht="20" hidden="1" customHeight="1" spans="1:19">
      <c r="A4" s="6">
        <v>63</v>
      </c>
      <c r="B4" s="6" t="s">
        <v>286</v>
      </c>
      <c r="C4" s="6" t="s">
        <v>22</v>
      </c>
      <c r="D4" s="13" t="s">
        <v>287</v>
      </c>
      <c r="E4" s="6"/>
      <c r="F4" s="6"/>
      <c r="G4" s="6"/>
      <c r="H4" s="6"/>
      <c r="I4" s="6"/>
      <c r="J4" s="6">
        <v>120</v>
      </c>
      <c r="K4" s="6"/>
      <c r="L4" s="6"/>
      <c r="M4" s="6">
        <v>80</v>
      </c>
      <c r="N4" s="6"/>
      <c r="O4" s="6"/>
      <c r="P4" s="6"/>
      <c r="Q4" s="6"/>
      <c r="R4" s="5" t="s">
        <v>288</v>
      </c>
      <c r="S4" s="10"/>
    </row>
    <row r="5" s="7" customFormat="1" ht="20" hidden="1" customHeight="1" spans="1:19">
      <c r="A5" s="6">
        <v>57</v>
      </c>
      <c r="B5" s="6" t="s">
        <v>286</v>
      </c>
      <c r="C5" s="6" t="s">
        <v>24</v>
      </c>
      <c r="D5" s="13" t="s">
        <v>145</v>
      </c>
      <c r="E5" s="6"/>
      <c r="F5" s="6"/>
      <c r="G5" s="6"/>
      <c r="H5" s="6"/>
      <c r="I5" s="6"/>
      <c r="J5" s="6">
        <v>90</v>
      </c>
      <c r="K5" s="6"/>
      <c r="L5" s="6"/>
      <c r="M5" s="6">
        <v>66</v>
      </c>
      <c r="N5" s="6"/>
      <c r="O5" s="6"/>
      <c r="P5" s="6"/>
      <c r="Q5" s="6"/>
      <c r="R5" s="5" t="s">
        <v>288</v>
      </c>
      <c r="S5" s="10"/>
    </row>
    <row r="6" s="7" customFormat="1" ht="20" hidden="1" customHeight="1" spans="1:19">
      <c r="A6" s="6">
        <v>58</v>
      </c>
      <c r="B6" s="6" t="s">
        <v>286</v>
      </c>
      <c r="C6" s="6" t="s">
        <v>25</v>
      </c>
      <c r="D6" s="13" t="s">
        <v>145</v>
      </c>
      <c r="E6" s="6"/>
      <c r="F6" s="6"/>
      <c r="G6" s="6"/>
      <c r="H6" s="6"/>
      <c r="I6" s="6"/>
      <c r="J6" s="6">
        <v>180</v>
      </c>
      <c r="K6" s="6"/>
      <c r="L6" s="6"/>
      <c r="M6" s="6">
        <v>134</v>
      </c>
      <c r="N6" s="6"/>
      <c r="O6" s="6"/>
      <c r="P6" s="6"/>
      <c r="Q6" s="6"/>
      <c r="R6" s="5" t="s">
        <v>288</v>
      </c>
      <c r="S6" s="10"/>
    </row>
    <row r="7" s="7" customFormat="1" ht="20" hidden="1" customHeight="1" spans="1:19">
      <c r="A7" s="6"/>
      <c r="B7" s="6" t="s">
        <v>286</v>
      </c>
      <c r="C7" s="6" t="s">
        <v>28</v>
      </c>
      <c r="D7" s="13" t="s">
        <v>145</v>
      </c>
      <c r="E7" s="6"/>
      <c r="F7" s="6"/>
      <c r="G7" s="6"/>
      <c r="H7" s="6"/>
      <c r="I7" s="6"/>
      <c r="J7" s="6">
        <v>30</v>
      </c>
      <c r="K7" s="6"/>
      <c r="L7" s="6"/>
      <c r="M7" s="6">
        <v>20</v>
      </c>
      <c r="N7" s="6"/>
      <c r="O7" s="6"/>
      <c r="P7" s="6"/>
      <c r="Q7" s="6"/>
      <c r="R7" s="5" t="s">
        <v>288</v>
      </c>
      <c r="S7" s="10"/>
    </row>
    <row r="8" s="7" customFormat="1" ht="20" hidden="1" customHeight="1" spans="1:19">
      <c r="A8" s="6">
        <v>59</v>
      </c>
      <c r="B8" s="6" t="s">
        <v>286</v>
      </c>
      <c r="C8" s="6" t="s">
        <v>289</v>
      </c>
      <c r="D8" s="13" t="s">
        <v>145</v>
      </c>
      <c r="E8" s="6"/>
      <c r="F8" s="6"/>
      <c r="G8" s="6"/>
      <c r="H8" s="6"/>
      <c r="I8" s="6"/>
      <c r="J8" s="6">
        <v>36</v>
      </c>
      <c r="K8" s="6"/>
      <c r="L8" s="6"/>
      <c r="M8" s="6">
        <v>20</v>
      </c>
      <c r="N8" s="6"/>
      <c r="O8" s="6"/>
      <c r="P8" s="6"/>
      <c r="Q8" s="6"/>
      <c r="R8" s="5" t="s">
        <v>288</v>
      </c>
      <c r="S8" s="10"/>
    </row>
    <row r="9" s="7" customFormat="1" ht="20" hidden="1" customHeight="1" spans="1:19">
      <c r="A9" s="6"/>
      <c r="B9" s="6" t="s">
        <v>286</v>
      </c>
      <c r="C9" s="5" t="s">
        <v>126</v>
      </c>
      <c r="D9" s="14" t="s">
        <v>290</v>
      </c>
      <c r="E9" s="6"/>
      <c r="F9" s="6"/>
      <c r="G9" s="6"/>
      <c r="H9" s="6"/>
      <c r="I9" s="6"/>
      <c r="J9" s="6">
        <v>45</v>
      </c>
      <c r="K9" s="6"/>
      <c r="L9" s="6"/>
      <c r="M9" s="6">
        <v>30</v>
      </c>
      <c r="N9" s="6"/>
      <c r="O9" s="6"/>
      <c r="P9" s="6"/>
      <c r="Q9" s="6"/>
      <c r="R9" s="5" t="s">
        <v>288</v>
      </c>
      <c r="S9" s="10"/>
    </row>
    <row r="10" s="7" customFormat="1" ht="20" hidden="1" customHeight="1" spans="1:19">
      <c r="A10" s="6"/>
      <c r="B10" s="6" t="s">
        <v>286</v>
      </c>
      <c r="C10" s="5" t="s">
        <v>181</v>
      </c>
      <c r="D10" s="14" t="s">
        <v>290</v>
      </c>
      <c r="E10" s="6"/>
      <c r="F10" s="6"/>
      <c r="G10" s="6"/>
      <c r="H10" s="6"/>
      <c r="I10" s="6"/>
      <c r="J10" s="6">
        <v>25</v>
      </c>
      <c r="K10" s="6"/>
      <c r="L10" s="6"/>
      <c r="M10" s="6">
        <v>15</v>
      </c>
      <c r="N10" s="6"/>
      <c r="O10" s="6"/>
      <c r="P10" s="6"/>
      <c r="Q10" s="6"/>
      <c r="R10" s="5" t="s">
        <v>288</v>
      </c>
      <c r="S10" s="10"/>
    </row>
    <row r="11" s="7" customFormat="1" ht="20" hidden="1" customHeight="1" spans="1:19">
      <c r="A11" s="6">
        <v>60</v>
      </c>
      <c r="B11" s="6" t="s">
        <v>286</v>
      </c>
      <c r="C11" s="6" t="s">
        <v>24</v>
      </c>
      <c r="D11" s="13" t="s">
        <v>146</v>
      </c>
      <c r="E11" s="6"/>
      <c r="F11" s="6"/>
      <c r="G11" s="6"/>
      <c r="H11" s="6"/>
      <c r="I11" s="6"/>
      <c r="J11" s="6">
        <v>75</v>
      </c>
      <c r="K11" s="6"/>
      <c r="L11" s="6"/>
      <c r="M11" s="6">
        <v>15</v>
      </c>
      <c r="N11" s="6"/>
      <c r="O11" s="6"/>
      <c r="P11" s="6"/>
      <c r="Q11" s="6"/>
      <c r="R11" s="5" t="s">
        <v>288</v>
      </c>
      <c r="S11" s="10"/>
    </row>
    <row r="12" s="7" customFormat="1" ht="20" hidden="1" customHeight="1" spans="1:19">
      <c r="A12" s="6">
        <v>61</v>
      </c>
      <c r="B12" s="6" t="s">
        <v>286</v>
      </c>
      <c r="C12" s="6" t="s">
        <v>25</v>
      </c>
      <c r="D12" s="13" t="s">
        <v>146</v>
      </c>
      <c r="E12" s="6"/>
      <c r="F12" s="6"/>
      <c r="G12" s="6"/>
      <c r="H12" s="6"/>
      <c r="I12" s="6"/>
      <c r="J12" s="6">
        <v>160</v>
      </c>
      <c r="K12" s="6"/>
      <c r="L12" s="6"/>
      <c r="M12" s="6">
        <v>129</v>
      </c>
      <c r="N12" s="6"/>
      <c r="O12" s="6"/>
      <c r="P12" s="6"/>
      <c r="Q12" s="6"/>
      <c r="R12" s="5" t="s">
        <v>288</v>
      </c>
      <c r="S12" s="10"/>
    </row>
    <row r="13" s="7" customFormat="1" ht="20" hidden="1" customHeight="1" spans="1:19">
      <c r="A13" s="6">
        <v>62</v>
      </c>
      <c r="B13" s="6" t="s">
        <v>286</v>
      </c>
      <c r="C13" s="6" t="s">
        <v>28</v>
      </c>
      <c r="D13" s="13" t="s">
        <v>146</v>
      </c>
      <c r="E13" s="6"/>
      <c r="F13" s="6"/>
      <c r="G13" s="6"/>
      <c r="H13" s="6"/>
      <c r="I13" s="6"/>
      <c r="J13" s="6">
        <v>90</v>
      </c>
      <c r="K13" s="6"/>
      <c r="L13" s="6"/>
      <c r="M13" s="6">
        <v>66</v>
      </c>
      <c r="N13" s="6"/>
      <c r="O13" s="6"/>
      <c r="P13" s="6"/>
      <c r="Q13" s="6"/>
      <c r="R13" s="5" t="s">
        <v>288</v>
      </c>
      <c r="S13" s="10"/>
    </row>
    <row r="14" s="7" customFormat="1" ht="20" hidden="1" customHeight="1" spans="1:19">
      <c r="A14" s="6"/>
      <c r="B14" s="6" t="s">
        <v>286</v>
      </c>
      <c r="C14" s="6" t="s">
        <v>22</v>
      </c>
      <c r="D14" s="14" t="s">
        <v>139</v>
      </c>
      <c r="E14" s="6"/>
      <c r="F14" s="6"/>
      <c r="G14" s="6"/>
      <c r="H14" s="6"/>
      <c r="I14" s="6"/>
      <c r="J14" s="6">
        <v>120</v>
      </c>
      <c r="K14" s="6"/>
      <c r="L14" s="6"/>
      <c r="M14" s="6">
        <v>85</v>
      </c>
      <c r="N14" s="6"/>
      <c r="O14" s="6"/>
      <c r="P14" s="6"/>
      <c r="Q14" s="6"/>
      <c r="R14" s="5" t="s">
        <v>288</v>
      </c>
      <c r="S14" s="10"/>
    </row>
    <row r="15" s="7" customFormat="1" ht="20" hidden="1" customHeight="1" spans="1:19">
      <c r="A15" s="6"/>
      <c r="B15" s="6"/>
      <c r="C15" s="5" t="s">
        <v>181</v>
      </c>
      <c r="D15" s="51" t="s">
        <v>190</v>
      </c>
      <c r="E15" s="6"/>
      <c r="F15" s="6">
        <v>110</v>
      </c>
      <c r="G15" s="6"/>
      <c r="H15" s="6"/>
      <c r="I15" s="6"/>
      <c r="J15" s="6">
        <v>5</v>
      </c>
      <c r="K15" s="6"/>
      <c r="L15" s="6"/>
      <c r="M15" s="6">
        <v>4</v>
      </c>
      <c r="N15" s="6"/>
      <c r="O15" s="6"/>
      <c r="P15" s="6"/>
      <c r="Q15" s="6"/>
      <c r="R15" s="6"/>
      <c r="S15" s="10"/>
    </row>
    <row r="16" s="7" customFormat="1" ht="20" hidden="1" customHeight="1" spans="1:19">
      <c r="A16" s="6"/>
      <c r="B16" s="6"/>
      <c r="C16" s="5" t="s">
        <v>153</v>
      </c>
      <c r="D16" s="51" t="s">
        <v>190</v>
      </c>
      <c r="E16" s="6"/>
      <c r="F16" s="6"/>
      <c r="G16" s="6"/>
      <c r="H16" s="6"/>
      <c r="I16" s="6"/>
      <c r="J16" s="6">
        <v>10</v>
      </c>
      <c r="K16" s="6"/>
      <c r="L16" s="6"/>
      <c r="M16" s="6">
        <v>6</v>
      </c>
      <c r="N16" s="6"/>
      <c r="O16" s="6"/>
      <c r="P16" s="6"/>
      <c r="Q16" s="6"/>
      <c r="R16" s="6"/>
      <c r="S16" s="10"/>
    </row>
    <row r="17" s="7" customFormat="1" ht="20" hidden="1" customHeight="1" spans="1:19">
      <c r="A17" s="6"/>
      <c r="B17" s="6"/>
      <c r="C17" s="5" t="s">
        <v>61</v>
      </c>
      <c r="D17" s="51" t="s">
        <v>239</v>
      </c>
      <c r="E17" s="6"/>
      <c r="F17" s="6"/>
      <c r="G17" s="6"/>
      <c r="H17" s="6"/>
      <c r="I17" s="6"/>
      <c r="J17" s="6">
        <v>15</v>
      </c>
      <c r="K17" s="6"/>
      <c r="L17" s="6"/>
      <c r="M17" s="6">
        <v>10</v>
      </c>
      <c r="N17" s="6"/>
      <c r="O17" s="6"/>
      <c r="P17" s="6"/>
      <c r="Q17" s="6"/>
      <c r="R17" s="6"/>
      <c r="S17" s="10"/>
    </row>
    <row r="18" s="7" customFormat="1" ht="20" hidden="1" customHeight="1" spans="1:19">
      <c r="A18" s="6"/>
      <c r="B18" s="6" t="s">
        <v>291</v>
      </c>
      <c r="C18" s="6" t="s">
        <v>181</v>
      </c>
      <c r="D18" s="6" t="s">
        <v>180</v>
      </c>
      <c r="E18" s="6"/>
      <c r="F18" s="6">
        <v>34.93</v>
      </c>
      <c r="G18" s="6"/>
      <c r="H18" s="6"/>
      <c r="I18" s="6"/>
      <c r="J18" s="6">
        <v>18</v>
      </c>
      <c r="K18" s="6"/>
      <c r="L18" s="6"/>
      <c r="M18" s="6">
        <v>15</v>
      </c>
      <c r="N18" s="6"/>
      <c r="O18" s="6"/>
      <c r="P18" s="6"/>
      <c r="Q18" s="6"/>
      <c r="R18" s="6"/>
      <c r="S18" s="10"/>
    </row>
    <row r="19" s="7" customFormat="1" ht="20" hidden="1" customHeight="1" spans="1:19">
      <c r="A19" s="6"/>
      <c r="B19" s="5" t="s">
        <v>291</v>
      </c>
      <c r="C19" s="5" t="s">
        <v>181</v>
      </c>
      <c r="D19" s="5" t="s">
        <v>184</v>
      </c>
      <c r="E19" s="6"/>
      <c r="F19" s="6"/>
      <c r="G19" s="6"/>
      <c r="H19" s="6"/>
      <c r="I19" s="6"/>
      <c r="J19" s="6">
        <v>2</v>
      </c>
      <c r="K19" s="6"/>
      <c r="L19" s="6"/>
      <c r="M19" s="6">
        <v>2</v>
      </c>
      <c r="N19" s="6"/>
      <c r="O19" s="6"/>
      <c r="P19" s="6"/>
      <c r="Q19" s="6"/>
      <c r="R19" s="6"/>
      <c r="S19" s="10"/>
    </row>
    <row r="20" s="7" customFormat="1" ht="20" hidden="1" customHeight="1" spans="1:19">
      <c r="A20" s="6"/>
      <c r="B20" s="5" t="s">
        <v>292</v>
      </c>
      <c r="C20" s="5" t="s">
        <v>181</v>
      </c>
      <c r="D20" s="5" t="s">
        <v>173</v>
      </c>
      <c r="E20" s="6"/>
      <c r="F20" s="6">
        <v>33.7</v>
      </c>
      <c r="G20" s="6"/>
      <c r="H20" s="6"/>
      <c r="I20" s="6"/>
      <c r="J20" s="6">
        <v>6</v>
      </c>
      <c r="K20" s="6"/>
      <c r="L20" s="6"/>
      <c r="M20" s="6">
        <v>4</v>
      </c>
      <c r="N20" s="6"/>
      <c r="O20" s="6"/>
      <c r="P20" s="6"/>
      <c r="Q20" s="6"/>
      <c r="R20" s="6"/>
      <c r="S20" s="10"/>
    </row>
    <row r="21" s="7" customFormat="1" ht="20" hidden="1" customHeight="1" spans="1:19">
      <c r="A21" s="6"/>
      <c r="B21" s="5" t="s">
        <v>292</v>
      </c>
      <c r="C21" s="5" t="s">
        <v>174</v>
      </c>
      <c r="D21" s="5" t="s">
        <v>173</v>
      </c>
      <c r="E21" s="6"/>
      <c r="F21" s="6">
        <v>33.7</v>
      </c>
      <c r="G21" s="6"/>
      <c r="H21" s="6"/>
      <c r="I21" s="6"/>
      <c r="J21" s="6">
        <v>20</v>
      </c>
      <c r="K21" s="6"/>
      <c r="L21" s="6"/>
      <c r="M21" s="6">
        <v>15</v>
      </c>
      <c r="N21" s="6"/>
      <c r="O21" s="6"/>
      <c r="P21" s="6"/>
      <c r="Q21" s="6"/>
      <c r="R21" s="6"/>
      <c r="S21" s="10"/>
    </row>
    <row r="22" s="7" customFormat="1" ht="20" hidden="1" customHeight="1" spans="1:19">
      <c r="B22" s="5" t="s">
        <v>292</v>
      </c>
      <c r="C22" s="5" t="s">
        <v>70</v>
      </c>
      <c r="D22" s="5" t="s">
        <v>96</v>
      </c>
      <c r="E22" s="6"/>
      <c r="F22" s="6"/>
      <c r="G22" s="6">
        <v>25</v>
      </c>
      <c r="H22" s="6"/>
      <c r="I22" s="6"/>
      <c r="J22" s="6">
        <v>15</v>
      </c>
      <c r="M22" s="6">
        <v>12</v>
      </c>
      <c r="S22" s="10"/>
    </row>
    <row r="23" s="7" customFormat="1" ht="20" hidden="1" customHeight="1" spans="1:19">
      <c r="B23" s="5" t="s">
        <v>292</v>
      </c>
      <c r="C23" s="5" t="s">
        <v>97</v>
      </c>
      <c r="D23" s="5" t="s">
        <v>96</v>
      </c>
      <c r="E23" s="6"/>
      <c r="F23" s="6"/>
      <c r="G23" s="6">
        <v>15</v>
      </c>
      <c r="H23" s="6"/>
      <c r="I23" s="6"/>
      <c r="J23" s="6">
        <v>10</v>
      </c>
      <c r="M23" s="6">
        <v>8</v>
      </c>
      <c r="S23" s="10"/>
    </row>
    <row r="24" s="7" customFormat="1" ht="20" hidden="1" customHeight="1" spans="1:19">
      <c r="B24" s="5" t="s">
        <v>292</v>
      </c>
      <c r="C24" s="5" t="s">
        <v>121</v>
      </c>
      <c r="D24" s="5" t="s">
        <v>96</v>
      </c>
      <c r="E24" s="6"/>
      <c r="F24" s="6"/>
      <c r="G24" s="6">
        <v>20</v>
      </c>
      <c r="H24" s="6"/>
      <c r="I24" s="6"/>
      <c r="J24" s="6">
        <v>13</v>
      </c>
      <c r="M24" s="6">
        <v>10</v>
      </c>
      <c r="S24" s="10"/>
    </row>
    <row r="25" s="7" customFormat="1" ht="20" hidden="1" customHeight="1" spans="1:19">
      <c r="B25" s="5" t="s">
        <v>292</v>
      </c>
      <c r="C25" s="5" t="s">
        <v>161</v>
      </c>
      <c r="D25" s="5" t="s">
        <v>96</v>
      </c>
      <c r="E25" s="5" t="s">
        <v>293</v>
      </c>
      <c r="F25" s="6"/>
      <c r="G25" s="6">
        <v>20</v>
      </c>
      <c r="H25" s="6"/>
      <c r="I25" s="6"/>
      <c r="J25" s="6">
        <v>18</v>
      </c>
      <c r="M25" s="6">
        <v>15</v>
      </c>
      <c r="S25" s="10"/>
    </row>
    <row r="26" s="7" customFormat="1" ht="20" hidden="1" customHeight="1" spans="1:19">
      <c r="B26" s="5" t="s">
        <v>292</v>
      </c>
      <c r="C26" s="5" t="s">
        <v>161</v>
      </c>
      <c r="D26" s="5" t="s">
        <v>96</v>
      </c>
      <c r="E26" s="5" t="s">
        <v>294</v>
      </c>
      <c r="F26" s="6"/>
      <c r="G26" s="6">
        <v>25</v>
      </c>
      <c r="H26" s="6"/>
      <c r="I26" s="6"/>
      <c r="J26" s="6">
        <v>18</v>
      </c>
      <c r="M26" s="6">
        <v>15</v>
      </c>
      <c r="S26" s="10"/>
    </row>
    <row r="27" s="7" customFormat="1" ht="20" hidden="1" customHeight="1" spans="1:19">
      <c r="B27" s="5" t="s">
        <v>292</v>
      </c>
      <c r="C27" s="5" t="s">
        <v>22</v>
      </c>
      <c r="D27" s="5" t="s">
        <v>96</v>
      </c>
      <c r="E27" s="6"/>
      <c r="F27" s="6">
        <v>2400</v>
      </c>
      <c r="G27" s="6">
        <v>150</v>
      </c>
      <c r="H27" s="6"/>
      <c r="I27" s="6"/>
      <c r="J27" s="6">
        <v>150</v>
      </c>
      <c r="M27" s="6">
        <v>60</v>
      </c>
      <c r="S27" s="10"/>
    </row>
    <row r="28" s="7" customFormat="1" ht="20" hidden="1" customHeight="1" spans="1:19">
      <c r="B28" s="16" t="s">
        <v>292</v>
      </c>
      <c r="C28" s="16" t="s">
        <v>19</v>
      </c>
      <c r="D28" s="16" t="s">
        <v>96</v>
      </c>
      <c r="F28" s="7">
        <v>2400</v>
      </c>
      <c r="J28" s="7">
        <v>15</v>
      </c>
      <c r="S28" s="10"/>
    </row>
    <row r="29" s="7" customFormat="1" ht="20" hidden="1" customHeight="1" spans="1:19">
      <c r="A29" s="6"/>
      <c r="B29" s="5" t="s">
        <v>292</v>
      </c>
      <c r="C29" s="5" t="s">
        <v>70</v>
      </c>
      <c r="D29" s="5" t="s">
        <v>163</v>
      </c>
      <c r="E29" s="6"/>
      <c r="F29" s="6"/>
      <c r="G29" s="6"/>
      <c r="H29" s="6"/>
      <c r="I29" s="6"/>
      <c r="J29" s="6">
        <v>15</v>
      </c>
      <c r="K29" s="6"/>
      <c r="L29" s="6"/>
      <c r="M29" s="6">
        <v>12</v>
      </c>
      <c r="N29" s="6"/>
      <c r="O29" s="6"/>
      <c r="P29" s="6"/>
      <c r="Q29" s="6"/>
      <c r="R29" s="6"/>
      <c r="S29" s="10"/>
    </row>
    <row r="30" s="7" customFormat="1" ht="20" hidden="1" customHeight="1" spans="1:19">
      <c r="A30" s="6"/>
      <c r="B30" s="5" t="s">
        <v>292</v>
      </c>
      <c r="C30" s="5" t="s">
        <v>97</v>
      </c>
      <c r="D30" s="5" t="s">
        <v>163</v>
      </c>
      <c r="E30" s="6"/>
      <c r="F30" s="6"/>
      <c r="G30" s="6"/>
      <c r="H30" s="6"/>
      <c r="I30" s="6"/>
      <c r="J30" s="6">
        <v>10</v>
      </c>
      <c r="K30" s="6"/>
      <c r="L30" s="6"/>
      <c r="M30" s="6">
        <v>8</v>
      </c>
      <c r="N30" s="6"/>
      <c r="O30" s="6"/>
      <c r="P30" s="6"/>
      <c r="Q30" s="6"/>
      <c r="R30" s="6"/>
      <c r="S30" s="10"/>
    </row>
    <row r="31" s="7" customFormat="1" ht="20" hidden="1" customHeight="1" spans="1:19">
      <c r="A31" s="6"/>
      <c r="B31" s="5" t="s">
        <v>292</v>
      </c>
      <c r="C31" s="5" t="s">
        <v>121</v>
      </c>
      <c r="D31" s="5" t="s">
        <v>163</v>
      </c>
      <c r="E31" s="6"/>
      <c r="F31" s="6"/>
      <c r="G31" s="6"/>
      <c r="H31" s="6"/>
      <c r="I31" s="6"/>
      <c r="J31" s="6">
        <v>13</v>
      </c>
      <c r="K31" s="6"/>
      <c r="L31" s="6"/>
      <c r="M31" s="6">
        <v>10</v>
      </c>
      <c r="N31" s="6"/>
      <c r="O31" s="6"/>
      <c r="P31" s="6"/>
      <c r="Q31" s="6"/>
      <c r="R31" s="6"/>
      <c r="S31" s="10"/>
    </row>
    <row r="32" s="7" customFormat="1" ht="20" hidden="1" customHeight="1" spans="1:19">
      <c r="A32" s="6"/>
      <c r="B32" s="5" t="s">
        <v>292</v>
      </c>
      <c r="C32" s="5" t="s">
        <v>161</v>
      </c>
      <c r="D32" s="5" t="s">
        <v>163</v>
      </c>
      <c r="E32" s="5" t="s">
        <v>293</v>
      </c>
      <c r="F32" s="6"/>
      <c r="G32" s="6"/>
      <c r="H32" s="6"/>
      <c r="I32" s="6"/>
      <c r="J32" s="6">
        <v>18</v>
      </c>
      <c r="K32" s="6"/>
      <c r="L32" s="6"/>
      <c r="M32" s="6">
        <v>15</v>
      </c>
      <c r="N32" s="6"/>
      <c r="O32" s="6"/>
      <c r="P32" s="6"/>
      <c r="Q32" s="6"/>
      <c r="R32" s="6"/>
      <c r="S32" s="10"/>
    </row>
    <row r="33" s="7" customFormat="1" ht="20" hidden="1" customHeight="1" spans="1:19">
      <c r="A33" s="6"/>
      <c r="B33" s="5" t="s">
        <v>292</v>
      </c>
      <c r="C33" s="5" t="s">
        <v>161</v>
      </c>
      <c r="D33" s="5" t="s">
        <v>163</v>
      </c>
      <c r="E33" s="5" t="s">
        <v>294</v>
      </c>
      <c r="F33" s="6"/>
      <c r="G33" s="6"/>
      <c r="H33" s="6"/>
      <c r="I33" s="6"/>
      <c r="J33" s="6">
        <v>18</v>
      </c>
      <c r="K33" s="6"/>
      <c r="L33" s="6"/>
      <c r="M33" s="6">
        <v>15</v>
      </c>
      <c r="N33" s="6"/>
      <c r="O33" s="6"/>
      <c r="P33" s="6"/>
      <c r="Q33" s="6"/>
      <c r="R33" s="6"/>
      <c r="S33" s="10"/>
    </row>
    <row r="34" s="7" customFormat="1" ht="20" hidden="1" customHeight="1" spans="1:19">
      <c r="A34" s="6"/>
      <c r="B34" s="5" t="s">
        <v>292</v>
      </c>
      <c r="C34" s="5" t="s">
        <v>22</v>
      </c>
      <c r="D34" s="5" t="s">
        <v>163</v>
      </c>
      <c r="E34" s="6"/>
      <c r="F34" s="6">
        <v>2400</v>
      </c>
      <c r="G34" s="6"/>
      <c r="H34" s="6"/>
      <c r="I34" s="6"/>
      <c r="J34" s="6">
        <v>150</v>
      </c>
      <c r="K34" s="6"/>
      <c r="L34" s="6"/>
      <c r="M34" s="6">
        <v>60</v>
      </c>
      <c r="N34" s="6"/>
      <c r="O34" s="6"/>
      <c r="P34" s="6"/>
      <c r="Q34" s="6"/>
      <c r="R34" s="6"/>
      <c r="S34" s="10"/>
    </row>
    <row r="35" s="7" customFormat="1" ht="20" hidden="1" customHeight="1" spans="1:19">
      <c r="A35" s="6">
        <v>54</v>
      </c>
      <c r="B35" s="6" t="s">
        <v>292</v>
      </c>
      <c r="C35" s="6" t="s">
        <v>22</v>
      </c>
      <c r="D35" s="6" t="s">
        <v>295</v>
      </c>
      <c r="E35" s="6"/>
      <c r="F35" s="6">
        <v>646.1</v>
      </c>
      <c r="G35" s="6">
        <v>0.441</v>
      </c>
      <c r="H35" s="6"/>
      <c r="I35" s="6"/>
      <c r="J35" s="6">
        <v>300</v>
      </c>
      <c r="K35" s="6"/>
      <c r="L35" s="6"/>
      <c r="M35" s="6">
        <v>230</v>
      </c>
      <c r="N35" s="6"/>
      <c r="O35" s="6"/>
      <c r="P35" s="6"/>
      <c r="Q35" s="6"/>
      <c r="R35" s="6"/>
      <c r="S35" s="10"/>
    </row>
    <row r="36" s="7" customFormat="1" ht="20" hidden="1" customHeight="1" spans="1:19">
      <c r="A36" s="6">
        <v>52</v>
      </c>
      <c r="B36" s="6" t="s">
        <v>292</v>
      </c>
      <c r="C36" s="6" t="s">
        <v>24</v>
      </c>
      <c r="D36" s="6" t="s">
        <v>295</v>
      </c>
      <c r="E36" s="6"/>
      <c r="F36" s="6">
        <v>646.1</v>
      </c>
      <c r="G36" s="6">
        <v>0.441</v>
      </c>
      <c r="H36" s="6"/>
      <c r="I36" s="6"/>
      <c r="J36" s="6">
        <v>100</v>
      </c>
      <c r="K36" s="6"/>
      <c r="L36" s="6"/>
      <c r="M36" s="6">
        <v>99</v>
      </c>
      <c r="N36" s="6"/>
      <c r="O36" s="6"/>
      <c r="P36" s="6"/>
      <c r="Q36" s="6"/>
      <c r="R36" s="6"/>
      <c r="S36" s="10"/>
    </row>
    <row r="37" s="7" customFormat="1" ht="20" hidden="1" customHeight="1" spans="1:19">
      <c r="A37" s="6">
        <v>53</v>
      </c>
      <c r="B37" s="6" t="s">
        <v>292</v>
      </c>
      <c r="C37" s="6" t="s">
        <v>25</v>
      </c>
      <c r="D37" s="6" t="s">
        <v>295</v>
      </c>
      <c r="E37" s="6"/>
      <c r="F37" s="6">
        <v>646.1</v>
      </c>
      <c r="G37" s="6">
        <v>0.441</v>
      </c>
      <c r="H37" s="6"/>
      <c r="I37" s="6"/>
      <c r="J37" s="6">
        <v>80</v>
      </c>
      <c r="K37" s="6"/>
      <c r="L37" s="6"/>
      <c r="M37" s="6">
        <v>36</v>
      </c>
      <c r="N37" s="6"/>
      <c r="O37" s="6"/>
      <c r="P37" s="6"/>
      <c r="Q37" s="6"/>
      <c r="R37" s="6"/>
      <c r="S37" s="10"/>
    </row>
    <row r="38" s="7" customFormat="1" ht="20" hidden="1" customHeight="1" spans="1:19">
      <c r="A38" s="6">
        <v>30</v>
      </c>
      <c r="B38" s="6" t="s">
        <v>292</v>
      </c>
      <c r="C38" s="6" t="s">
        <v>22</v>
      </c>
      <c r="D38" s="6" t="s">
        <v>296</v>
      </c>
      <c r="E38" s="6"/>
      <c r="F38" s="6">
        <v>463.9</v>
      </c>
      <c r="G38" s="6">
        <v>0.984</v>
      </c>
      <c r="H38" s="6"/>
      <c r="I38" s="6"/>
      <c r="J38" s="6">
        <v>75</v>
      </c>
      <c r="K38" s="6"/>
      <c r="L38" s="6"/>
      <c r="M38" s="6">
        <v>49</v>
      </c>
      <c r="N38" s="6"/>
      <c r="O38" s="6">
        <f t="shared" ref="O38:O47" si="0">K38+L38+N38</f>
        <v>0</v>
      </c>
      <c r="P38" s="6"/>
      <c r="Q38" s="6"/>
      <c r="R38" s="6" t="s">
        <v>297</v>
      </c>
      <c r="S38" s="10"/>
    </row>
    <row r="39" s="7" customFormat="1" ht="20" hidden="1" customHeight="1" spans="1:19">
      <c r="A39" s="6">
        <v>27</v>
      </c>
      <c r="B39" s="6" t="s">
        <v>292</v>
      </c>
      <c r="C39" s="6" t="s">
        <v>24</v>
      </c>
      <c r="D39" s="6" t="s">
        <v>108</v>
      </c>
      <c r="E39" s="6"/>
      <c r="F39" s="6">
        <v>260</v>
      </c>
      <c r="G39" s="6">
        <v>1.161</v>
      </c>
      <c r="H39" s="6"/>
      <c r="I39" s="6"/>
      <c r="J39" s="6">
        <v>50</v>
      </c>
      <c r="K39" s="6"/>
      <c r="L39" s="6"/>
      <c r="M39" s="6">
        <v>165</v>
      </c>
      <c r="N39" s="6"/>
      <c r="O39" s="6">
        <f t="shared" si="0"/>
        <v>0</v>
      </c>
      <c r="P39" s="6"/>
      <c r="Q39" s="6"/>
      <c r="R39" s="6"/>
      <c r="S39" s="10"/>
    </row>
    <row r="40" s="7" customFormat="1" ht="20" hidden="1" customHeight="1" spans="1:19">
      <c r="A40" s="6">
        <v>28</v>
      </c>
      <c r="B40" s="6" t="s">
        <v>292</v>
      </c>
      <c r="C40" s="6" t="s">
        <v>25</v>
      </c>
      <c r="D40" s="6" t="s">
        <v>108</v>
      </c>
      <c r="E40" s="6"/>
      <c r="F40" s="6">
        <v>260</v>
      </c>
      <c r="G40" s="6">
        <v>1.161</v>
      </c>
      <c r="H40" s="6"/>
      <c r="I40" s="6"/>
      <c r="J40" s="6">
        <v>60</v>
      </c>
      <c r="K40" s="6"/>
      <c r="L40" s="6"/>
      <c r="M40" s="6">
        <v>58</v>
      </c>
      <c r="N40" s="6"/>
      <c r="O40" s="6">
        <f t="shared" si="0"/>
        <v>0</v>
      </c>
      <c r="P40" s="6"/>
      <c r="Q40" s="6"/>
      <c r="R40" s="6"/>
      <c r="S40" s="10"/>
    </row>
    <row r="41" s="7" customFormat="1" ht="20" hidden="1" customHeight="1" spans="1:19">
      <c r="A41" s="6">
        <v>26</v>
      </c>
      <c r="B41" s="6" t="s">
        <v>292</v>
      </c>
      <c r="C41" s="6" t="s">
        <v>182</v>
      </c>
      <c r="D41" s="6" t="s">
        <v>108</v>
      </c>
      <c r="E41" s="6"/>
      <c r="F41" s="6">
        <v>260</v>
      </c>
      <c r="G41" s="6">
        <v>1.161</v>
      </c>
      <c r="H41" s="6"/>
      <c r="I41" s="6"/>
      <c r="J41" s="6">
        <v>15</v>
      </c>
      <c r="K41" s="6">
        <v>0.054</v>
      </c>
      <c r="L41" s="6">
        <v>0.047</v>
      </c>
      <c r="M41" s="6">
        <v>10</v>
      </c>
      <c r="N41" s="6"/>
      <c r="O41" s="6">
        <f t="shared" si="0"/>
        <v>0.101</v>
      </c>
      <c r="P41" s="6"/>
      <c r="Q41" s="6"/>
      <c r="R41" s="6"/>
      <c r="S41" s="10"/>
    </row>
    <row r="42" s="7" customFormat="1" ht="20" hidden="1" customHeight="1" spans="1:19">
      <c r="A42" s="6">
        <v>29</v>
      </c>
      <c r="B42" s="6" t="s">
        <v>292</v>
      </c>
      <c r="C42" s="6" t="s">
        <v>242</v>
      </c>
      <c r="D42" s="6" t="s">
        <v>108</v>
      </c>
      <c r="E42" s="6"/>
      <c r="F42" s="6">
        <v>260</v>
      </c>
      <c r="G42" s="6">
        <v>1.161</v>
      </c>
      <c r="H42" s="6"/>
      <c r="I42" s="6"/>
      <c r="J42" s="6">
        <v>40</v>
      </c>
      <c r="K42" s="6"/>
      <c r="L42" s="6"/>
      <c r="M42" s="6">
        <v>30</v>
      </c>
      <c r="N42" s="6"/>
      <c r="O42" s="6">
        <f t="shared" si="0"/>
        <v>0</v>
      </c>
      <c r="P42" s="6"/>
      <c r="Q42" s="6"/>
      <c r="R42" s="6"/>
      <c r="S42" s="10"/>
    </row>
    <row r="43" s="7" customFormat="1" ht="20" hidden="1" customHeight="1" spans="1:19">
      <c r="A43" s="6">
        <v>24</v>
      </c>
      <c r="B43" s="6" t="s">
        <v>292</v>
      </c>
      <c r="C43" s="6" t="s">
        <v>41</v>
      </c>
      <c r="D43" s="6" t="s">
        <v>36</v>
      </c>
      <c r="E43" s="6"/>
      <c r="F43" s="6">
        <v>191.5</v>
      </c>
      <c r="G43" s="6">
        <v>0.575</v>
      </c>
      <c r="H43" s="6"/>
      <c r="I43" s="6"/>
      <c r="J43" s="6">
        <v>12</v>
      </c>
      <c r="K43" s="6">
        <v>0.0675</v>
      </c>
      <c r="L43" s="6">
        <v>0.0036</v>
      </c>
      <c r="M43" s="6">
        <v>8</v>
      </c>
      <c r="N43" s="6"/>
      <c r="O43" s="6">
        <f t="shared" si="0"/>
        <v>0.0711</v>
      </c>
      <c r="P43" s="6"/>
      <c r="Q43" s="6"/>
      <c r="R43" s="6"/>
      <c r="S43" s="10"/>
    </row>
    <row r="44" s="7" customFormat="1" ht="20" hidden="1" customHeight="1" spans="1:19">
      <c r="A44" s="6"/>
      <c r="B44" s="6" t="s">
        <v>292</v>
      </c>
      <c r="C44" s="6" t="s">
        <v>41</v>
      </c>
      <c r="D44" s="6" t="s">
        <v>36</v>
      </c>
      <c r="E44" s="6"/>
      <c r="F44" s="6">
        <v>191.5</v>
      </c>
      <c r="G44" s="6">
        <v>0.575</v>
      </c>
      <c r="H44" s="6"/>
      <c r="I44" s="6"/>
      <c r="J44" s="6">
        <v>18</v>
      </c>
      <c r="K44" s="6"/>
      <c r="L44" s="6"/>
      <c r="M44" s="6">
        <v>12</v>
      </c>
      <c r="N44" s="6"/>
      <c r="O44" s="6">
        <f t="shared" si="0"/>
        <v>0</v>
      </c>
      <c r="P44" s="6"/>
      <c r="Q44" s="6"/>
      <c r="R44" s="5" t="s">
        <v>298</v>
      </c>
      <c r="S44" s="10"/>
    </row>
    <row r="45" s="7" customFormat="1" ht="20" hidden="1" customHeight="1" spans="1:19">
      <c r="A45" s="6">
        <v>22</v>
      </c>
      <c r="B45" s="6" t="s">
        <v>292</v>
      </c>
      <c r="C45" s="6" t="s">
        <v>58</v>
      </c>
      <c r="D45" s="6" t="s">
        <v>36</v>
      </c>
      <c r="E45" s="6"/>
      <c r="F45" s="6">
        <v>191.5</v>
      </c>
      <c r="G45" s="6">
        <v>0.575</v>
      </c>
      <c r="H45" s="6"/>
      <c r="I45" s="6"/>
      <c r="J45" s="6">
        <v>10</v>
      </c>
      <c r="K45" s="6">
        <v>0.054</v>
      </c>
      <c r="L45" s="6">
        <v>0.0132</v>
      </c>
      <c r="M45" s="6">
        <v>5</v>
      </c>
      <c r="N45" s="6"/>
      <c r="O45" s="6">
        <f t="shared" si="0"/>
        <v>0.0672</v>
      </c>
      <c r="P45" s="6"/>
      <c r="Q45" s="6"/>
      <c r="R45" s="6"/>
      <c r="S45" s="10"/>
    </row>
    <row r="46" s="7" customFormat="1" ht="20" hidden="1" customHeight="1" spans="1:19">
      <c r="A46" s="6">
        <v>25</v>
      </c>
      <c r="B46" s="6" t="s">
        <v>292</v>
      </c>
      <c r="C46" s="6" t="s">
        <v>53</v>
      </c>
      <c r="D46" s="6" t="s">
        <v>36</v>
      </c>
      <c r="E46" s="6"/>
      <c r="F46" s="6">
        <v>191.5</v>
      </c>
      <c r="G46" s="6">
        <v>0.575</v>
      </c>
      <c r="H46" s="6"/>
      <c r="I46" s="6"/>
      <c r="J46" s="6">
        <v>12</v>
      </c>
      <c r="K46" s="6">
        <v>0.054</v>
      </c>
      <c r="L46" s="6">
        <v>0.0036</v>
      </c>
      <c r="M46" s="6">
        <v>5</v>
      </c>
      <c r="N46" s="6"/>
      <c r="O46" s="6">
        <f t="shared" si="0"/>
        <v>0.0576</v>
      </c>
      <c r="P46" s="6"/>
      <c r="Q46" s="6"/>
      <c r="R46" s="6"/>
      <c r="S46" s="10"/>
    </row>
    <row r="47" s="7" customFormat="1" ht="20" hidden="1" customHeight="1" spans="1:19">
      <c r="A47" s="6">
        <v>23</v>
      </c>
      <c r="B47" s="6" t="s">
        <v>292</v>
      </c>
      <c r="C47" s="6" t="s">
        <v>37</v>
      </c>
      <c r="D47" s="6" t="s">
        <v>36</v>
      </c>
      <c r="E47" s="6"/>
      <c r="F47" s="6">
        <v>191.5</v>
      </c>
      <c r="G47" s="6">
        <v>0.575</v>
      </c>
      <c r="H47" s="6"/>
      <c r="I47" s="6"/>
      <c r="J47" s="6">
        <v>15</v>
      </c>
      <c r="K47" s="6">
        <v>0.0675</v>
      </c>
      <c r="L47" s="6">
        <v>0.018</v>
      </c>
      <c r="M47" s="6">
        <v>10</v>
      </c>
      <c r="N47" s="6"/>
      <c r="O47" s="6">
        <f t="shared" si="0"/>
        <v>0.0855</v>
      </c>
      <c r="P47" s="6"/>
      <c r="Q47" s="6"/>
      <c r="R47" s="6"/>
      <c r="S47" s="10"/>
    </row>
    <row r="48" s="7" customFormat="1" ht="20" hidden="1" customHeight="1" spans="1:19">
      <c r="A48" s="6"/>
      <c r="B48" s="6" t="s">
        <v>292</v>
      </c>
      <c r="C48" s="5" t="s">
        <v>30</v>
      </c>
      <c r="D48" s="6" t="s">
        <v>36</v>
      </c>
      <c r="E48" s="6"/>
      <c r="F48" s="6">
        <v>191.5</v>
      </c>
      <c r="G48" s="6">
        <v>0.575</v>
      </c>
      <c r="H48" s="6"/>
      <c r="I48" s="6"/>
      <c r="J48" s="6">
        <v>4</v>
      </c>
      <c r="K48" s="6"/>
      <c r="L48" s="6"/>
      <c r="M48" s="6"/>
      <c r="N48" s="6"/>
      <c r="O48" s="6"/>
      <c r="P48" s="6"/>
      <c r="Q48" s="6"/>
      <c r="R48" s="6"/>
      <c r="S48" s="10"/>
    </row>
    <row r="49" s="7" customFormat="1" ht="20" hidden="1" customHeight="1" spans="1:19">
      <c r="A49" s="6"/>
      <c r="B49" s="5" t="s">
        <v>299</v>
      </c>
      <c r="C49" s="5" t="s">
        <v>181</v>
      </c>
      <c r="D49" s="5" t="s">
        <v>195</v>
      </c>
      <c r="E49" s="6"/>
      <c r="F49" s="6">
        <v>150</v>
      </c>
      <c r="G49" s="6"/>
      <c r="H49" s="6"/>
      <c r="I49" s="6"/>
      <c r="J49" s="6">
        <v>8</v>
      </c>
      <c r="K49" s="6"/>
      <c r="L49" s="6"/>
      <c r="M49" s="6">
        <v>5</v>
      </c>
      <c r="N49" s="6"/>
      <c r="O49" s="6"/>
      <c r="P49" s="6"/>
      <c r="Q49" s="6"/>
      <c r="R49" s="6"/>
      <c r="S49" s="10"/>
    </row>
    <row r="50" s="7" customFormat="1" ht="20" hidden="1" customHeight="1" spans="1:19">
      <c r="A50" s="6">
        <v>10</v>
      </c>
      <c r="B50" s="5" t="s">
        <v>299</v>
      </c>
      <c r="C50" s="6" t="s">
        <v>181</v>
      </c>
      <c r="D50" s="6" t="s">
        <v>197</v>
      </c>
      <c r="E50" s="6"/>
      <c r="F50" s="6">
        <v>0.15</v>
      </c>
      <c r="G50" s="6">
        <v>0</v>
      </c>
      <c r="H50" s="6">
        <f t="shared" ref="H50:H59" si="1">F50*G50</f>
        <v>0</v>
      </c>
      <c r="I50" s="6"/>
      <c r="J50" s="6">
        <v>9</v>
      </c>
      <c r="K50" s="6">
        <v>0.05</v>
      </c>
      <c r="L50" s="6">
        <v>0.02</v>
      </c>
      <c r="M50" s="6">
        <v>6</v>
      </c>
      <c r="N50" s="6">
        <v>0.01</v>
      </c>
      <c r="O50" s="6">
        <f t="shared" ref="O50:O59" si="2">K50+L50+N50</f>
        <v>0.08</v>
      </c>
      <c r="P50" s="6"/>
      <c r="Q50" s="6"/>
      <c r="R50" s="6"/>
      <c r="S50" s="10"/>
    </row>
    <row r="51" s="7" customFormat="1" ht="20" hidden="1" customHeight="1" spans="1:19">
      <c r="A51" s="6">
        <v>11</v>
      </c>
      <c r="B51" s="6" t="s">
        <v>300</v>
      </c>
      <c r="C51" s="6" t="s">
        <v>181</v>
      </c>
      <c r="D51" s="6" t="s">
        <v>301</v>
      </c>
      <c r="E51" s="6"/>
      <c r="F51" s="6">
        <v>0.15</v>
      </c>
      <c r="G51" s="6">
        <v>0</v>
      </c>
      <c r="H51" s="6">
        <f t="shared" si="1"/>
        <v>0</v>
      </c>
      <c r="I51" s="6"/>
      <c r="J51" s="6">
        <v>9</v>
      </c>
      <c r="K51" s="6">
        <v>0.05</v>
      </c>
      <c r="L51" s="6">
        <v>0.02</v>
      </c>
      <c r="M51" s="6"/>
      <c r="N51" s="6">
        <v>0.01</v>
      </c>
      <c r="O51" s="6">
        <f t="shared" si="2"/>
        <v>0.08</v>
      </c>
      <c r="P51" s="6"/>
      <c r="Q51" s="6"/>
      <c r="R51" s="6"/>
      <c r="S51" s="10"/>
    </row>
    <row r="52" s="7" customFormat="1" ht="20" hidden="1" customHeight="1" spans="1:19">
      <c r="A52" s="6">
        <v>1</v>
      </c>
      <c r="B52" s="6" t="s">
        <v>300</v>
      </c>
      <c r="C52" s="6" t="s">
        <v>302</v>
      </c>
      <c r="D52" s="6" t="s">
        <v>303</v>
      </c>
      <c r="E52" s="6">
        <v>115244</v>
      </c>
      <c r="F52" s="6">
        <v>2.448</v>
      </c>
      <c r="G52" s="6">
        <v>0.142</v>
      </c>
      <c r="H52" s="6">
        <f t="shared" si="1"/>
        <v>0.347616</v>
      </c>
      <c r="I52" s="6"/>
      <c r="J52" s="6">
        <v>20</v>
      </c>
      <c r="K52" s="6">
        <v>0.2</v>
      </c>
      <c r="L52" s="6">
        <v>0.1</v>
      </c>
      <c r="M52" s="6">
        <v>9</v>
      </c>
      <c r="N52" s="6">
        <v>0.2</v>
      </c>
      <c r="O52" s="6">
        <f t="shared" si="2"/>
        <v>0.5</v>
      </c>
      <c r="P52" s="6"/>
      <c r="Q52" s="6"/>
      <c r="R52" s="6" t="s">
        <v>304</v>
      </c>
      <c r="S52" s="10"/>
    </row>
    <row r="53" s="7" customFormat="1" ht="20" hidden="1" customHeight="1" spans="1:19">
      <c r="A53" s="6">
        <v>2</v>
      </c>
      <c r="B53" s="6" t="s">
        <v>300</v>
      </c>
      <c r="C53" s="6" t="s">
        <v>302</v>
      </c>
      <c r="D53" s="6" t="s">
        <v>303</v>
      </c>
      <c r="E53" s="6">
        <v>114967</v>
      </c>
      <c r="F53" s="6">
        <v>2.4</v>
      </c>
      <c r="G53" s="6">
        <v>0.142</v>
      </c>
      <c r="H53" s="6">
        <f t="shared" si="1"/>
        <v>0.3408</v>
      </c>
      <c r="I53" s="6"/>
      <c r="J53" s="6">
        <v>20</v>
      </c>
      <c r="K53" s="6">
        <v>0.2</v>
      </c>
      <c r="L53" s="6">
        <v>0.1</v>
      </c>
      <c r="M53" s="6">
        <v>8</v>
      </c>
      <c r="N53" s="6">
        <v>0.2</v>
      </c>
      <c r="O53" s="6">
        <f t="shared" si="2"/>
        <v>0.5</v>
      </c>
      <c r="P53" s="6"/>
      <c r="Q53" s="6"/>
      <c r="R53" s="6" t="s">
        <v>304</v>
      </c>
      <c r="S53" s="10"/>
    </row>
    <row r="54" s="7" customFormat="1" ht="20" hidden="1" customHeight="1" spans="1:19">
      <c r="A54" s="6">
        <v>3</v>
      </c>
      <c r="B54" s="6" t="s">
        <v>300</v>
      </c>
      <c r="C54" s="6" t="s">
        <v>302</v>
      </c>
      <c r="D54" s="6" t="s">
        <v>303</v>
      </c>
      <c r="E54" s="6">
        <v>115956</v>
      </c>
      <c r="F54" s="6">
        <v>2.22</v>
      </c>
      <c r="G54" s="6">
        <v>0.142</v>
      </c>
      <c r="H54" s="6">
        <f t="shared" si="1"/>
        <v>0.31524</v>
      </c>
      <c r="I54" s="6"/>
      <c r="J54" s="6">
        <v>20</v>
      </c>
      <c r="K54" s="6">
        <v>0.2</v>
      </c>
      <c r="L54" s="6">
        <v>0.1</v>
      </c>
      <c r="M54" s="6">
        <v>8</v>
      </c>
      <c r="N54" s="6">
        <v>0.2</v>
      </c>
      <c r="O54" s="6">
        <f t="shared" si="2"/>
        <v>0.5</v>
      </c>
      <c r="P54" s="6"/>
      <c r="Q54" s="6"/>
      <c r="R54" s="6" t="s">
        <v>304</v>
      </c>
      <c r="S54" s="10"/>
    </row>
    <row r="55" s="7" customFormat="1" ht="20" hidden="1" customHeight="1" spans="1:19">
      <c r="A55" s="6">
        <v>4</v>
      </c>
      <c r="B55" s="6" t="s">
        <v>300</v>
      </c>
      <c r="C55" s="6" t="s">
        <v>302</v>
      </c>
      <c r="D55" s="6" t="s">
        <v>303</v>
      </c>
      <c r="E55" s="6">
        <v>114974</v>
      </c>
      <c r="F55" s="6">
        <v>2.04</v>
      </c>
      <c r="G55" s="6">
        <v>0.142</v>
      </c>
      <c r="H55" s="6">
        <f t="shared" si="1"/>
        <v>0.28968</v>
      </c>
      <c r="I55" s="6"/>
      <c r="J55" s="6">
        <v>20</v>
      </c>
      <c r="K55" s="6">
        <v>0.2</v>
      </c>
      <c r="L55" s="6">
        <v>0.1</v>
      </c>
      <c r="M55" s="6">
        <v>9</v>
      </c>
      <c r="N55" s="6">
        <v>0.2</v>
      </c>
      <c r="O55" s="6">
        <f t="shared" si="2"/>
        <v>0.5</v>
      </c>
      <c r="P55" s="6"/>
      <c r="Q55" s="6"/>
      <c r="R55" s="6" t="s">
        <v>304</v>
      </c>
      <c r="S55" s="10"/>
    </row>
    <row r="56" s="7" customFormat="1" ht="20" hidden="1" customHeight="1" spans="1:19">
      <c r="A56" s="6">
        <v>5</v>
      </c>
      <c r="B56" s="6" t="s">
        <v>300</v>
      </c>
      <c r="C56" s="6" t="s">
        <v>302</v>
      </c>
      <c r="D56" s="6" t="s">
        <v>303</v>
      </c>
      <c r="E56" s="6">
        <v>115245</v>
      </c>
      <c r="F56" s="6">
        <v>2.173</v>
      </c>
      <c r="G56" s="6">
        <v>0.142</v>
      </c>
      <c r="H56" s="6">
        <f t="shared" si="1"/>
        <v>0.308566</v>
      </c>
      <c r="I56" s="6"/>
      <c r="J56" s="6">
        <v>20</v>
      </c>
      <c r="K56" s="6">
        <v>0.2</v>
      </c>
      <c r="L56" s="6">
        <v>0.1</v>
      </c>
      <c r="M56" s="6">
        <v>9</v>
      </c>
      <c r="N56" s="6">
        <v>0.2</v>
      </c>
      <c r="O56" s="6">
        <f t="shared" si="2"/>
        <v>0.5</v>
      </c>
      <c r="P56" s="6"/>
      <c r="Q56" s="6"/>
      <c r="R56" s="6" t="s">
        <v>304</v>
      </c>
      <c r="S56" s="10"/>
    </row>
    <row r="57" s="7" customFormat="1" ht="20" hidden="1" customHeight="1" spans="1:19">
      <c r="A57" s="6">
        <v>6</v>
      </c>
      <c r="B57" s="6" t="s">
        <v>300</v>
      </c>
      <c r="C57" s="6" t="s">
        <v>302</v>
      </c>
      <c r="D57" s="6" t="s">
        <v>303</v>
      </c>
      <c r="E57" s="6">
        <v>115955</v>
      </c>
      <c r="F57" s="6">
        <v>1.86</v>
      </c>
      <c r="G57" s="6">
        <v>0.142</v>
      </c>
      <c r="H57" s="6">
        <f t="shared" si="1"/>
        <v>0.26412</v>
      </c>
      <c r="I57" s="6"/>
      <c r="J57" s="6">
        <v>20</v>
      </c>
      <c r="K57" s="6">
        <v>0.2</v>
      </c>
      <c r="L57" s="6">
        <v>0.1</v>
      </c>
      <c r="M57" s="6">
        <v>8</v>
      </c>
      <c r="N57" s="6">
        <v>0.2</v>
      </c>
      <c r="O57" s="6">
        <f t="shared" si="2"/>
        <v>0.5</v>
      </c>
      <c r="P57" s="6"/>
      <c r="Q57" s="6"/>
      <c r="R57" s="6" t="s">
        <v>304</v>
      </c>
      <c r="S57" s="10"/>
    </row>
    <row r="58" s="7" customFormat="1" ht="20" hidden="1" customHeight="1" spans="1:19">
      <c r="A58" s="6">
        <v>7</v>
      </c>
      <c r="B58" s="6" t="s">
        <v>300</v>
      </c>
      <c r="C58" s="6" t="s">
        <v>302</v>
      </c>
      <c r="D58" s="6" t="s">
        <v>303</v>
      </c>
      <c r="E58" s="6">
        <v>116015</v>
      </c>
      <c r="F58" s="6">
        <v>1.701</v>
      </c>
      <c r="G58" s="6">
        <v>0.142</v>
      </c>
      <c r="H58" s="6">
        <f t="shared" si="1"/>
        <v>0.241542</v>
      </c>
      <c r="I58" s="6"/>
      <c r="J58" s="6">
        <v>13</v>
      </c>
      <c r="K58" s="6">
        <v>0.15</v>
      </c>
      <c r="L58" s="6">
        <v>0.1</v>
      </c>
      <c r="M58" s="6">
        <v>6</v>
      </c>
      <c r="N58" s="6">
        <v>0.2</v>
      </c>
      <c r="O58" s="6">
        <f t="shared" si="2"/>
        <v>0.45</v>
      </c>
      <c r="P58" s="6"/>
      <c r="Q58" s="6"/>
      <c r="R58" s="6" t="s">
        <v>305</v>
      </c>
      <c r="S58" s="10"/>
    </row>
    <row r="59" s="7" customFormat="1" ht="20" hidden="1" customHeight="1" spans="1:19">
      <c r="A59" s="6">
        <v>8</v>
      </c>
      <c r="B59" s="6" t="s">
        <v>300</v>
      </c>
      <c r="C59" s="6" t="s">
        <v>302</v>
      </c>
      <c r="D59" s="6" t="s">
        <v>303</v>
      </c>
      <c r="E59" s="6">
        <v>115904</v>
      </c>
      <c r="F59" s="6">
        <v>2.448</v>
      </c>
      <c r="G59" s="6">
        <v>0.142</v>
      </c>
      <c r="H59" s="6">
        <f t="shared" si="1"/>
        <v>0.347616</v>
      </c>
      <c r="I59" s="6"/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f t="shared" si="2"/>
        <v>0</v>
      </c>
      <c r="P59" s="6"/>
      <c r="Q59" s="6"/>
      <c r="R59" s="6" t="s">
        <v>306</v>
      </c>
      <c r="S59" s="10"/>
    </row>
    <row r="60" s="7" customFormat="1" ht="20" hidden="1" customHeight="1" spans="1:19">
      <c r="A60" s="6"/>
      <c r="B60" s="5" t="s">
        <v>307</v>
      </c>
      <c r="C60" s="6" t="s">
        <v>22</v>
      </c>
      <c r="D60" s="6" t="s">
        <v>101</v>
      </c>
      <c r="E60" s="6"/>
      <c r="F60" s="6">
        <v>138.8</v>
      </c>
      <c r="G60" s="6"/>
      <c r="H60" s="6"/>
      <c r="I60" s="6"/>
      <c r="J60" s="6">
        <v>160</v>
      </c>
      <c r="K60" s="6"/>
      <c r="L60" s="6"/>
      <c r="M60" s="6">
        <v>78</v>
      </c>
      <c r="N60" s="6"/>
      <c r="O60" s="6"/>
      <c r="P60" s="6"/>
      <c r="Q60" s="6"/>
      <c r="R60" s="6"/>
      <c r="S60" s="10"/>
    </row>
    <row r="61" s="7" customFormat="1" ht="20" hidden="1" customHeight="1" spans="1:19">
      <c r="A61" s="6"/>
      <c r="B61" s="5" t="s">
        <v>307</v>
      </c>
      <c r="C61" s="5" t="s">
        <v>102</v>
      </c>
      <c r="D61" s="6" t="s">
        <v>101</v>
      </c>
      <c r="E61" s="6"/>
      <c r="F61" s="6">
        <v>138.8</v>
      </c>
      <c r="G61" s="6"/>
      <c r="H61" s="6"/>
      <c r="I61" s="6"/>
      <c r="J61" s="6">
        <v>160</v>
      </c>
      <c r="K61" s="6"/>
      <c r="L61" s="6"/>
      <c r="M61" s="6"/>
      <c r="N61" s="6"/>
      <c r="O61" s="6"/>
      <c r="P61" s="6"/>
      <c r="Q61" s="6"/>
      <c r="R61" s="6"/>
      <c r="S61" s="10"/>
    </row>
    <row r="62" s="7" customFormat="1" ht="20" hidden="1" customHeight="1" spans="1:19">
      <c r="A62" s="6"/>
      <c r="B62" s="6">
        <v>113</v>
      </c>
      <c r="C62" s="6" t="s">
        <v>19</v>
      </c>
      <c r="D62" s="6" t="s">
        <v>178</v>
      </c>
      <c r="E62" s="6"/>
      <c r="F62" s="6">
        <v>2440</v>
      </c>
      <c r="G62" s="6"/>
      <c r="H62" s="6"/>
      <c r="I62" s="6"/>
      <c r="J62" s="6">
        <v>450</v>
      </c>
      <c r="K62" s="6"/>
      <c r="L62" s="6"/>
      <c r="M62" s="6">
        <v>400</v>
      </c>
      <c r="N62" s="6"/>
      <c r="O62" s="6"/>
      <c r="P62" s="6"/>
      <c r="Q62" s="6"/>
      <c r="R62" s="6"/>
      <c r="S62" s="10"/>
    </row>
    <row r="63" s="7" customFormat="1" ht="20" hidden="1" customHeight="1" spans="1:19">
      <c r="A63" s="6"/>
      <c r="B63" s="5" t="s">
        <v>299</v>
      </c>
      <c r="C63" s="5" t="s">
        <v>44</v>
      </c>
      <c r="D63" s="5" t="s">
        <v>178</v>
      </c>
      <c r="E63" s="6"/>
      <c r="F63" s="6"/>
      <c r="G63" s="6"/>
      <c r="H63" s="6"/>
      <c r="I63" s="6"/>
      <c r="J63" s="6">
        <v>240</v>
      </c>
      <c r="K63" s="6"/>
      <c r="L63" s="6"/>
      <c r="M63" s="6">
        <v>90</v>
      </c>
      <c r="N63" s="6"/>
      <c r="O63" s="6"/>
      <c r="P63" s="6"/>
      <c r="Q63" s="6"/>
      <c r="R63" s="6"/>
      <c r="S63" s="10"/>
    </row>
    <row r="64" s="7" customFormat="1" ht="20" hidden="1" customHeight="1" spans="1:19">
      <c r="A64" s="6">
        <v>19</v>
      </c>
      <c r="B64" s="5" t="s">
        <v>308</v>
      </c>
      <c r="C64" s="6" t="s">
        <v>22</v>
      </c>
      <c r="D64" s="6" t="s">
        <v>116</v>
      </c>
      <c r="E64" s="6"/>
      <c r="F64" s="6">
        <v>0.1388</v>
      </c>
      <c r="G64" s="6">
        <v>1.534</v>
      </c>
      <c r="H64" s="6">
        <f>F64*G64</f>
        <v>0.2129192</v>
      </c>
      <c r="I64" s="6"/>
      <c r="J64" s="6">
        <v>300</v>
      </c>
      <c r="K64" s="6">
        <v>2.5</v>
      </c>
      <c r="L64" s="6">
        <v>0.73</v>
      </c>
      <c r="M64" s="6">
        <v>215</v>
      </c>
      <c r="N64" s="6">
        <v>0.08</v>
      </c>
      <c r="O64" s="6">
        <f>K64+L64+N64</f>
        <v>3.31</v>
      </c>
      <c r="P64" s="6"/>
      <c r="Q64" s="6"/>
      <c r="R64" s="6"/>
      <c r="S64" s="10"/>
    </row>
    <row r="65" s="7" customFormat="1" ht="20" hidden="1" customHeight="1" spans="1:19">
      <c r="A65" s="6">
        <v>20</v>
      </c>
      <c r="B65" s="5" t="s">
        <v>308</v>
      </c>
      <c r="C65" s="6" t="s">
        <v>22</v>
      </c>
      <c r="D65" s="6" t="s">
        <v>118</v>
      </c>
      <c r="E65" s="6"/>
      <c r="F65" s="6">
        <v>0.1388</v>
      </c>
      <c r="G65" s="6">
        <v>1.534</v>
      </c>
      <c r="H65" s="6">
        <f>F65*G65</f>
        <v>0.2129192</v>
      </c>
      <c r="I65" s="6"/>
      <c r="J65" s="6">
        <v>276</v>
      </c>
      <c r="K65" s="6">
        <v>2.5</v>
      </c>
      <c r="L65" s="6">
        <v>0.7</v>
      </c>
      <c r="M65" s="6">
        <v>200</v>
      </c>
      <c r="N65" s="6">
        <v>0.08</v>
      </c>
      <c r="O65" s="6">
        <f>K65+L65+N65</f>
        <v>3.28</v>
      </c>
      <c r="P65" s="6"/>
      <c r="Q65" s="6"/>
      <c r="R65" s="6"/>
      <c r="S65" s="10"/>
    </row>
    <row r="66" s="7" customFormat="1" ht="20" hidden="1" customHeight="1" spans="1:19">
      <c r="A66" s="6"/>
      <c r="B66" s="6">
        <v>113</v>
      </c>
      <c r="C66" s="6" t="s">
        <v>113</v>
      </c>
      <c r="D66" s="6" t="s">
        <v>18</v>
      </c>
      <c r="E66" s="6"/>
      <c r="F66" s="6">
        <v>1942</v>
      </c>
      <c r="G66" s="6"/>
      <c r="H66" s="6"/>
      <c r="I66" s="6"/>
      <c r="J66" s="6">
        <v>40</v>
      </c>
      <c r="K66" s="6"/>
      <c r="L66" s="6"/>
      <c r="M66" s="6">
        <v>30</v>
      </c>
      <c r="N66" s="6"/>
      <c r="O66" s="6"/>
      <c r="P66" s="6"/>
      <c r="Q66" s="6"/>
      <c r="R66" s="6"/>
      <c r="S66" s="10"/>
    </row>
    <row r="67" s="7" customFormat="1" ht="20" hidden="1" customHeight="1" spans="1:19">
      <c r="A67" s="6"/>
      <c r="B67" s="6">
        <v>113</v>
      </c>
      <c r="C67" s="6" t="s">
        <v>19</v>
      </c>
      <c r="D67" s="6" t="s">
        <v>18</v>
      </c>
      <c r="E67" s="6"/>
      <c r="F67" s="6">
        <v>1942</v>
      </c>
      <c r="G67" s="6"/>
      <c r="H67" s="6"/>
      <c r="I67" s="6"/>
      <c r="J67" s="6">
        <v>48</v>
      </c>
      <c r="K67" s="6"/>
      <c r="L67" s="6"/>
      <c r="M67" s="6">
        <v>30</v>
      </c>
      <c r="N67" s="6"/>
      <c r="O67" s="6"/>
      <c r="P67" s="6"/>
      <c r="Q67" s="6"/>
      <c r="R67" s="6"/>
      <c r="S67" s="10"/>
    </row>
    <row r="68" s="7" customFormat="1" ht="20" hidden="1" customHeight="1" spans="1:19">
      <c r="A68" s="6"/>
      <c r="B68" s="6">
        <v>113</v>
      </c>
      <c r="C68" s="6" t="s">
        <v>30</v>
      </c>
      <c r="D68" s="6" t="s">
        <v>18</v>
      </c>
      <c r="E68" s="6"/>
      <c r="F68" s="6">
        <v>1942</v>
      </c>
      <c r="G68" s="6"/>
      <c r="H68" s="6"/>
      <c r="I68" s="6"/>
      <c r="J68" s="6">
        <v>40</v>
      </c>
      <c r="K68" s="6"/>
      <c r="L68" s="6"/>
      <c r="M68" s="6">
        <v>30</v>
      </c>
      <c r="N68" s="6"/>
      <c r="O68" s="6"/>
      <c r="P68" s="6"/>
      <c r="Q68" s="6"/>
      <c r="R68" s="6"/>
      <c r="S68" s="10"/>
    </row>
    <row r="69" s="7" customFormat="1" ht="20" hidden="1" customHeight="1" spans="1:19">
      <c r="A69" s="6"/>
      <c r="B69" s="6"/>
      <c r="C69" s="6" t="s">
        <v>22</v>
      </c>
      <c r="D69" s="5" t="s">
        <v>18</v>
      </c>
      <c r="E69" s="6"/>
      <c r="F69" s="6">
        <v>1942</v>
      </c>
      <c r="G69" s="6"/>
      <c r="H69" s="6"/>
      <c r="I69" s="6"/>
      <c r="J69" s="6">
        <v>65</v>
      </c>
      <c r="K69" s="6"/>
      <c r="L69" s="6"/>
      <c r="M69" s="6">
        <v>30</v>
      </c>
      <c r="N69" s="6"/>
      <c r="O69" s="6"/>
      <c r="P69" s="6"/>
      <c r="Q69" s="6"/>
      <c r="R69" s="6"/>
      <c r="S69" s="10"/>
    </row>
    <row r="70" s="7" customFormat="1" ht="20" hidden="1" customHeight="1" spans="1:19">
      <c r="A70" s="6"/>
      <c r="B70" s="6"/>
      <c r="C70" s="5" t="s">
        <v>97</v>
      </c>
      <c r="D70" s="5" t="s">
        <v>18</v>
      </c>
      <c r="E70" s="6"/>
      <c r="F70" s="6">
        <v>1942</v>
      </c>
      <c r="G70" s="6"/>
      <c r="H70" s="6"/>
      <c r="I70" s="6"/>
      <c r="J70" s="6">
        <v>25</v>
      </c>
      <c r="K70" s="6"/>
      <c r="L70" s="6"/>
      <c r="M70" s="6">
        <v>15</v>
      </c>
      <c r="N70" s="6"/>
      <c r="O70" s="6"/>
      <c r="P70" s="6"/>
      <c r="Q70" s="6"/>
      <c r="R70" s="6"/>
      <c r="S70" s="10"/>
    </row>
    <row r="71" s="7" customFormat="1" ht="20" hidden="1" customHeight="1" spans="1:19">
      <c r="A71" s="6"/>
      <c r="B71" s="6"/>
      <c r="C71" s="5" t="s">
        <v>41</v>
      </c>
      <c r="D71" s="5" t="s">
        <v>18</v>
      </c>
      <c r="E71" s="6"/>
      <c r="F71" s="6">
        <v>1942</v>
      </c>
      <c r="G71" s="6"/>
      <c r="H71" s="6"/>
      <c r="I71" s="6"/>
      <c r="J71" s="6">
        <v>35</v>
      </c>
      <c r="K71" s="6"/>
      <c r="L71" s="6"/>
      <c r="M71" s="6">
        <v>30</v>
      </c>
      <c r="N71" s="6"/>
      <c r="O71" s="6"/>
      <c r="P71" s="6"/>
      <c r="Q71" s="6"/>
      <c r="R71" s="6"/>
      <c r="S71" s="10"/>
    </row>
    <row r="72" s="7" customFormat="1" ht="20" hidden="1" customHeight="1" spans="1:19">
      <c r="A72" s="6"/>
      <c r="B72" s="6"/>
      <c r="C72" s="5" t="s">
        <v>160</v>
      </c>
      <c r="D72" s="5" t="s">
        <v>18</v>
      </c>
      <c r="E72" s="6"/>
      <c r="F72" s="6">
        <v>1942</v>
      </c>
      <c r="G72" s="6"/>
      <c r="H72" s="6"/>
      <c r="I72" s="6"/>
      <c r="J72" s="6">
        <v>20</v>
      </c>
      <c r="K72" s="6"/>
      <c r="L72" s="6"/>
      <c r="M72" s="6">
        <v>15</v>
      </c>
      <c r="N72" s="6"/>
      <c r="O72" s="6"/>
      <c r="P72" s="6"/>
      <c r="Q72" s="6"/>
      <c r="R72" s="6"/>
      <c r="S72" s="10"/>
    </row>
    <row r="73" s="7" customFormat="1" ht="20" hidden="1" customHeight="1" spans="1:19">
      <c r="A73" s="6"/>
      <c r="B73" s="6"/>
      <c r="C73" s="5" t="s">
        <v>140</v>
      </c>
      <c r="D73" s="5" t="s">
        <v>18</v>
      </c>
      <c r="E73" s="6"/>
      <c r="F73" s="6">
        <v>1942</v>
      </c>
      <c r="G73" s="6"/>
      <c r="H73" s="6"/>
      <c r="I73" s="6"/>
      <c r="J73" s="6">
        <v>30</v>
      </c>
      <c r="K73" s="6"/>
      <c r="L73" s="6"/>
      <c r="M73" s="6"/>
      <c r="N73" s="6"/>
      <c r="O73" s="6"/>
      <c r="P73" s="6"/>
      <c r="Q73" s="6"/>
      <c r="R73" s="6"/>
      <c r="S73" s="10"/>
    </row>
    <row r="74" s="7" customFormat="1" ht="20" hidden="1" customHeight="1" spans="1:19">
      <c r="A74" s="6"/>
      <c r="B74" s="5" t="s">
        <v>308</v>
      </c>
      <c r="C74" s="6" t="s">
        <v>22</v>
      </c>
      <c r="D74" s="5" t="s">
        <v>129</v>
      </c>
      <c r="E74" s="6"/>
      <c r="F74" s="6">
        <v>1633.7</v>
      </c>
      <c r="G74" s="6"/>
      <c r="H74" s="6"/>
      <c r="I74" s="6"/>
      <c r="J74" s="6">
        <v>400</v>
      </c>
      <c r="K74" s="6"/>
      <c r="L74" s="6"/>
      <c r="M74" s="6">
        <v>332</v>
      </c>
      <c r="N74" s="6"/>
      <c r="O74" s="6"/>
      <c r="P74" s="6"/>
      <c r="Q74" s="6"/>
      <c r="R74" s="6"/>
      <c r="S74" s="10"/>
    </row>
    <row r="75" s="7" customFormat="1" ht="20" hidden="1" customHeight="1" spans="1:19">
      <c r="A75" s="6">
        <v>31</v>
      </c>
      <c r="B75" s="6" t="s">
        <v>309</v>
      </c>
      <c r="C75" s="6" t="s">
        <v>22</v>
      </c>
      <c r="D75" s="6" t="s">
        <v>310</v>
      </c>
      <c r="E75" s="6" t="s">
        <v>311</v>
      </c>
      <c r="F75" s="6">
        <v>461</v>
      </c>
      <c r="G75" s="6"/>
      <c r="H75" s="6"/>
      <c r="I75" s="6"/>
      <c r="J75" s="6">
        <v>75</v>
      </c>
      <c r="K75" s="6"/>
      <c r="L75" s="6"/>
      <c r="M75" s="6">
        <v>55</v>
      </c>
      <c r="N75" s="6"/>
      <c r="O75" s="6">
        <f>K75+L75+N75</f>
        <v>0</v>
      </c>
      <c r="P75" s="6"/>
      <c r="Q75" s="6"/>
      <c r="R75" s="6"/>
      <c r="S75" s="10"/>
    </row>
    <row r="76" s="7" customFormat="1" ht="20" hidden="1" customHeight="1" spans="1:19">
      <c r="A76" s="6">
        <v>32</v>
      </c>
      <c r="B76" s="6" t="s">
        <v>309</v>
      </c>
      <c r="C76" s="6" t="s">
        <v>22</v>
      </c>
      <c r="D76" s="6" t="s">
        <v>310</v>
      </c>
      <c r="E76" s="6" t="s">
        <v>293</v>
      </c>
      <c r="F76" s="6">
        <v>1291</v>
      </c>
      <c r="G76" s="6"/>
      <c r="H76" s="6"/>
      <c r="I76" s="6"/>
      <c r="J76" s="6">
        <v>120</v>
      </c>
      <c r="K76" s="6"/>
      <c r="L76" s="6"/>
      <c r="M76" s="6">
        <v>65</v>
      </c>
      <c r="N76" s="6"/>
      <c r="O76" s="6">
        <f>K76+L76+N76</f>
        <v>0</v>
      </c>
      <c r="P76" s="6"/>
      <c r="Q76" s="6"/>
      <c r="R76" s="6"/>
      <c r="S76" s="10"/>
    </row>
    <row r="77" s="7" customFormat="1" ht="20" hidden="1" customHeight="1" spans="1:19">
      <c r="A77" s="6">
        <v>33</v>
      </c>
      <c r="B77" s="6" t="s">
        <v>309</v>
      </c>
      <c r="C77" s="6" t="s">
        <v>22</v>
      </c>
      <c r="D77" s="6" t="s">
        <v>310</v>
      </c>
      <c r="E77" s="6" t="s">
        <v>294</v>
      </c>
      <c r="F77" s="6">
        <v>1291</v>
      </c>
      <c r="G77" s="6"/>
      <c r="H77" s="6"/>
      <c r="I77" s="6"/>
      <c r="J77" s="6">
        <v>50</v>
      </c>
      <c r="K77" s="6"/>
      <c r="L77" s="6"/>
      <c r="M77" s="6">
        <v>28</v>
      </c>
      <c r="N77" s="6"/>
      <c r="O77" s="6">
        <f>K77+L77+N77</f>
        <v>0</v>
      </c>
      <c r="P77" s="6"/>
      <c r="Q77" s="6"/>
      <c r="R77" s="6"/>
      <c r="S77" s="10"/>
    </row>
    <row r="78" s="7" customFormat="1" ht="20" hidden="1" customHeight="1" spans="1:19">
      <c r="A78" s="6">
        <v>34</v>
      </c>
      <c r="B78" s="6" t="s">
        <v>309</v>
      </c>
      <c r="C78" s="6" t="s">
        <v>182</v>
      </c>
      <c r="D78" s="6" t="s">
        <v>310</v>
      </c>
      <c r="E78" s="6"/>
      <c r="F78" s="6">
        <v>1291</v>
      </c>
      <c r="G78" s="6"/>
      <c r="H78" s="6"/>
      <c r="I78" s="6"/>
      <c r="J78" s="6">
        <v>36</v>
      </c>
      <c r="K78" s="6"/>
      <c r="L78" s="6"/>
      <c r="M78" s="6">
        <v>36</v>
      </c>
      <c r="N78" s="6"/>
      <c r="O78" s="6">
        <f>K78+L78+N78</f>
        <v>0</v>
      </c>
      <c r="P78" s="6"/>
      <c r="Q78" s="6"/>
      <c r="R78" s="6"/>
      <c r="S78" s="10"/>
    </row>
    <row r="79" s="7" customFormat="1" ht="20" hidden="1" customHeight="1" spans="1:19">
      <c r="A79" s="6">
        <v>35</v>
      </c>
      <c r="B79" s="6" t="s">
        <v>309</v>
      </c>
      <c r="C79" s="6" t="s">
        <v>182</v>
      </c>
      <c r="D79" s="6" t="s">
        <v>310</v>
      </c>
      <c r="E79" s="6"/>
      <c r="F79" s="6">
        <v>461</v>
      </c>
      <c r="G79" s="6"/>
      <c r="H79" s="6"/>
      <c r="I79" s="6"/>
      <c r="J79" s="6">
        <v>36</v>
      </c>
      <c r="K79" s="6"/>
      <c r="L79" s="6"/>
      <c r="M79" s="6">
        <v>36</v>
      </c>
      <c r="N79" s="6"/>
      <c r="O79" s="6">
        <f>K79+L79+N79</f>
        <v>0</v>
      </c>
      <c r="P79" s="6"/>
      <c r="Q79" s="6"/>
      <c r="R79" s="6"/>
      <c r="S79" s="10"/>
    </row>
    <row r="80" s="7" customFormat="1" ht="20" hidden="1" customHeight="1" spans="1:19">
      <c r="A80" s="6">
        <v>36</v>
      </c>
      <c r="B80" s="6" t="s">
        <v>309</v>
      </c>
      <c r="C80" s="6" t="s">
        <v>242</v>
      </c>
      <c r="D80" s="6" t="s">
        <v>310</v>
      </c>
      <c r="E80" s="6" t="s">
        <v>293</v>
      </c>
      <c r="F80" s="6">
        <v>1291</v>
      </c>
      <c r="G80" s="6"/>
      <c r="H80" s="6"/>
      <c r="I80" s="6"/>
      <c r="J80" s="6">
        <v>30</v>
      </c>
      <c r="K80" s="6"/>
      <c r="L80" s="6"/>
      <c r="M80" s="6">
        <v>30</v>
      </c>
      <c r="N80" s="6"/>
      <c r="O80" s="6"/>
      <c r="P80" s="6"/>
      <c r="Q80" s="6"/>
      <c r="R80" s="6"/>
      <c r="S80" s="10"/>
    </row>
    <row r="81" s="7" customFormat="1" ht="20" hidden="1" customHeight="1" spans="1:19">
      <c r="A81" s="6"/>
      <c r="B81" s="6" t="s">
        <v>312</v>
      </c>
      <c r="C81" s="6" t="s">
        <v>56</v>
      </c>
      <c r="D81" s="6" t="s">
        <v>55</v>
      </c>
      <c r="E81" s="6"/>
      <c r="F81" s="6">
        <v>1150</v>
      </c>
      <c r="G81" s="6"/>
      <c r="H81" s="6"/>
      <c r="I81" s="6"/>
      <c r="J81" s="6">
        <v>15</v>
      </c>
      <c r="K81" s="6"/>
      <c r="L81" s="6"/>
      <c r="M81" s="6">
        <v>10</v>
      </c>
      <c r="N81" s="6"/>
      <c r="O81" s="6"/>
      <c r="P81" s="6"/>
      <c r="Q81" s="6"/>
      <c r="R81" s="6"/>
      <c r="S81" s="10"/>
    </row>
    <row r="82" s="7" customFormat="1" ht="20" hidden="1" customHeight="1" spans="1:19">
      <c r="A82" s="6"/>
      <c r="B82" s="6" t="s">
        <v>312</v>
      </c>
      <c r="C82" s="6" t="s">
        <v>57</v>
      </c>
      <c r="D82" s="6" t="s">
        <v>55</v>
      </c>
      <c r="E82" s="6"/>
      <c r="F82" s="6">
        <v>1150</v>
      </c>
      <c r="G82" s="6"/>
      <c r="H82" s="6"/>
      <c r="I82" s="6"/>
      <c r="J82" s="6">
        <v>25</v>
      </c>
      <c r="K82" s="6"/>
      <c r="L82" s="6"/>
      <c r="M82" s="6">
        <v>15</v>
      </c>
      <c r="N82" s="6"/>
      <c r="O82" s="6"/>
      <c r="P82" s="6"/>
      <c r="Q82" s="6"/>
      <c r="R82" s="6"/>
      <c r="S82" s="10"/>
    </row>
    <row r="83" s="7" customFormat="1" ht="20" hidden="1" customHeight="1" spans="1:19">
      <c r="A83" s="6"/>
      <c r="B83" s="6" t="s">
        <v>312</v>
      </c>
      <c r="C83" s="6" t="s">
        <v>126</v>
      </c>
      <c r="D83" s="6" t="s">
        <v>55</v>
      </c>
      <c r="E83" s="6"/>
      <c r="F83" s="6">
        <v>1150</v>
      </c>
      <c r="G83" s="6"/>
      <c r="H83" s="6"/>
      <c r="I83" s="6"/>
      <c r="J83" s="6">
        <v>20</v>
      </c>
      <c r="K83" s="6"/>
      <c r="L83" s="6"/>
      <c r="M83" s="6">
        <v>10</v>
      </c>
      <c r="N83" s="6"/>
      <c r="O83" s="6"/>
      <c r="P83" s="6"/>
      <c r="Q83" s="6"/>
      <c r="R83" s="6"/>
      <c r="S83" s="10"/>
    </row>
    <row r="84" s="7" customFormat="1" ht="20" hidden="1" customHeight="1" spans="1:19">
      <c r="A84" s="6"/>
      <c r="B84" s="5" t="s">
        <v>312</v>
      </c>
      <c r="C84" s="5" t="s">
        <v>153</v>
      </c>
      <c r="D84" s="5" t="s">
        <v>55</v>
      </c>
      <c r="E84" s="6"/>
      <c r="F84" s="6"/>
      <c r="G84" s="6"/>
      <c r="H84" s="6"/>
      <c r="I84" s="6"/>
      <c r="J84" s="6">
        <v>15</v>
      </c>
      <c r="K84" s="6"/>
      <c r="L84" s="6"/>
      <c r="M84" s="6">
        <v>8</v>
      </c>
      <c r="N84" s="6"/>
      <c r="O84" s="6"/>
      <c r="P84" s="6"/>
      <c r="Q84" s="6"/>
      <c r="R84" s="6"/>
      <c r="S84" s="10"/>
    </row>
    <row r="85" s="7" customFormat="1" ht="20" hidden="1" customHeight="1" spans="1:19">
      <c r="B85" s="16" t="s">
        <v>312</v>
      </c>
      <c r="C85" s="16" t="s">
        <v>22</v>
      </c>
      <c r="D85" s="16" t="s">
        <v>55</v>
      </c>
      <c r="F85" s="7">
        <v>1500</v>
      </c>
      <c r="J85" s="7">
        <v>110</v>
      </c>
      <c r="M85" s="7">
        <v>51</v>
      </c>
      <c r="S85" s="10"/>
    </row>
    <row r="86" s="7" customFormat="1" ht="20" hidden="1" customHeight="1" spans="1:19">
      <c r="A86" s="6"/>
      <c r="B86" s="5" t="s">
        <v>312</v>
      </c>
      <c r="C86" s="5" t="s">
        <v>49</v>
      </c>
      <c r="D86" s="5" t="s">
        <v>52</v>
      </c>
      <c r="E86" s="6"/>
      <c r="F86" s="6"/>
      <c r="G86" s="6"/>
      <c r="H86" s="6"/>
      <c r="I86" s="6"/>
      <c r="J86" s="6">
        <v>25</v>
      </c>
      <c r="K86" s="6"/>
      <c r="L86" s="6"/>
      <c r="M86" s="6">
        <v>15</v>
      </c>
      <c r="N86" s="6"/>
      <c r="O86" s="6"/>
      <c r="P86" s="6"/>
      <c r="Q86" s="6"/>
      <c r="R86" s="6"/>
      <c r="S86" s="10"/>
    </row>
    <row r="87" s="7" customFormat="1" ht="20" hidden="1" customHeight="1" spans="1:19">
      <c r="A87" s="6"/>
      <c r="B87" s="5" t="s">
        <v>312</v>
      </c>
      <c r="C87" s="5" t="s">
        <v>70</v>
      </c>
      <c r="D87" s="5" t="s">
        <v>52</v>
      </c>
      <c r="E87" s="6"/>
      <c r="F87" s="6"/>
      <c r="G87" s="6"/>
      <c r="H87" s="6"/>
      <c r="I87" s="6"/>
      <c r="J87" s="6">
        <v>12</v>
      </c>
      <c r="K87" s="6"/>
      <c r="L87" s="6"/>
      <c r="M87" s="6">
        <v>8</v>
      </c>
      <c r="N87" s="6"/>
      <c r="O87" s="6"/>
      <c r="P87" s="6"/>
      <c r="Q87" s="6"/>
      <c r="R87" s="6"/>
      <c r="S87" s="10"/>
    </row>
    <row r="88" s="7" customFormat="1" ht="20" hidden="1" customHeight="1" spans="1:19">
      <c r="A88" s="6"/>
      <c r="B88" s="5" t="s">
        <v>312</v>
      </c>
      <c r="C88" s="5" t="s">
        <v>49</v>
      </c>
      <c r="D88" s="5" t="s">
        <v>48</v>
      </c>
      <c r="E88" s="6"/>
      <c r="F88" s="6"/>
      <c r="G88" s="6"/>
      <c r="H88" s="6"/>
      <c r="I88" s="6"/>
      <c r="J88" s="6">
        <v>25</v>
      </c>
      <c r="K88" s="6"/>
      <c r="L88" s="6"/>
      <c r="M88" s="6">
        <v>15</v>
      </c>
      <c r="N88" s="6"/>
      <c r="O88" s="6"/>
      <c r="P88" s="6"/>
      <c r="Q88" s="6"/>
      <c r="R88" s="6"/>
      <c r="S88" s="10"/>
    </row>
    <row r="89" s="7" customFormat="1" ht="20" hidden="1" customHeight="1" spans="1:19">
      <c r="A89" s="6"/>
      <c r="B89" s="5" t="s">
        <v>312</v>
      </c>
      <c r="C89" s="5" t="s">
        <v>49</v>
      </c>
      <c r="D89" s="5" t="s">
        <v>210</v>
      </c>
      <c r="E89" s="6"/>
      <c r="F89" s="6"/>
      <c r="G89" s="6"/>
      <c r="H89" s="6"/>
      <c r="I89" s="6"/>
      <c r="J89" s="6">
        <v>25</v>
      </c>
      <c r="K89" s="6"/>
      <c r="L89" s="6"/>
      <c r="M89" s="6">
        <v>15</v>
      </c>
      <c r="N89" s="6"/>
      <c r="O89" s="6"/>
      <c r="P89" s="6"/>
      <c r="Q89" s="6"/>
      <c r="R89" s="6"/>
      <c r="S89" s="10"/>
    </row>
    <row r="90" s="7" customFormat="1" ht="20" hidden="1" customHeight="1" spans="1:19">
      <c r="A90" s="6"/>
      <c r="B90" s="5" t="s">
        <v>312</v>
      </c>
      <c r="C90" s="5" t="s">
        <v>70</v>
      </c>
      <c r="D90" s="5" t="s">
        <v>210</v>
      </c>
      <c r="E90" s="6"/>
      <c r="F90" s="6"/>
      <c r="G90" s="6"/>
      <c r="H90" s="6"/>
      <c r="I90" s="6"/>
      <c r="J90" s="6">
        <v>12</v>
      </c>
      <c r="K90" s="6"/>
      <c r="L90" s="6"/>
      <c r="M90" s="6">
        <v>8</v>
      </c>
      <c r="N90" s="6"/>
      <c r="O90" s="6"/>
      <c r="P90" s="6"/>
      <c r="Q90" s="6"/>
      <c r="R90" s="6"/>
      <c r="S90" s="10"/>
    </row>
    <row r="91" s="7" customFormat="1" ht="20" hidden="1" customHeight="1" spans="1:19">
      <c r="A91" s="6"/>
      <c r="B91" s="5" t="s">
        <v>312</v>
      </c>
      <c r="C91" s="5" t="s">
        <v>49</v>
      </c>
      <c r="D91" s="5" t="s">
        <v>313</v>
      </c>
      <c r="E91" s="6"/>
      <c r="F91" s="6"/>
      <c r="G91" s="6"/>
      <c r="H91" s="6"/>
      <c r="I91" s="6"/>
      <c r="J91" s="6">
        <v>25</v>
      </c>
      <c r="K91" s="6"/>
      <c r="L91" s="6"/>
      <c r="M91" s="6">
        <v>15</v>
      </c>
      <c r="N91" s="6"/>
      <c r="O91" s="6"/>
      <c r="P91" s="6"/>
      <c r="Q91" s="6"/>
      <c r="R91" s="6"/>
      <c r="S91" s="10"/>
    </row>
    <row r="92" s="7" customFormat="1" ht="20" hidden="1" customHeight="1" spans="1:19">
      <c r="A92" s="6"/>
      <c r="B92" s="5" t="s">
        <v>312</v>
      </c>
      <c r="C92" s="5" t="s">
        <v>49</v>
      </c>
      <c r="D92" s="5" t="s">
        <v>69</v>
      </c>
      <c r="E92" s="6"/>
      <c r="F92" s="6"/>
      <c r="G92" s="6"/>
      <c r="H92" s="6"/>
      <c r="I92" s="6"/>
      <c r="J92" s="6">
        <v>25</v>
      </c>
      <c r="K92" s="6"/>
      <c r="L92" s="6"/>
      <c r="M92" s="6">
        <v>15</v>
      </c>
      <c r="N92" s="6"/>
      <c r="O92" s="6"/>
      <c r="P92" s="6"/>
      <c r="Q92" s="6"/>
      <c r="R92" s="6"/>
      <c r="S92" s="10"/>
    </row>
    <row r="93" s="7" customFormat="1" ht="20" hidden="1" customHeight="1" spans="1:19">
      <c r="A93" s="6"/>
      <c r="B93" s="5" t="s">
        <v>312</v>
      </c>
      <c r="C93" s="5" t="s">
        <v>70</v>
      </c>
      <c r="D93" s="5" t="s">
        <v>69</v>
      </c>
      <c r="E93" s="6"/>
      <c r="F93" s="6"/>
      <c r="G93" s="6"/>
      <c r="H93" s="6"/>
      <c r="I93" s="6"/>
      <c r="J93" s="6">
        <v>12</v>
      </c>
      <c r="K93" s="6"/>
      <c r="L93" s="6"/>
      <c r="M93" s="6">
        <v>8</v>
      </c>
      <c r="N93" s="6"/>
      <c r="O93" s="6"/>
      <c r="P93" s="6"/>
      <c r="Q93" s="6"/>
      <c r="R93" s="6"/>
      <c r="S93" s="10"/>
    </row>
    <row r="94" s="7" customFormat="1" ht="20" hidden="1" customHeight="1" spans="1:19">
      <c r="A94" s="6">
        <v>50</v>
      </c>
      <c r="B94" s="6" t="s">
        <v>314</v>
      </c>
      <c r="C94" s="6" t="s">
        <v>22</v>
      </c>
      <c r="D94" s="6" t="s">
        <v>112</v>
      </c>
      <c r="E94" s="6"/>
      <c r="F94" s="6">
        <v>1315.6</v>
      </c>
      <c r="G94" s="6"/>
      <c r="H94" s="6"/>
      <c r="I94" s="6"/>
      <c r="J94" s="6">
        <v>300</v>
      </c>
      <c r="K94" s="6"/>
      <c r="L94" s="6"/>
      <c r="M94" s="6">
        <v>224</v>
      </c>
      <c r="N94" s="6"/>
      <c r="O94" s="6"/>
      <c r="P94" s="6"/>
      <c r="Q94" s="6"/>
      <c r="R94" s="6"/>
      <c r="S94" s="10"/>
    </row>
    <row r="95" s="7" customFormat="1" ht="20" hidden="1" customHeight="1" spans="1:19">
      <c r="B95" s="6" t="s">
        <v>314</v>
      </c>
      <c r="C95" s="6" t="s">
        <v>22</v>
      </c>
      <c r="D95" s="5" t="s">
        <v>134</v>
      </c>
      <c r="E95" s="6"/>
      <c r="F95" s="6">
        <v>1447</v>
      </c>
      <c r="J95" s="7">
        <v>335</v>
      </c>
      <c r="M95" s="7">
        <v>264</v>
      </c>
      <c r="S95" s="10"/>
    </row>
    <row r="96" s="7" customFormat="1" ht="20" customHeight="1" spans="1:19">
      <c r="A96" s="6">
        <v>51</v>
      </c>
      <c r="B96" s="6" t="s">
        <v>314</v>
      </c>
      <c r="C96" s="6" t="s">
        <v>22</v>
      </c>
      <c r="D96" s="6" t="s">
        <v>104</v>
      </c>
      <c r="E96" s="6"/>
      <c r="F96" s="6">
        <v>2296.8</v>
      </c>
      <c r="G96" s="6"/>
      <c r="H96" s="6"/>
      <c r="I96" s="6"/>
      <c r="J96" s="6">
        <v>600</v>
      </c>
      <c r="K96" s="6"/>
      <c r="L96" s="6"/>
      <c r="M96" s="6">
        <v>408</v>
      </c>
      <c r="N96" s="6"/>
      <c r="O96" s="6"/>
      <c r="P96" s="6"/>
      <c r="Q96" s="6"/>
      <c r="R96" s="6"/>
      <c r="S96" s="10"/>
    </row>
    <row r="97" s="7" customFormat="1" ht="20" customHeight="1" spans="1:19">
      <c r="A97" s="6"/>
      <c r="B97" s="5" t="s">
        <v>314</v>
      </c>
      <c r="C97" s="6" t="s">
        <v>22</v>
      </c>
      <c r="D97" s="5" t="s">
        <v>104</v>
      </c>
      <c r="E97" s="6"/>
      <c r="F97" s="6">
        <v>2296.8</v>
      </c>
      <c r="G97" s="6"/>
      <c r="H97" s="6"/>
      <c r="I97" s="6"/>
      <c r="J97" s="6">
        <v>600</v>
      </c>
      <c r="K97" s="6"/>
      <c r="L97" s="6"/>
      <c r="M97" s="6">
        <v>300</v>
      </c>
      <c r="N97" s="6"/>
      <c r="O97" s="6"/>
      <c r="P97" s="6"/>
      <c r="Q97" s="6"/>
      <c r="R97" s="6"/>
      <c r="S97" s="10"/>
    </row>
    <row r="98" s="7" customFormat="1" ht="20" customHeight="1" spans="1:19">
      <c r="A98" s="6"/>
      <c r="B98" s="5" t="s">
        <v>314</v>
      </c>
      <c r="C98" s="6" t="s">
        <v>22</v>
      </c>
      <c r="D98" s="5" t="s">
        <v>104</v>
      </c>
      <c r="E98" s="6"/>
      <c r="F98" s="6">
        <v>2569.2</v>
      </c>
      <c r="G98" s="6"/>
      <c r="H98" s="6"/>
      <c r="I98" s="6"/>
      <c r="J98" s="6">
        <v>600</v>
      </c>
      <c r="K98" s="6"/>
      <c r="L98" s="6"/>
      <c r="M98" s="6">
        <v>316</v>
      </c>
      <c r="N98" s="6"/>
      <c r="O98" s="6"/>
      <c r="P98" s="6"/>
      <c r="Q98" s="6"/>
      <c r="R98" s="6"/>
      <c r="S98" s="10"/>
    </row>
    <row r="99" s="7" customFormat="1" ht="20" hidden="1" customHeight="1" spans="1:19">
      <c r="A99" s="6"/>
      <c r="B99" s="6" t="s">
        <v>315</v>
      </c>
      <c r="C99" s="5" t="s">
        <v>24</v>
      </c>
      <c r="D99" s="6" t="s">
        <v>316</v>
      </c>
      <c r="E99" s="6"/>
      <c r="F99" s="6">
        <v>15.4</v>
      </c>
      <c r="G99" s="6"/>
      <c r="H99" s="6"/>
      <c r="I99" s="6"/>
      <c r="J99" s="6">
        <v>60</v>
      </c>
      <c r="K99" s="6"/>
      <c r="L99" s="6"/>
      <c r="M99" s="6">
        <v>31</v>
      </c>
      <c r="N99" s="6"/>
      <c r="O99" s="6"/>
      <c r="P99" s="6"/>
      <c r="Q99" s="6"/>
      <c r="R99" s="6"/>
      <c r="S99" s="10"/>
    </row>
    <row r="100" s="7" customFormat="1" ht="20" hidden="1" customHeight="1" spans="1:19">
      <c r="A100" s="6"/>
      <c r="B100" s="5" t="s">
        <v>315</v>
      </c>
      <c r="C100" s="5" t="s">
        <v>24</v>
      </c>
      <c r="D100" s="5" t="s">
        <v>316</v>
      </c>
      <c r="E100" s="6"/>
      <c r="F100" s="6">
        <v>15.4</v>
      </c>
      <c r="G100" s="6"/>
      <c r="H100" s="6"/>
      <c r="I100" s="6"/>
      <c r="J100" s="6">
        <v>50</v>
      </c>
      <c r="K100" s="6"/>
      <c r="L100" s="6"/>
      <c r="M100" s="6">
        <v>31</v>
      </c>
      <c r="N100" s="6"/>
      <c r="O100" s="6"/>
      <c r="P100" s="6"/>
      <c r="Q100" s="6"/>
      <c r="R100" s="5" t="s">
        <v>317</v>
      </c>
      <c r="S100" s="10"/>
    </row>
    <row r="101" s="7" customFormat="1" ht="20" hidden="1" customHeight="1" spans="1:19">
      <c r="A101" s="6"/>
      <c r="B101" s="5" t="s">
        <v>315</v>
      </c>
      <c r="C101" s="5" t="s">
        <v>25</v>
      </c>
      <c r="D101" s="5" t="s">
        <v>316</v>
      </c>
      <c r="E101" s="6"/>
      <c r="F101" s="6">
        <v>15.4</v>
      </c>
      <c r="G101" s="6"/>
      <c r="H101" s="6"/>
      <c r="I101" s="6"/>
      <c r="J101" s="6">
        <v>45</v>
      </c>
      <c r="K101" s="6"/>
      <c r="L101" s="6"/>
      <c r="M101" s="6">
        <v>26</v>
      </c>
      <c r="N101" s="6"/>
      <c r="O101" s="6"/>
      <c r="P101" s="6"/>
      <c r="Q101" s="6"/>
      <c r="R101" s="5" t="s">
        <v>317</v>
      </c>
      <c r="S101" s="10"/>
    </row>
    <row r="102" s="7" customFormat="1" ht="20" hidden="1" customHeight="1" spans="1:19">
      <c r="A102" s="6"/>
      <c r="B102" s="6"/>
      <c r="C102" s="5" t="s">
        <v>25</v>
      </c>
      <c r="D102" s="6" t="s">
        <v>316</v>
      </c>
      <c r="E102" s="6"/>
      <c r="F102" s="6">
        <v>15.4</v>
      </c>
      <c r="G102" s="6"/>
      <c r="H102" s="6"/>
      <c r="I102" s="6"/>
      <c r="J102" s="6">
        <v>50</v>
      </c>
      <c r="K102" s="6"/>
      <c r="L102" s="6"/>
      <c r="M102" s="6">
        <v>26</v>
      </c>
      <c r="N102" s="6"/>
      <c r="O102" s="6"/>
      <c r="P102" s="6"/>
      <c r="Q102" s="6"/>
      <c r="R102" s="6"/>
      <c r="S102" s="10"/>
    </row>
    <row r="103" s="7" customFormat="1" ht="20" hidden="1" customHeight="1" spans="1:19">
      <c r="A103" s="6"/>
      <c r="B103" s="5" t="s">
        <v>318</v>
      </c>
      <c r="C103" s="5" t="s">
        <v>44</v>
      </c>
      <c r="D103" s="5" t="s">
        <v>66</v>
      </c>
      <c r="E103" s="6"/>
      <c r="F103" s="6">
        <v>1825</v>
      </c>
      <c r="G103" s="6"/>
      <c r="H103" s="6"/>
      <c r="I103" s="6"/>
      <c r="J103" s="6">
        <v>25</v>
      </c>
      <c r="K103" s="6"/>
      <c r="L103" s="6"/>
      <c r="M103" s="6">
        <v>15</v>
      </c>
      <c r="N103" s="6"/>
      <c r="O103" s="6"/>
      <c r="P103" s="6"/>
      <c r="Q103" s="6"/>
      <c r="R103" s="6"/>
      <c r="S103" s="10"/>
    </row>
    <row r="104" s="7" customFormat="1" ht="20" hidden="1" customHeight="1" spans="1:19">
      <c r="A104" s="6"/>
      <c r="B104" s="5" t="s">
        <v>318</v>
      </c>
      <c r="C104" s="5" t="s">
        <v>44</v>
      </c>
      <c r="D104" s="5" t="s">
        <v>258</v>
      </c>
      <c r="E104" s="6"/>
      <c r="F104" s="6">
        <v>1780.3</v>
      </c>
      <c r="G104" s="6"/>
      <c r="H104" s="6"/>
      <c r="I104" s="6"/>
      <c r="J104" s="6">
        <v>25</v>
      </c>
      <c r="K104" s="6"/>
      <c r="L104" s="6"/>
      <c r="M104" s="6">
        <v>15</v>
      </c>
      <c r="N104" s="6"/>
      <c r="O104" s="6"/>
      <c r="P104" s="6"/>
      <c r="Q104" s="6"/>
      <c r="R104" s="6"/>
      <c r="S104" s="10"/>
    </row>
    <row r="105" s="7" customFormat="1" ht="20" hidden="1" customHeight="1" spans="1:19">
      <c r="A105" s="6"/>
      <c r="B105" s="5" t="s">
        <v>318</v>
      </c>
      <c r="C105" s="5" t="s">
        <v>70</v>
      </c>
      <c r="D105" s="5" t="s">
        <v>159</v>
      </c>
      <c r="E105" s="6"/>
      <c r="F105" s="6">
        <v>1784.3</v>
      </c>
      <c r="G105" s="6"/>
      <c r="H105" s="6"/>
      <c r="I105" s="6"/>
      <c r="J105" s="6">
        <v>25</v>
      </c>
      <c r="K105" s="6"/>
      <c r="L105" s="6"/>
      <c r="M105" s="6">
        <v>20</v>
      </c>
      <c r="N105" s="6"/>
      <c r="O105" s="6"/>
      <c r="P105" s="6"/>
      <c r="Q105" s="6"/>
      <c r="R105" s="6"/>
      <c r="S105" s="10"/>
    </row>
    <row r="106" s="7" customFormat="1" ht="20" hidden="1" customHeight="1" spans="1:19">
      <c r="A106" s="6"/>
      <c r="B106" s="5" t="s">
        <v>318</v>
      </c>
      <c r="C106" s="5" t="s">
        <v>160</v>
      </c>
      <c r="D106" s="5" t="s">
        <v>159</v>
      </c>
      <c r="E106" s="6"/>
      <c r="F106" s="6">
        <v>1784.3</v>
      </c>
      <c r="G106" s="6"/>
      <c r="H106" s="6"/>
      <c r="I106" s="6"/>
      <c r="J106" s="6">
        <v>25</v>
      </c>
      <c r="K106" s="6"/>
      <c r="L106" s="6"/>
      <c r="M106" s="6">
        <v>15</v>
      </c>
      <c r="N106" s="6"/>
      <c r="O106" s="6"/>
      <c r="P106" s="6"/>
      <c r="Q106" s="6"/>
      <c r="R106" s="6"/>
      <c r="S106" s="10"/>
    </row>
    <row r="107" s="7" customFormat="1" ht="20" hidden="1" customHeight="1" spans="1:19">
      <c r="A107" s="6"/>
      <c r="B107" s="5" t="s">
        <v>318</v>
      </c>
      <c r="C107" s="5" t="s">
        <v>97</v>
      </c>
      <c r="D107" s="5" t="s">
        <v>159</v>
      </c>
      <c r="E107" s="6"/>
      <c r="F107" s="6">
        <v>1784.3</v>
      </c>
      <c r="G107" s="6"/>
      <c r="H107" s="6"/>
      <c r="I107" s="6"/>
      <c r="J107" s="6">
        <v>25</v>
      </c>
      <c r="K107" s="6"/>
      <c r="L107" s="6"/>
      <c r="M107" s="6">
        <v>15</v>
      </c>
      <c r="N107" s="6"/>
      <c r="O107" s="6"/>
      <c r="P107" s="6"/>
      <c r="Q107" s="6"/>
      <c r="R107" s="6"/>
      <c r="S107" s="10"/>
    </row>
    <row r="108" s="7" customFormat="1" ht="20" hidden="1" customHeight="1" spans="1:19">
      <c r="A108" s="6">
        <v>45</v>
      </c>
      <c r="B108" s="6" t="s">
        <v>318</v>
      </c>
      <c r="C108" s="6" t="s">
        <v>22</v>
      </c>
      <c r="D108" s="6" t="s">
        <v>319</v>
      </c>
      <c r="E108" s="6"/>
      <c r="F108" s="6">
        <v>399</v>
      </c>
      <c r="G108" s="6"/>
      <c r="H108" s="6"/>
      <c r="I108" s="6"/>
      <c r="J108" s="6">
        <v>15</v>
      </c>
      <c r="K108" s="6"/>
      <c r="L108" s="6"/>
      <c r="M108" s="6">
        <v>6</v>
      </c>
      <c r="N108" s="6"/>
      <c r="O108" s="6"/>
      <c r="P108" s="6"/>
      <c r="Q108" s="6"/>
      <c r="R108" s="6"/>
      <c r="S108" s="10"/>
    </row>
    <row r="109" s="7" customFormat="1" ht="20" hidden="1" customHeight="1" spans="1:19">
      <c r="A109" s="6">
        <v>46</v>
      </c>
      <c r="B109" s="6" t="s">
        <v>318</v>
      </c>
      <c r="C109" s="6" t="s">
        <v>22</v>
      </c>
      <c r="D109" s="6" t="s">
        <v>152</v>
      </c>
      <c r="E109" s="6"/>
      <c r="F109" s="6">
        <v>658.6</v>
      </c>
      <c r="G109" s="6"/>
      <c r="H109" s="6"/>
      <c r="I109" s="6"/>
      <c r="J109" s="6">
        <v>60</v>
      </c>
      <c r="K109" s="6"/>
      <c r="L109" s="6"/>
      <c r="M109" s="6">
        <v>40</v>
      </c>
      <c r="N109" s="6"/>
      <c r="O109" s="6"/>
      <c r="P109" s="6"/>
      <c r="Q109" s="6"/>
      <c r="R109" s="6"/>
      <c r="S109" s="10"/>
    </row>
    <row r="110" s="7" customFormat="1" ht="20" hidden="1" customHeight="1" spans="1:19">
      <c r="A110" s="6"/>
      <c r="B110" s="6" t="s">
        <v>318</v>
      </c>
      <c r="C110" s="6" t="s">
        <v>153</v>
      </c>
      <c r="D110" s="6" t="s">
        <v>152</v>
      </c>
      <c r="E110" s="6"/>
      <c r="F110" s="6">
        <v>658.6</v>
      </c>
      <c r="G110" s="6"/>
      <c r="H110" s="6"/>
      <c r="I110" s="6"/>
      <c r="J110" s="6">
        <v>25</v>
      </c>
      <c r="K110" s="6"/>
      <c r="L110" s="6"/>
      <c r="M110" s="6">
        <v>8</v>
      </c>
      <c r="N110" s="6"/>
      <c r="O110" s="6"/>
      <c r="P110" s="6"/>
      <c r="Q110" s="6"/>
      <c r="R110" s="6"/>
      <c r="S110" s="10"/>
    </row>
    <row r="111" s="7" customFormat="1" ht="20" hidden="1" customHeight="1" spans="1:19">
      <c r="A111" s="6"/>
      <c r="B111" s="6" t="s">
        <v>318</v>
      </c>
      <c r="C111" s="6" t="s">
        <v>61</v>
      </c>
      <c r="D111" s="6" t="s">
        <v>152</v>
      </c>
      <c r="E111" s="6"/>
      <c r="F111" s="6">
        <v>658.6</v>
      </c>
      <c r="G111" s="6"/>
      <c r="H111" s="6"/>
      <c r="I111" s="6"/>
      <c r="J111" s="6">
        <v>25</v>
      </c>
      <c r="K111" s="6"/>
      <c r="L111" s="6"/>
      <c r="M111" s="6">
        <v>11</v>
      </c>
      <c r="N111" s="6"/>
      <c r="O111" s="6"/>
      <c r="P111" s="6"/>
      <c r="Q111" s="6"/>
      <c r="R111" s="6"/>
      <c r="S111" s="10"/>
    </row>
    <row r="112" s="7" customFormat="1" ht="20" hidden="1" customHeight="1" spans="1:19">
      <c r="A112" s="6"/>
      <c r="B112" s="5" t="s">
        <v>318</v>
      </c>
      <c r="C112" s="5" t="s">
        <v>320</v>
      </c>
      <c r="D112" s="5" t="s">
        <v>152</v>
      </c>
      <c r="E112" s="6"/>
      <c r="F112" s="6">
        <v>658.6</v>
      </c>
      <c r="G112" s="6"/>
      <c r="H112" s="6"/>
      <c r="I112" s="6"/>
      <c r="J112" s="6">
        <v>25</v>
      </c>
      <c r="K112" s="6"/>
      <c r="L112" s="6"/>
      <c r="M112" s="6">
        <v>15</v>
      </c>
      <c r="N112" s="6"/>
      <c r="O112" s="6"/>
      <c r="P112" s="6"/>
      <c r="Q112" s="6"/>
      <c r="R112" s="6"/>
      <c r="S112" s="10"/>
    </row>
    <row r="113" s="7" customFormat="1" ht="20" hidden="1" customHeight="1" spans="1:19">
      <c r="A113" s="6"/>
      <c r="B113" s="5" t="s">
        <v>318</v>
      </c>
      <c r="C113" s="5" t="s">
        <v>44</v>
      </c>
      <c r="D113" s="5" t="s">
        <v>255</v>
      </c>
      <c r="E113" s="6"/>
      <c r="F113" s="6">
        <v>1854</v>
      </c>
      <c r="G113" s="6"/>
      <c r="H113" s="6"/>
      <c r="I113" s="6"/>
      <c r="J113" s="6">
        <v>25</v>
      </c>
      <c r="K113" s="6"/>
      <c r="L113" s="6"/>
      <c r="M113" s="6">
        <v>15</v>
      </c>
      <c r="N113" s="6"/>
      <c r="O113" s="6"/>
      <c r="P113" s="6"/>
      <c r="Q113" s="6"/>
      <c r="R113" s="6"/>
      <c r="S113" s="10"/>
    </row>
    <row r="114" s="7" customFormat="1" ht="20" hidden="1" customHeight="1" spans="1:19">
      <c r="B114" s="5" t="s">
        <v>318</v>
      </c>
      <c r="C114" s="5" t="s">
        <v>44</v>
      </c>
      <c r="D114" s="5" t="s">
        <v>255</v>
      </c>
      <c r="E114" s="6"/>
      <c r="F114" s="6">
        <v>1501</v>
      </c>
      <c r="G114" s="6">
        <v>25</v>
      </c>
      <c r="H114" s="6"/>
      <c r="I114" s="6"/>
      <c r="J114" s="6">
        <v>25</v>
      </c>
      <c r="M114" s="7">
        <v>15</v>
      </c>
      <c r="S114" s="10"/>
    </row>
    <row r="115" s="7" customFormat="1" ht="20" hidden="1" customHeight="1" spans="1:19">
      <c r="A115" s="6">
        <v>47</v>
      </c>
      <c r="B115" s="6" t="s">
        <v>318</v>
      </c>
      <c r="C115" s="6" t="s">
        <v>22</v>
      </c>
      <c r="D115" s="6" t="s">
        <v>321</v>
      </c>
      <c r="E115" s="6"/>
      <c r="F115" s="6">
        <v>1828.8</v>
      </c>
      <c r="G115" s="6"/>
      <c r="H115" s="6"/>
      <c r="I115" s="6"/>
      <c r="J115" s="6">
        <v>60</v>
      </c>
      <c r="K115" s="6"/>
      <c r="L115" s="6"/>
      <c r="M115" s="6">
        <v>27</v>
      </c>
      <c r="N115" s="6"/>
      <c r="O115" s="6"/>
      <c r="P115" s="6"/>
      <c r="Q115" s="6"/>
      <c r="R115" s="6"/>
      <c r="S115" s="10"/>
    </row>
    <row r="116" ht="20" hidden="1" customHeight="1" spans="1:19">
      <c r="A116" s="17"/>
      <c r="B116" s="17" t="s">
        <v>318</v>
      </c>
      <c r="C116" s="17" t="s">
        <v>44</v>
      </c>
      <c r="D116" s="17" t="s">
        <v>322</v>
      </c>
      <c r="E116" s="17"/>
      <c r="F116" s="17">
        <v>1828.8</v>
      </c>
      <c r="G116" s="17"/>
      <c r="H116" s="17"/>
      <c r="I116" s="17"/>
      <c r="J116" s="17">
        <v>25</v>
      </c>
      <c r="K116" s="17"/>
      <c r="L116" s="17"/>
      <c r="M116" s="17">
        <v>15</v>
      </c>
      <c r="N116" s="17"/>
      <c r="O116" s="17"/>
      <c r="P116" s="17"/>
      <c r="Q116" s="17"/>
      <c r="R116" s="17"/>
    </row>
    <row r="117" ht="20" hidden="1" customHeight="1" spans="1:19">
      <c r="A117" s="17">
        <v>49</v>
      </c>
      <c r="B117" s="17" t="s">
        <v>318</v>
      </c>
      <c r="C117" s="17" t="s">
        <v>182</v>
      </c>
      <c r="D117" s="17" t="s">
        <v>323</v>
      </c>
      <c r="E117" s="17"/>
      <c r="F117" s="17">
        <v>1364</v>
      </c>
      <c r="G117" s="17"/>
      <c r="H117" s="17"/>
      <c r="I117" s="17"/>
      <c r="J117" s="17">
        <v>45</v>
      </c>
      <c r="K117" s="17"/>
      <c r="L117" s="17"/>
      <c r="M117" s="17">
        <v>30</v>
      </c>
      <c r="N117" s="17"/>
      <c r="O117" s="17"/>
      <c r="P117" s="17"/>
      <c r="Q117" s="17"/>
      <c r="R117" s="17"/>
    </row>
    <row r="118" ht="20" hidden="1" customHeight="1" spans="1:19">
      <c r="A118" s="17"/>
      <c r="B118" s="17" t="s">
        <v>318</v>
      </c>
      <c r="C118" s="6" t="s">
        <v>22</v>
      </c>
      <c r="D118" s="17" t="s">
        <v>324</v>
      </c>
      <c r="E118" s="17"/>
      <c r="F118" s="17">
        <v>906.9</v>
      </c>
      <c r="G118" s="17"/>
      <c r="H118" s="17"/>
      <c r="I118" s="17"/>
      <c r="J118" s="17">
        <v>120</v>
      </c>
      <c r="K118" s="17"/>
      <c r="L118" s="17"/>
      <c r="M118" s="17">
        <v>81</v>
      </c>
      <c r="N118" s="17"/>
      <c r="O118" s="17"/>
      <c r="P118" s="17"/>
      <c r="Q118" s="17"/>
      <c r="R118" s="17"/>
    </row>
    <row r="119" ht="20" hidden="1" customHeight="1" spans="1:19">
      <c r="A119" s="17"/>
      <c r="B119" s="17" t="s">
        <v>318</v>
      </c>
      <c r="C119" s="6" t="s">
        <v>33</v>
      </c>
      <c r="D119" s="17" t="s">
        <v>324</v>
      </c>
      <c r="E119" s="17"/>
      <c r="F119" s="17">
        <v>906.9</v>
      </c>
      <c r="G119" s="17"/>
      <c r="H119" s="17"/>
      <c r="I119" s="17"/>
      <c r="J119" s="17">
        <v>45</v>
      </c>
      <c r="K119" s="17"/>
      <c r="L119" s="17"/>
      <c r="M119" s="17">
        <v>10</v>
      </c>
      <c r="N119" s="17"/>
      <c r="O119" s="17"/>
      <c r="P119" s="17"/>
      <c r="Q119" s="17"/>
      <c r="R119" s="17"/>
    </row>
    <row r="120" ht="20" hidden="1" customHeight="1" spans="1:19">
      <c r="A120" s="17">
        <v>48</v>
      </c>
      <c r="B120" s="17" t="s">
        <v>318</v>
      </c>
      <c r="C120" s="6" t="s">
        <v>182</v>
      </c>
      <c r="D120" s="17" t="s">
        <v>324</v>
      </c>
      <c r="E120" s="17"/>
      <c r="F120" s="17">
        <v>906.9</v>
      </c>
      <c r="G120" s="17"/>
      <c r="H120" s="17"/>
      <c r="I120" s="17"/>
      <c r="J120" s="17">
        <v>45</v>
      </c>
      <c r="K120" s="17"/>
      <c r="L120" s="17"/>
      <c r="M120" s="17">
        <v>30</v>
      </c>
      <c r="N120" s="17"/>
      <c r="O120" s="17"/>
      <c r="P120" s="17"/>
      <c r="Q120" s="17"/>
      <c r="R120" s="17"/>
    </row>
    <row r="121" ht="20" hidden="1" customHeight="1" spans="1:19">
      <c r="A121" s="17"/>
      <c r="B121" s="18" t="s">
        <v>318</v>
      </c>
      <c r="C121" s="6" t="s">
        <v>22</v>
      </c>
      <c r="D121" s="18" t="s">
        <v>138</v>
      </c>
      <c r="E121" s="17"/>
      <c r="F121" s="17"/>
      <c r="G121" s="17"/>
      <c r="H121" s="17"/>
      <c r="I121" s="17"/>
      <c r="J121" s="17">
        <v>25</v>
      </c>
      <c r="K121" s="17"/>
      <c r="L121" s="17"/>
      <c r="M121" s="17">
        <v>17</v>
      </c>
      <c r="N121" s="17"/>
      <c r="O121" s="17"/>
      <c r="P121" s="17"/>
      <c r="Q121" s="17"/>
      <c r="R121" s="17"/>
    </row>
    <row r="122" ht="20" hidden="1" customHeight="1" spans="1:19">
      <c r="A122" s="17"/>
      <c r="B122" s="6" t="s">
        <v>318</v>
      </c>
      <c r="C122" s="6" t="s">
        <v>44</v>
      </c>
      <c r="D122" s="6" t="s">
        <v>325</v>
      </c>
      <c r="E122" s="6"/>
      <c r="F122" s="6">
        <v>34.8</v>
      </c>
      <c r="G122" s="6"/>
      <c r="H122" s="6"/>
      <c r="I122" s="6"/>
      <c r="J122" s="6">
        <v>8</v>
      </c>
      <c r="K122" s="17"/>
      <c r="L122" s="17"/>
      <c r="M122" s="17">
        <v>8</v>
      </c>
      <c r="N122" s="17"/>
      <c r="O122" s="17"/>
      <c r="P122" s="17"/>
      <c r="Q122" s="17"/>
      <c r="R122" s="17"/>
    </row>
    <row r="123" ht="20" hidden="1" customHeight="1" spans="1:19">
      <c r="A123" s="17">
        <v>44</v>
      </c>
      <c r="B123" s="17" t="s">
        <v>318</v>
      </c>
      <c r="C123" s="6" t="s">
        <v>22</v>
      </c>
      <c r="D123" s="17" t="s">
        <v>326</v>
      </c>
      <c r="E123" s="17"/>
      <c r="F123" s="17">
        <v>2000</v>
      </c>
      <c r="G123" s="17"/>
      <c r="H123" s="17"/>
      <c r="I123" s="17"/>
      <c r="J123" s="17"/>
      <c r="K123" s="17"/>
      <c r="L123" s="17"/>
      <c r="M123" s="17">
        <v>18</v>
      </c>
      <c r="N123" s="17"/>
      <c r="O123" s="17"/>
      <c r="P123" s="17"/>
      <c r="Q123" s="17"/>
      <c r="R123" s="17"/>
    </row>
    <row r="124" ht="20" hidden="1" customHeight="1" spans="1:19">
      <c r="A124" s="17">
        <v>15</v>
      </c>
      <c r="B124" s="17" t="s">
        <v>327</v>
      </c>
      <c r="C124" s="17" t="s">
        <v>22</v>
      </c>
      <c r="D124" s="17" t="s">
        <v>78</v>
      </c>
      <c r="E124" s="17" t="s">
        <v>328</v>
      </c>
      <c r="F124" s="17">
        <v>1.96</v>
      </c>
      <c r="G124" s="17">
        <v>0.333</v>
      </c>
      <c r="H124" s="17">
        <f>F124*G124</f>
        <v>0.65268</v>
      </c>
      <c r="I124" s="17"/>
      <c r="J124" s="17">
        <v>60</v>
      </c>
      <c r="K124" s="17">
        <v>0.5</v>
      </c>
      <c r="L124" s="17">
        <v>0.07</v>
      </c>
      <c r="M124" s="17">
        <v>12</v>
      </c>
      <c r="N124" s="17">
        <v>0.001</v>
      </c>
      <c r="O124" s="17">
        <f>K124+L124+N124</f>
        <v>0.571</v>
      </c>
      <c r="P124" s="17"/>
      <c r="Q124" s="17"/>
      <c r="R124" s="17"/>
    </row>
    <row r="125" ht="20" hidden="1" customHeight="1" spans="1:19">
      <c r="A125" s="17"/>
      <c r="B125" s="17" t="s">
        <v>327</v>
      </c>
      <c r="C125" s="17" t="s">
        <v>22</v>
      </c>
      <c r="D125" s="17" t="s">
        <v>78</v>
      </c>
      <c r="E125" s="17" t="s">
        <v>329</v>
      </c>
      <c r="F125" s="17">
        <v>0.78</v>
      </c>
      <c r="G125" s="17">
        <v>0.333</v>
      </c>
      <c r="H125" s="17">
        <f>F125*G125</f>
        <v>0.25974</v>
      </c>
      <c r="I125" s="17"/>
      <c r="J125" s="17">
        <v>58</v>
      </c>
      <c r="K125" s="17">
        <v>0.5</v>
      </c>
      <c r="L125" s="17">
        <v>0.07</v>
      </c>
      <c r="M125" s="17">
        <v>10</v>
      </c>
      <c r="N125" s="17">
        <v>0.001</v>
      </c>
      <c r="O125" s="17">
        <f>K125+L125+N125</f>
        <v>0.571</v>
      </c>
      <c r="P125" s="17"/>
      <c r="Q125" s="17"/>
      <c r="R125" s="17"/>
    </row>
    <row r="126" ht="20" hidden="1" customHeight="1" spans="1:19">
      <c r="A126" s="17">
        <v>14</v>
      </c>
      <c r="B126" s="17" t="s">
        <v>327</v>
      </c>
      <c r="C126" s="18" t="s">
        <v>81</v>
      </c>
      <c r="D126" s="17" t="s">
        <v>78</v>
      </c>
      <c r="E126" s="17" t="s">
        <v>328</v>
      </c>
      <c r="F126" s="17">
        <v>1.96</v>
      </c>
      <c r="G126" s="17">
        <v>0.333</v>
      </c>
      <c r="H126" s="17">
        <f>F126*G126</f>
        <v>0.65268</v>
      </c>
      <c r="I126" s="17"/>
      <c r="J126" s="17">
        <v>25</v>
      </c>
      <c r="K126" s="17">
        <v>0.35</v>
      </c>
      <c r="L126" s="17">
        <v>0.0225</v>
      </c>
      <c r="M126" s="17">
        <v>25</v>
      </c>
      <c r="N126" s="17">
        <v>0.001</v>
      </c>
      <c r="O126" s="17">
        <f>K126+L126+N126</f>
        <v>0.3735</v>
      </c>
      <c r="P126" s="17"/>
      <c r="Q126" s="17"/>
      <c r="R126" s="17"/>
    </row>
    <row r="127" ht="20" hidden="1" customHeight="1" spans="1:19">
      <c r="A127" s="17"/>
      <c r="B127" s="17" t="s">
        <v>327</v>
      </c>
      <c r="C127" s="18" t="s">
        <v>79</v>
      </c>
      <c r="D127" s="17" t="s">
        <v>78</v>
      </c>
      <c r="E127" s="17" t="s">
        <v>328</v>
      </c>
      <c r="F127" s="17">
        <v>1.96</v>
      </c>
      <c r="G127" s="17">
        <v>0.333</v>
      </c>
      <c r="H127" s="17"/>
      <c r="I127" s="17"/>
      <c r="J127" s="17">
        <v>15</v>
      </c>
      <c r="K127" s="17"/>
      <c r="L127" s="17"/>
      <c r="M127" s="17">
        <v>16</v>
      </c>
      <c r="N127" s="17"/>
      <c r="O127" s="17"/>
      <c r="P127" s="17"/>
      <c r="Q127" s="17"/>
      <c r="R127" s="17"/>
    </row>
    <row r="128" ht="20" hidden="1" customHeight="1" spans="1:19">
      <c r="A128" s="17"/>
      <c r="B128" s="17" t="s">
        <v>327</v>
      </c>
      <c r="C128" s="18" t="s">
        <v>82</v>
      </c>
      <c r="D128" s="17" t="s">
        <v>78</v>
      </c>
      <c r="E128" s="17" t="s">
        <v>328</v>
      </c>
      <c r="F128" s="17">
        <v>1.96</v>
      </c>
      <c r="G128" s="17">
        <v>0.333</v>
      </c>
      <c r="H128" s="17"/>
      <c r="I128" s="17"/>
      <c r="J128" s="17">
        <v>15</v>
      </c>
      <c r="K128" s="17"/>
      <c r="L128" s="17"/>
      <c r="M128" s="17">
        <v>16</v>
      </c>
      <c r="N128" s="17"/>
      <c r="O128" s="17"/>
      <c r="P128" s="17"/>
      <c r="Q128" s="17"/>
      <c r="R128" s="17"/>
    </row>
    <row r="129" ht="20" hidden="1" customHeight="1" spans="1:25">
      <c r="A129" s="17"/>
      <c r="B129" s="17" t="s">
        <v>327</v>
      </c>
      <c r="C129" s="18" t="s">
        <v>81</v>
      </c>
      <c r="D129" s="17" t="s">
        <v>78</v>
      </c>
      <c r="E129" s="17" t="s">
        <v>330</v>
      </c>
      <c r="F129" s="17">
        <v>0.78</v>
      </c>
      <c r="G129" s="17">
        <v>0.333</v>
      </c>
      <c r="H129" s="17">
        <f>F129*G129</f>
        <v>0.25974</v>
      </c>
      <c r="I129" s="17"/>
      <c r="J129" s="17">
        <v>25</v>
      </c>
      <c r="K129" s="17">
        <v>0.35</v>
      </c>
      <c r="L129" s="17">
        <v>0.0225</v>
      </c>
      <c r="M129" s="17">
        <v>25</v>
      </c>
      <c r="N129" s="17">
        <v>0.001</v>
      </c>
      <c r="O129" s="17">
        <f>K129+L129+N129</f>
        <v>0.3735</v>
      </c>
      <c r="P129" s="17"/>
      <c r="Q129" s="17"/>
      <c r="R129" s="17"/>
    </row>
    <row r="130" ht="20" hidden="1" customHeight="1" spans="1:25">
      <c r="A130" s="17"/>
      <c r="B130" s="17" t="s">
        <v>327</v>
      </c>
      <c r="C130" s="5" t="s">
        <v>82</v>
      </c>
      <c r="D130" s="17" t="s">
        <v>78</v>
      </c>
      <c r="E130" s="17" t="s">
        <v>330</v>
      </c>
      <c r="F130" s="17">
        <v>0.78</v>
      </c>
      <c r="G130" s="17">
        <v>0.333</v>
      </c>
      <c r="H130" s="17">
        <f>F130*G130</f>
        <v>0.25974</v>
      </c>
      <c r="I130" s="17"/>
      <c r="J130" s="17">
        <v>15</v>
      </c>
      <c r="K130" s="17"/>
      <c r="L130" s="17"/>
      <c r="M130" s="17">
        <v>16</v>
      </c>
      <c r="N130" s="17"/>
      <c r="O130" s="17"/>
      <c r="P130" s="17"/>
      <c r="Q130" s="17"/>
      <c r="R130" s="17"/>
    </row>
    <row r="131" ht="20" hidden="1" customHeight="1" spans="1:25">
      <c r="A131" s="17">
        <v>12</v>
      </c>
      <c r="B131" s="17" t="s">
        <v>327</v>
      </c>
      <c r="C131" s="6" t="s">
        <v>132</v>
      </c>
      <c r="D131" s="17" t="s">
        <v>78</v>
      </c>
      <c r="E131" s="17" t="s">
        <v>328</v>
      </c>
      <c r="F131" s="17">
        <v>1.96</v>
      </c>
      <c r="G131" s="17">
        <v>0.333</v>
      </c>
      <c r="H131" s="17">
        <f>F131*G131</f>
        <v>0.65268</v>
      </c>
      <c r="I131" s="17"/>
      <c r="J131" s="17">
        <v>30</v>
      </c>
      <c r="K131" s="17">
        <v>0.6</v>
      </c>
      <c r="L131" s="17">
        <v>0.072</v>
      </c>
      <c r="M131" s="17">
        <v>15</v>
      </c>
      <c r="N131" s="17">
        <v>0.001</v>
      </c>
      <c r="O131" s="17">
        <f>K131+L131+N131</f>
        <v>0.673</v>
      </c>
      <c r="P131" s="17"/>
      <c r="Q131" s="17"/>
      <c r="R131" s="17"/>
    </row>
    <row r="132" ht="20" hidden="1" customHeight="1" spans="1:25">
      <c r="A132" s="17">
        <v>13</v>
      </c>
      <c r="B132" s="17" t="s">
        <v>327</v>
      </c>
      <c r="C132" s="6" t="s">
        <v>132</v>
      </c>
      <c r="D132" s="17" t="s">
        <v>78</v>
      </c>
      <c r="E132" s="17" t="s">
        <v>330</v>
      </c>
      <c r="F132" s="17">
        <v>0.78</v>
      </c>
      <c r="G132" s="17">
        <v>0.333</v>
      </c>
      <c r="H132" s="17">
        <f>F132*G132</f>
        <v>0.25974</v>
      </c>
      <c r="I132" s="17"/>
      <c r="J132" s="17">
        <v>30</v>
      </c>
      <c r="K132" s="17">
        <v>0.5</v>
      </c>
      <c r="L132" s="17">
        <v>0.06</v>
      </c>
      <c r="M132" s="17">
        <v>15</v>
      </c>
      <c r="N132" s="17">
        <v>0.001</v>
      </c>
      <c r="O132" s="17">
        <f>K132+L132+N132</f>
        <v>0.561</v>
      </c>
      <c r="P132" s="17"/>
      <c r="Q132" s="17"/>
      <c r="R132" s="17"/>
    </row>
    <row r="133" ht="20" hidden="1" customHeight="1" spans="1:25">
      <c r="A133" s="17">
        <v>16</v>
      </c>
      <c r="B133" s="17" t="s">
        <v>327</v>
      </c>
      <c r="C133" s="6" t="s">
        <v>181</v>
      </c>
      <c r="D133" s="17" t="s">
        <v>186</v>
      </c>
      <c r="E133" s="17"/>
      <c r="F133" s="17">
        <v>0.511</v>
      </c>
      <c r="G133" s="17">
        <v>0.743</v>
      </c>
      <c r="H133" s="17">
        <f>F133*G133</f>
        <v>0.379673</v>
      </c>
      <c r="I133" s="17"/>
      <c r="J133" s="17">
        <v>12</v>
      </c>
      <c r="K133" s="17">
        <v>0.1</v>
      </c>
      <c r="L133" s="17">
        <v>0.056</v>
      </c>
      <c r="M133" s="17">
        <v>10</v>
      </c>
      <c r="N133" s="17">
        <v>0.01</v>
      </c>
      <c r="O133" s="17">
        <f>K133+L133+N133</f>
        <v>0.166</v>
      </c>
      <c r="P133" s="17"/>
      <c r="Q133" s="17"/>
      <c r="R133" s="17"/>
    </row>
    <row r="134" ht="20" hidden="1" customHeight="1" spans="1:25">
      <c r="A134" s="17"/>
      <c r="B134" s="18" t="s">
        <v>327</v>
      </c>
      <c r="C134" s="5" t="s">
        <v>22</v>
      </c>
      <c r="D134" s="18" t="s">
        <v>186</v>
      </c>
      <c r="E134" s="17"/>
      <c r="F134" s="17">
        <v>0.511</v>
      </c>
      <c r="G134" s="17"/>
      <c r="H134" s="17"/>
      <c r="I134" s="17"/>
      <c r="J134" s="17">
        <v>60</v>
      </c>
      <c r="K134" s="17"/>
      <c r="L134" s="17"/>
      <c r="M134" s="17">
        <v>14</v>
      </c>
      <c r="N134" s="17"/>
      <c r="O134" s="17"/>
      <c r="P134" s="17"/>
      <c r="Q134" s="17"/>
      <c r="R134" s="17"/>
    </row>
    <row r="135" ht="20" hidden="1" customHeight="1" spans="1:25">
      <c r="A135" s="17"/>
      <c r="B135" s="17" t="s">
        <v>318</v>
      </c>
      <c r="C135" s="6" t="s">
        <v>22</v>
      </c>
      <c r="D135" s="17" t="s">
        <v>212</v>
      </c>
      <c r="E135" s="17"/>
      <c r="F135" s="17">
        <v>2000</v>
      </c>
      <c r="G135" s="17"/>
      <c r="H135" s="17"/>
      <c r="I135" s="17"/>
      <c r="J135" s="17">
        <v>150</v>
      </c>
      <c r="K135" s="17"/>
      <c r="L135" s="17"/>
      <c r="M135" s="17">
        <v>103</v>
      </c>
      <c r="N135" s="17"/>
      <c r="O135" s="17"/>
      <c r="P135" s="17"/>
      <c r="Q135" s="17"/>
      <c r="R135" s="17"/>
    </row>
    <row r="136" ht="20" hidden="1" customHeight="1" spans="1:25">
      <c r="A136" s="17">
        <v>17</v>
      </c>
      <c r="B136" s="17" t="s">
        <v>331</v>
      </c>
      <c r="C136" s="6" t="s">
        <v>22</v>
      </c>
      <c r="D136" s="18" t="s">
        <v>332</v>
      </c>
      <c r="E136" s="17"/>
      <c r="F136" s="17">
        <v>2390</v>
      </c>
      <c r="G136" s="17">
        <v>0.254</v>
      </c>
      <c r="H136" s="17">
        <f>F136*G136</f>
        <v>607.06</v>
      </c>
      <c r="I136" s="17"/>
      <c r="J136" s="17">
        <v>180</v>
      </c>
      <c r="K136" s="17">
        <v>1.6</v>
      </c>
      <c r="L136" s="17">
        <v>0.5</v>
      </c>
      <c r="M136" s="17">
        <v>150</v>
      </c>
      <c r="N136" s="17">
        <v>0.08</v>
      </c>
      <c r="O136" s="17">
        <f>K136+L136+N136</f>
        <v>2.18</v>
      </c>
      <c r="P136" s="17"/>
      <c r="Q136" s="17"/>
      <c r="R136" s="17"/>
    </row>
    <row r="137" ht="20" hidden="1" customHeight="1" spans="1:25">
      <c r="A137" s="17"/>
      <c r="B137" s="18" t="s">
        <v>331</v>
      </c>
      <c r="C137" s="16" t="s">
        <v>22</v>
      </c>
      <c r="D137" s="18" t="s">
        <v>143</v>
      </c>
      <c r="E137" s="18" t="s">
        <v>333</v>
      </c>
      <c r="F137" s="17">
        <v>2400</v>
      </c>
      <c r="G137" s="17"/>
      <c r="H137" s="17"/>
      <c r="I137" s="17"/>
      <c r="J137" s="17">
        <v>240</v>
      </c>
      <c r="K137" s="17"/>
      <c r="L137" s="17"/>
      <c r="M137" s="17">
        <v>137</v>
      </c>
      <c r="N137" s="17"/>
      <c r="O137" s="17"/>
      <c r="P137" s="17"/>
      <c r="Q137" s="17"/>
      <c r="R137" s="17"/>
    </row>
    <row r="138" ht="20" hidden="1" customHeight="1" spans="1:25">
      <c r="A138" s="17">
        <v>18</v>
      </c>
      <c r="B138" s="17" t="s">
        <v>331</v>
      </c>
      <c r="C138" s="6" t="s">
        <v>44</v>
      </c>
      <c r="D138" s="17" t="s">
        <v>171</v>
      </c>
      <c r="E138" s="17"/>
      <c r="F138" s="17">
        <v>2.35</v>
      </c>
      <c r="G138" s="17">
        <v>0.047</v>
      </c>
      <c r="H138" s="17">
        <f>F138*G138</f>
        <v>0.11045</v>
      </c>
      <c r="I138" s="17"/>
      <c r="J138" s="17">
        <v>131</v>
      </c>
      <c r="K138" s="17">
        <v>1.3</v>
      </c>
      <c r="L138" s="17">
        <v>0.225</v>
      </c>
      <c r="M138" s="17"/>
      <c r="N138" s="17">
        <v>0.01</v>
      </c>
      <c r="O138" s="17">
        <f>K138+L138+N138</f>
        <v>1.535</v>
      </c>
      <c r="P138" s="17"/>
      <c r="Q138" s="17"/>
      <c r="R138" s="17"/>
    </row>
    <row r="139" ht="20" hidden="1" customHeight="1" spans="1:25">
      <c r="A139" s="17"/>
      <c r="B139" s="18" t="s">
        <v>331</v>
      </c>
      <c r="C139" s="16" t="s">
        <v>44</v>
      </c>
      <c r="D139" s="18" t="s">
        <v>176</v>
      </c>
      <c r="E139" s="17"/>
      <c r="F139" s="17">
        <v>2380</v>
      </c>
      <c r="G139" s="17"/>
      <c r="H139" s="17"/>
      <c r="I139" s="17"/>
      <c r="J139" s="17">
        <v>100</v>
      </c>
      <c r="K139" s="17"/>
      <c r="L139" s="17"/>
      <c r="M139" s="17"/>
      <c r="N139" s="17"/>
      <c r="O139" s="17"/>
      <c r="P139" s="17"/>
      <c r="Q139" s="17"/>
      <c r="R139" s="17"/>
      <c r="S139" s="19"/>
      <c r="T139" s="19"/>
      <c r="U139" s="19"/>
      <c r="V139" s="19"/>
      <c r="W139" s="19"/>
      <c r="X139" s="19"/>
      <c r="Y139" s="19"/>
    </row>
    <row r="140" ht="20" hidden="1" customHeight="1" spans="1:25">
      <c r="A140" s="17"/>
      <c r="B140" s="18" t="s">
        <v>246</v>
      </c>
      <c r="C140" s="5" t="s">
        <v>44</v>
      </c>
      <c r="D140" s="18" t="s">
        <v>244</v>
      </c>
      <c r="E140" s="17"/>
      <c r="F140" s="17"/>
      <c r="G140" s="17"/>
      <c r="H140" s="17"/>
      <c r="I140" s="17"/>
      <c r="J140" s="17">
        <v>120</v>
      </c>
      <c r="K140" s="17"/>
      <c r="L140" s="17"/>
      <c r="M140" s="17">
        <v>60</v>
      </c>
      <c r="N140" s="17"/>
      <c r="O140" s="17"/>
      <c r="P140" s="17"/>
      <c r="Q140" s="17"/>
      <c r="R140" s="17"/>
      <c r="S140" s="19"/>
      <c r="T140" s="19"/>
      <c r="U140" s="19"/>
      <c r="V140" s="19"/>
      <c r="W140" s="19"/>
      <c r="X140" s="19"/>
      <c r="Y140" s="19"/>
    </row>
    <row r="141" ht="20" hidden="1" customHeight="1" spans="1:25">
      <c r="A141" s="17"/>
      <c r="B141" s="18" t="s">
        <v>246</v>
      </c>
      <c r="C141" s="5" t="s">
        <v>33</v>
      </c>
      <c r="D141" s="18" t="s">
        <v>244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</row>
    <row r="142" ht="20" hidden="1" customHeight="1" spans="1:25">
      <c r="A142" s="17"/>
      <c r="B142" s="18" t="s">
        <v>246</v>
      </c>
      <c r="C142" s="5" t="s">
        <v>334</v>
      </c>
      <c r="D142" s="18" t="s">
        <v>244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</row>
    <row r="143" ht="20" hidden="1" customHeight="1" spans="1:25">
      <c r="A143" s="17"/>
      <c r="B143" s="17" t="s">
        <v>246</v>
      </c>
      <c r="C143" s="6" t="s">
        <v>39</v>
      </c>
      <c r="D143" s="17" t="s">
        <v>244</v>
      </c>
      <c r="E143" s="17"/>
      <c r="F143" s="17"/>
      <c r="G143" s="17"/>
      <c r="H143" s="17"/>
      <c r="I143" s="17"/>
      <c r="J143" s="17">
        <v>500</v>
      </c>
      <c r="K143" s="17"/>
      <c r="L143" s="17"/>
      <c r="M143" s="17">
        <v>273</v>
      </c>
      <c r="N143" s="17"/>
      <c r="O143" s="17"/>
      <c r="P143" s="17"/>
      <c r="Q143" s="17"/>
      <c r="R143" s="17"/>
      <c r="S143" s="19"/>
      <c r="T143" s="19"/>
      <c r="U143" s="19"/>
      <c r="V143" s="19"/>
      <c r="W143" s="19"/>
      <c r="X143" s="19"/>
      <c r="Y143" s="19"/>
    </row>
    <row r="144" ht="20" hidden="1" customHeight="1" spans="1:25">
      <c r="A144" s="17"/>
      <c r="B144" s="17" t="s">
        <v>246</v>
      </c>
      <c r="C144" s="5" t="s">
        <v>268</v>
      </c>
      <c r="D144" s="17" t="s">
        <v>244</v>
      </c>
      <c r="E144" s="17"/>
      <c r="F144" s="17"/>
      <c r="G144" s="17"/>
      <c r="H144" s="17"/>
      <c r="I144" s="17"/>
      <c r="J144" s="17">
        <v>450</v>
      </c>
      <c r="K144" s="17"/>
      <c r="L144" s="17"/>
      <c r="M144" s="17">
        <v>300</v>
      </c>
      <c r="N144" s="17"/>
      <c r="O144" s="17"/>
      <c r="P144" s="17"/>
      <c r="Q144" s="17"/>
      <c r="R144" s="18" t="s">
        <v>335</v>
      </c>
      <c r="S144" s="19"/>
      <c r="T144" s="19"/>
      <c r="U144" s="19"/>
      <c r="V144" s="19"/>
      <c r="W144" s="19"/>
      <c r="X144" s="19"/>
      <c r="Y144" s="19"/>
    </row>
    <row r="145" ht="20" hidden="1" customHeight="1" spans="1:25">
      <c r="A145" s="17"/>
      <c r="B145" s="17" t="s">
        <v>246</v>
      </c>
      <c r="C145" s="6" t="s">
        <v>267</v>
      </c>
      <c r="D145" s="17" t="s">
        <v>244</v>
      </c>
      <c r="E145" s="17"/>
      <c r="F145" s="17"/>
      <c r="G145" s="17"/>
      <c r="H145" s="17"/>
      <c r="I145" s="17"/>
      <c r="J145" s="17">
        <v>200</v>
      </c>
      <c r="K145" s="17"/>
      <c r="L145" s="17"/>
      <c r="M145" s="17">
        <v>59</v>
      </c>
      <c r="N145" s="17"/>
      <c r="O145" s="17"/>
      <c r="P145" s="17"/>
      <c r="Q145" s="17"/>
      <c r="R145" s="17"/>
      <c r="S145" s="19"/>
      <c r="T145" s="19"/>
      <c r="U145" s="19"/>
      <c r="V145" s="19"/>
      <c r="W145" s="19"/>
      <c r="X145" s="19"/>
      <c r="Y145" s="19"/>
    </row>
    <row r="146" ht="20" hidden="1" customHeight="1" spans="1:25">
      <c r="A146" s="17"/>
      <c r="B146" s="17"/>
      <c r="C146" s="18" t="s">
        <v>113</v>
      </c>
      <c r="D146" s="18" t="s">
        <v>244</v>
      </c>
      <c r="E146" s="17"/>
      <c r="F146" s="17"/>
      <c r="G146" s="17"/>
      <c r="H146" s="17"/>
      <c r="I146" s="17"/>
      <c r="J146" s="17">
        <v>100</v>
      </c>
      <c r="K146" s="17"/>
      <c r="L146" s="17"/>
      <c r="M146" s="17">
        <v>75</v>
      </c>
      <c r="N146" s="17"/>
      <c r="O146" s="17"/>
      <c r="P146" s="17"/>
      <c r="Q146" s="17"/>
      <c r="R146" s="17"/>
      <c r="S146" s="19"/>
      <c r="T146" s="19"/>
      <c r="U146" s="19"/>
      <c r="V146" s="19"/>
      <c r="W146" s="19"/>
      <c r="X146" s="19"/>
      <c r="Y146" s="19"/>
    </row>
    <row r="147" ht="20" hidden="1" customHeight="1" spans="1:25">
      <c r="A147" s="17"/>
      <c r="B147" s="17"/>
      <c r="C147" s="18" t="s">
        <v>247</v>
      </c>
      <c r="D147" s="18" t="s">
        <v>244</v>
      </c>
      <c r="E147" s="17"/>
      <c r="F147" s="17"/>
      <c r="G147" s="17"/>
      <c r="H147" s="17"/>
      <c r="I147" s="17"/>
      <c r="J147" s="17">
        <v>95</v>
      </c>
      <c r="K147" s="17"/>
      <c r="L147" s="17"/>
      <c r="M147" s="17">
        <v>60</v>
      </c>
      <c r="N147" s="17"/>
      <c r="O147" s="17"/>
      <c r="P147" s="17"/>
      <c r="Q147" s="17"/>
      <c r="R147" s="17"/>
      <c r="S147" s="19"/>
      <c r="T147" s="19"/>
      <c r="U147" s="19"/>
      <c r="V147" s="19"/>
      <c r="W147" s="19"/>
      <c r="X147" s="19"/>
      <c r="Y147" s="19"/>
    </row>
    <row r="148" ht="20" hidden="1" customHeight="1" spans="1:25">
      <c r="A148" s="17"/>
      <c r="B148" s="17"/>
      <c r="C148" s="18" t="s">
        <v>336</v>
      </c>
      <c r="D148" s="18" t="s">
        <v>244</v>
      </c>
      <c r="E148" s="17"/>
      <c r="F148" s="17"/>
      <c r="G148" s="17"/>
      <c r="H148" s="17"/>
      <c r="I148" s="17"/>
      <c r="J148" s="17">
        <v>95</v>
      </c>
      <c r="K148" s="17"/>
      <c r="L148" s="17"/>
      <c r="M148" s="17">
        <v>60</v>
      </c>
      <c r="N148" s="17"/>
      <c r="O148" s="17"/>
      <c r="P148" s="17"/>
      <c r="Q148" s="17"/>
      <c r="R148" s="17"/>
      <c r="S148" s="19"/>
      <c r="T148" s="19"/>
      <c r="U148" s="19"/>
      <c r="V148" s="19"/>
      <c r="W148" s="19"/>
      <c r="X148" s="19"/>
      <c r="Y148" s="19"/>
    </row>
    <row r="149" ht="20" hidden="1" customHeight="1" spans="1:25">
      <c r="A149" s="17"/>
      <c r="B149" s="18" t="s">
        <v>337</v>
      </c>
      <c r="C149" s="18" t="s">
        <v>24</v>
      </c>
      <c r="D149" s="18" t="s">
        <v>27</v>
      </c>
      <c r="E149" s="17"/>
      <c r="F149" s="17">
        <v>180</v>
      </c>
      <c r="G149" s="17"/>
      <c r="H149" s="17"/>
      <c r="I149" s="17"/>
      <c r="J149" s="17">
        <v>800</v>
      </c>
      <c r="K149" s="17"/>
      <c r="L149" s="17"/>
      <c r="M149" s="17">
        <v>630</v>
      </c>
      <c r="N149" s="17"/>
      <c r="O149" s="17"/>
      <c r="P149" s="17"/>
      <c r="Q149" s="17"/>
      <c r="R149" s="17"/>
      <c r="S149" s="19"/>
      <c r="T149" s="19"/>
      <c r="U149" s="19"/>
      <c r="V149" s="19"/>
      <c r="W149" s="19"/>
      <c r="X149" s="19"/>
      <c r="Y149" s="19"/>
    </row>
    <row r="150" ht="20" hidden="1" customHeight="1" spans="1:25">
      <c r="A150" s="17"/>
      <c r="B150" s="18" t="s">
        <v>337</v>
      </c>
      <c r="C150" s="18" t="s">
        <v>338</v>
      </c>
      <c r="D150" s="18" t="s">
        <v>27</v>
      </c>
      <c r="E150" s="17"/>
      <c r="F150" s="17">
        <v>180</v>
      </c>
      <c r="G150" s="17"/>
      <c r="H150" s="17"/>
      <c r="I150" s="17"/>
      <c r="J150" s="17">
        <v>180</v>
      </c>
      <c r="K150" s="17"/>
      <c r="L150" s="17"/>
      <c r="M150" s="17"/>
      <c r="N150" s="17"/>
      <c r="O150" s="17"/>
      <c r="P150" s="17"/>
      <c r="Q150" s="17"/>
      <c r="R150" s="18"/>
      <c r="S150" s="19"/>
      <c r="T150" s="19"/>
      <c r="U150" s="19"/>
      <c r="V150" s="19"/>
      <c r="W150" s="19"/>
      <c r="X150" s="19"/>
      <c r="Y150" s="19"/>
    </row>
    <row r="151" ht="20" hidden="1" customHeight="1" spans="1:25">
      <c r="A151" s="17"/>
      <c r="B151" s="20" t="s">
        <v>337</v>
      </c>
      <c r="C151" s="18" t="s">
        <v>30</v>
      </c>
      <c r="D151" s="20" t="s">
        <v>27</v>
      </c>
      <c r="E151" s="17"/>
      <c r="F151" s="17">
        <v>180</v>
      </c>
      <c r="G151" s="17"/>
      <c r="H151" s="17"/>
      <c r="I151" s="17"/>
      <c r="J151" s="17">
        <v>60</v>
      </c>
      <c r="K151" s="17"/>
      <c r="L151" s="17"/>
      <c r="M151" s="17"/>
      <c r="N151" s="17"/>
      <c r="O151" s="17"/>
      <c r="P151" s="17"/>
      <c r="Q151" s="17"/>
      <c r="R151" s="17"/>
      <c r="S151" s="19"/>
      <c r="T151" s="19"/>
      <c r="U151" s="19"/>
      <c r="V151" s="19"/>
      <c r="W151" s="19"/>
      <c r="X151" s="19"/>
      <c r="Y151" s="19"/>
    </row>
    <row r="152" ht="20" hidden="1" customHeight="1" spans="1:25">
      <c r="A152" s="17"/>
      <c r="B152" s="18" t="s">
        <v>337</v>
      </c>
      <c r="C152" s="18" t="s">
        <v>24</v>
      </c>
      <c r="D152" s="18" t="s">
        <v>131</v>
      </c>
      <c r="E152" s="17"/>
      <c r="F152" s="17">
        <v>140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9"/>
      <c r="T152" s="19"/>
      <c r="U152" s="19"/>
      <c r="V152" s="19"/>
      <c r="W152" s="19"/>
      <c r="X152" s="19"/>
      <c r="Y152" s="19"/>
    </row>
    <row r="153" ht="20" hidden="1" customHeight="1" spans="1:25">
      <c r="A153" s="17"/>
      <c r="B153" s="18" t="s">
        <v>337</v>
      </c>
      <c r="C153" s="18" t="s">
        <v>25</v>
      </c>
      <c r="D153" s="18" t="s">
        <v>131</v>
      </c>
      <c r="E153" s="17"/>
      <c r="F153" s="17">
        <v>140</v>
      </c>
      <c r="G153" s="17"/>
      <c r="H153" s="17"/>
      <c r="I153" s="17"/>
      <c r="J153" s="17">
        <v>700</v>
      </c>
      <c r="K153" s="17"/>
      <c r="L153" s="17"/>
      <c r="M153" s="17">
        <v>559</v>
      </c>
      <c r="N153" s="17"/>
      <c r="O153" s="17"/>
      <c r="P153" s="17"/>
      <c r="Q153" s="17"/>
      <c r="R153" s="17"/>
      <c r="S153" s="19"/>
      <c r="T153" s="19"/>
      <c r="U153" s="19"/>
      <c r="V153" s="19"/>
      <c r="W153" s="19"/>
      <c r="X153" s="19"/>
      <c r="Y153" s="19"/>
    </row>
    <row r="154" ht="20" hidden="1" customHeight="1" spans="1:25">
      <c r="A154" s="17"/>
      <c r="B154" s="18" t="s">
        <v>337</v>
      </c>
      <c r="C154" s="18" t="s">
        <v>339</v>
      </c>
      <c r="D154" s="18" t="s">
        <v>131</v>
      </c>
      <c r="E154" s="17"/>
      <c r="F154" s="17">
        <v>140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</row>
    <row r="155" ht="20" hidden="1" customHeight="1" spans="1:25">
      <c r="A155" s="17">
        <v>55</v>
      </c>
      <c r="B155" s="17" t="s">
        <v>340</v>
      </c>
      <c r="C155" s="17" t="s">
        <v>24</v>
      </c>
      <c r="D155" s="17" t="s">
        <v>341</v>
      </c>
      <c r="E155" s="17"/>
      <c r="F155" s="17"/>
      <c r="G155" s="17"/>
      <c r="H155" s="17"/>
      <c r="I155" s="17"/>
      <c r="J155" s="17">
        <v>72</v>
      </c>
      <c r="K155" s="17"/>
      <c r="L155" s="17"/>
      <c r="M155" s="17">
        <v>101</v>
      </c>
      <c r="N155" s="17"/>
      <c r="O155" s="17"/>
      <c r="P155" s="17"/>
      <c r="Q155" s="17"/>
      <c r="R155" s="17"/>
    </row>
    <row r="156" ht="20" hidden="1" customHeight="1" spans="1:25">
      <c r="A156" s="17">
        <v>56</v>
      </c>
      <c r="B156" s="17" t="s">
        <v>340</v>
      </c>
      <c r="C156" s="17" t="s">
        <v>25</v>
      </c>
      <c r="D156" s="17" t="s">
        <v>341</v>
      </c>
      <c r="E156" s="17"/>
      <c r="F156" s="17"/>
      <c r="G156" s="17"/>
      <c r="H156" s="17"/>
      <c r="I156" s="17"/>
      <c r="J156" s="17">
        <v>75</v>
      </c>
      <c r="K156" s="17"/>
      <c r="L156" s="17"/>
      <c r="M156" s="17">
        <v>98</v>
      </c>
      <c r="N156" s="17"/>
      <c r="O156" s="17"/>
      <c r="P156" s="17"/>
      <c r="Q156" s="17"/>
      <c r="R156" s="17"/>
    </row>
    <row r="157" ht="20" hidden="1" customHeight="1" spans="1:25">
      <c r="A157" s="18" t="s">
        <v>342</v>
      </c>
      <c r="B157" s="18" t="s">
        <v>343</v>
      </c>
      <c r="C157" s="17" t="s">
        <v>22</v>
      </c>
      <c r="D157" s="18" t="s">
        <v>233</v>
      </c>
      <c r="E157" s="17"/>
      <c r="F157" s="17"/>
      <c r="G157" s="17"/>
      <c r="H157" s="17"/>
      <c r="I157" s="17"/>
      <c r="J157" s="17">
        <v>100</v>
      </c>
      <c r="K157" s="17"/>
      <c r="L157" s="17"/>
      <c r="M157" s="17">
        <v>30</v>
      </c>
      <c r="N157" s="17"/>
      <c r="O157" s="17"/>
      <c r="P157" s="17"/>
      <c r="Q157" s="17"/>
      <c r="R157" s="18" t="s">
        <v>297</v>
      </c>
    </row>
    <row r="158" ht="20" hidden="1" customHeight="1" spans="1:25">
      <c r="A158" s="17"/>
      <c r="B158" s="18" t="s">
        <v>344</v>
      </c>
      <c r="C158" s="18" t="s">
        <v>61</v>
      </c>
      <c r="D158" s="18" t="s">
        <v>60</v>
      </c>
      <c r="E158" s="17"/>
      <c r="F158" s="17"/>
      <c r="G158" s="17"/>
      <c r="H158" s="17"/>
      <c r="I158" s="17"/>
      <c r="J158" s="17">
        <v>25</v>
      </c>
      <c r="K158" s="17"/>
      <c r="L158" s="17"/>
      <c r="M158" s="17">
        <v>15</v>
      </c>
      <c r="N158" s="17"/>
      <c r="O158" s="17"/>
      <c r="P158" s="17"/>
      <c r="Q158" s="17"/>
      <c r="R158" s="17"/>
    </row>
    <row r="159" ht="20" hidden="1" customHeight="1" spans="1:25">
      <c r="A159" s="17">
        <v>21</v>
      </c>
      <c r="B159" s="17" t="s">
        <v>345</v>
      </c>
      <c r="C159" s="6" t="s">
        <v>22</v>
      </c>
      <c r="D159" s="17" t="s">
        <v>346</v>
      </c>
      <c r="E159" s="17"/>
      <c r="F159" s="17">
        <v>0.07</v>
      </c>
      <c r="G159" s="17"/>
      <c r="H159" s="17"/>
      <c r="I159" s="17"/>
      <c r="J159" s="17">
        <v>60</v>
      </c>
      <c r="K159" s="17">
        <v>0.5</v>
      </c>
      <c r="L159" s="17">
        <v>0.15</v>
      </c>
      <c r="M159" s="17">
        <v>44</v>
      </c>
      <c r="N159" s="17">
        <v>0.08</v>
      </c>
      <c r="O159" s="17">
        <f>K159+L159+N159</f>
        <v>0.73</v>
      </c>
      <c r="P159" s="17"/>
      <c r="Q159" s="17"/>
      <c r="R159" s="17"/>
    </row>
    <row r="160" ht="20" hidden="1" customHeight="1" spans="1:25">
      <c r="A160" s="17">
        <v>42</v>
      </c>
      <c r="B160" s="17" t="s">
        <v>347</v>
      </c>
      <c r="C160" s="17" t="s">
        <v>22</v>
      </c>
      <c r="D160" s="17" t="s">
        <v>348</v>
      </c>
      <c r="E160" s="17"/>
      <c r="F160" s="17">
        <v>289</v>
      </c>
      <c r="G160" s="17"/>
      <c r="H160" s="17"/>
      <c r="I160" s="17"/>
      <c r="J160" s="17">
        <v>300</v>
      </c>
      <c r="K160" s="17"/>
      <c r="L160" s="17"/>
      <c r="M160" s="17">
        <v>286</v>
      </c>
      <c r="N160" s="17"/>
      <c r="O160" s="17"/>
      <c r="P160" s="17"/>
      <c r="Q160" s="17"/>
      <c r="R160" s="17"/>
    </row>
    <row r="161" ht="20" hidden="1" customHeight="1" spans="1:18">
      <c r="A161" s="17"/>
      <c r="B161" s="18" t="s">
        <v>347</v>
      </c>
      <c r="C161" s="18" t="s">
        <v>126</v>
      </c>
      <c r="D161" s="18" t="s">
        <v>348</v>
      </c>
      <c r="E161" s="17"/>
      <c r="F161" s="17"/>
      <c r="G161" s="17"/>
      <c r="H161" s="17"/>
      <c r="I161" s="17"/>
      <c r="J161" s="17">
        <v>60</v>
      </c>
      <c r="K161" s="17"/>
      <c r="L161" s="17"/>
      <c r="M161" s="17">
        <v>35</v>
      </c>
      <c r="N161" s="17"/>
      <c r="O161" s="17"/>
      <c r="P161" s="17"/>
      <c r="Q161" s="17"/>
      <c r="R161" s="17"/>
    </row>
    <row r="162" ht="20" hidden="1" customHeight="1" spans="1:18">
      <c r="A162" s="17"/>
      <c r="B162" s="18" t="s">
        <v>347</v>
      </c>
      <c r="C162" s="17" t="s">
        <v>22</v>
      </c>
      <c r="D162" s="18" t="s">
        <v>141</v>
      </c>
      <c r="E162" s="17"/>
      <c r="F162" s="17"/>
      <c r="G162" s="17"/>
      <c r="H162" s="17"/>
      <c r="I162" s="17"/>
      <c r="J162" s="17">
        <v>40</v>
      </c>
      <c r="K162" s="17"/>
      <c r="L162" s="17"/>
      <c r="M162" s="17">
        <v>26</v>
      </c>
      <c r="N162" s="17"/>
      <c r="O162" s="17"/>
      <c r="P162" s="17"/>
      <c r="Q162" s="17"/>
      <c r="R162" s="18" t="s">
        <v>297</v>
      </c>
    </row>
    <row r="163" ht="20" hidden="1" customHeight="1" spans="1:18">
      <c r="A163" s="17"/>
      <c r="B163" s="18" t="s">
        <v>347</v>
      </c>
      <c r="C163" s="18" t="s">
        <v>41</v>
      </c>
      <c r="D163" s="18" t="s">
        <v>141</v>
      </c>
      <c r="E163" s="17"/>
      <c r="F163" s="17"/>
      <c r="G163" s="17"/>
      <c r="H163" s="17"/>
      <c r="I163" s="17"/>
      <c r="J163" s="17">
        <v>30</v>
      </c>
      <c r="K163" s="17"/>
      <c r="L163" s="17"/>
      <c r="M163" s="17">
        <v>15</v>
      </c>
      <c r="N163" s="17"/>
      <c r="O163" s="17"/>
      <c r="P163" s="17"/>
      <c r="Q163" s="17"/>
      <c r="R163" s="18" t="s">
        <v>297</v>
      </c>
    </row>
    <row r="164" ht="20" hidden="1" customHeight="1" spans="1:18">
      <c r="A164" s="17"/>
      <c r="B164" s="18" t="s">
        <v>347</v>
      </c>
      <c r="C164" s="18" t="s">
        <v>57</v>
      </c>
      <c r="D164" s="18" t="s">
        <v>141</v>
      </c>
      <c r="E164" s="17"/>
      <c r="F164" s="17"/>
      <c r="G164" s="17"/>
      <c r="H164" s="17"/>
      <c r="I164" s="17"/>
      <c r="J164" s="17">
        <v>30</v>
      </c>
      <c r="K164" s="17"/>
      <c r="L164" s="17"/>
      <c r="M164" s="17">
        <v>15</v>
      </c>
      <c r="N164" s="17"/>
      <c r="O164" s="17"/>
      <c r="P164" s="17"/>
      <c r="Q164" s="17"/>
      <c r="R164" s="18" t="s">
        <v>297</v>
      </c>
    </row>
    <row r="165" ht="20" hidden="1" customHeight="1" spans="1:18">
      <c r="A165" s="17">
        <v>38</v>
      </c>
      <c r="B165" s="17" t="s">
        <v>347</v>
      </c>
      <c r="C165" s="17" t="s">
        <v>24</v>
      </c>
      <c r="D165" s="17" t="s">
        <v>349</v>
      </c>
      <c r="E165" s="17"/>
      <c r="F165" s="17">
        <v>416</v>
      </c>
      <c r="G165" s="17"/>
      <c r="H165" s="17"/>
      <c r="I165" s="17"/>
      <c r="J165" s="17">
        <v>450</v>
      </c>
      <c r="K165" s="17"/>
      <c r="L165" s="17">
        <v>2.4</v>
      </c>
      <c r="M165" s="17">
        <v>303</v>
      </c>
      <c r="N165" s="17"/>
      <c r="O165" s="17"/>
      <c r="P165" s="17"/>
      <c r="Q165" s="17"/>
      <c r="R165" s="18" t="s">
        <v>297</v>
      </c>
    </row>
    <row r="166" ht="20" hidden="1" customHeight="1" spans="1:18">
      <c r="A166" s="17"/>
      <c r="B166" s="17" t="s">
        <v>347</v>
      </c>
      <c r="C166" s="17" t="s">
        <v>25</v>
      </c>
      <c r="D166" s="17" t="s">
        <v>349</v>
      </c>
      <c r="E166" s="17"/>
      <c r="F166" s="17">
        <v>416</v>
      </c>
      <c r="G166" s="17"/>
      <c r="H166" s="17"/>
      <c r="I166" s="17"/>
      <c r="J166" s="17">
        <v>150</v>
      </c>
      <c r="K166" s="17"/>
      <c r="L166" s="17">
        <v>0.56</v>
      </c>
      <c r="M166" s="17">
        <v>84</v>
      </c>
      <c r="N166" s="17"/>
      <c r="O166" s="17"/>
      <c r="P166" s="17"/>
      <c r="Q166" s="17"/>
      <c r="R166" s="18" t="s">
        <v>297</v>
      </c>
    </row>
    <row r="167" ht="20" hidden="1" customHeight="1" spans="1:18">
      <c r="A167" s="17">
        <v>37</v>
      </c>
      <c r="B167" s="17" t="s">
        <v>347</v>
      </c>
      <c r="C167" s="17" t="s">
        <v>126</v>
      </c>
      <c r="D167" s="17" t="s">
        <v>349</v>
      </c>
      <c r="E167" s="17"/>
      <c r="F167" s="17">
        <v>416</v>
      </c>
      <c r="G167" s="17"/>
      <c r="H167" s="17"/>
      <c r="I167" s="17"/>
      <c r="J167" s="17">
        <v>60</v>
      </c>
      <c r="K167" s="17"/>
      <c r="L167" s="17"/>
      <c r="M167" s="17">
        <v>54</v>
      </c>
      <c r="N167" s="17"/>
      <c r="O167" s="17"/>
      <c r="P167" s="17"/>
      <c r="Q167" s="17"/>
      <c r="R167" s="18" t="s">
        <v>297</v>
      </c>
    </row>
    <row r="168" ht="20" hidden="1" customHeight="1" spans="1:18">
      <c r="A168" s="17">
        <v>40</v>
      </c>
      <c r="B168" s="17" t="s">
        <v>347</v>
      </c>
      <c r="C168" s="17" t="s">
        <v>22</v>
      </c>
      <c r="D168" s="17" t="s">
        <v>214</v>
      </c>
      <c r="E168" s="17"/>
      <c r="F168" s="17">
        <v>373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8" t="s">
        <v>297</v>
      </c>
    </row>
    <row r="169" ht="20" hidden="1" customHeight="1" spans="1:18">
      <c r="A169" s="17"/>
      <c r="B169" s="17" t="s">
        <v>347</v>
      </c>
      <c r="C169" s="17" t="s">
        <v>22</v>
      </c>
      <c r="D169" s="17" t="s">
        <v>214</v>
      </c>
      <c r="E169" s="17"/>
      <c r="F169" s="17">
        <v>373</v>
      </c>
      <c r="G169" s="17"/>
      <c r="H169" s="17"/>
      <c r="I169" s="17"/>
      <c r="J169" s="17">
        <v>210</v>
      </c>
      <c r="K169" s="17"/>
      <c r="L169" s="17"/>
      <c r="M169" s="17">
        <v>150</v>
      </c>
      <c r="N169" s="17"/>
      <c r="O169" s="17"/>
      <c r="P169" s="17"/>
      <c r="Q169" s="17"/>
      <c r="R169" s="18" t="s">
        <v>297</v>
      </c>
    </row>
    <row r="170" ht="20" hidden="1" customHeight="1" spans="1:18">
      <c r="A170" s="17"/>
      <c r="B170" s="17" t="s">
        <v>347</v>
      </c>
      <c r="C170" s="17" t="s">
        <v>22</v>
      </c>
      <c r="D170" s="17" t="s">
        <v>214</v>
      </c>
      <c r="E170" s="17"/>
      <c r="F170" s="17">
        <v>373</v>
      </c>
      <c r="G170" s="17"/>
      <c r="H170" s="17"/>
      <c r="I170" s="17"/>
      <c r="J170" s="17">
        <v>50</v>
      </c>
      <c r="K170" s="17"/>
      <c r="L170" s="17"/>
      <c r="M170" s="17">
        <v>34</v>
      </c>
      <c r="N170" s="17"/>
      <c r="O170" s="17"/>
      <c r="P170" s="17"/>
      <c r="Q170" s="17"/>
      <c r="R170" s="18" t="s">
        <v>297</v>
      </c>
    </row>
    <row r="171" ht="20" hidden="1" customHeight="1" spans="1:18">
      <c r="A171" s="17">
        <v>39</v>
      </c>
      <c r="B171" s="17" t="s">
        <v>347</v>
      </c>
      <c r="C171" s="17" t="s">
        <v>126</v>
      </c>
      <c r="D171" s="17" t="s">
        <v>214</v>
      </c>
      <c r="E171" s="17"/>
      <c r="F171" s="17">
        <v>373</v>
      </c>
      <c r="G171" s="17"/>
      <c r="H171" s="17"/>
      <c r="I171" s="17"/>
      <c r="J171" s="17">
        <v>40</v>
      </c>
      <c r="K171" s="17"/>
      <c r="L171" s="17"/>
      <c r="M171" s="17">
        <v>33</v>
      </c>
      <c r="N171" s="17"/>
      <c r="O171" s="17"/>
      <c r="P171" s="17"/>
      <c r="Q171" s="17"/>
      <c r="R171" s="18" t="s">
        <v>297</v>
      </c>
    </row>
    <row r="172" ht="20" hidden="1" customHeight="1" spans="1:18">
      <c r="A172" s="17">
        <v>41</v>
      </c>
      <c r="B172" s="17" t="s">
        <v>347</v>
      </c>
      <c r="C172" s="17" t="s">
        <v>22</v>
      </c>
      <c r="D172" s="17" t="s">
        <v>207</v>
      </c>
      <c r="E172" s="17"/>
      <c r="F172" s="17">
        <v>380.5</v>
      </c>
      <c r="G172" s="17"/>
      <c r="H172" s="17"/>
      <c r="I172" s="17"/>
      <c r="J172" s="17">
        <v>360</v>
      </c>
      <c r="K172" s="17"/>
      <c r="L172" s="17"/>
      <c r="M172" s="17">
        <v>168</v>
      </c>
      <c r="N172" s="17"/>
      <c r="O172" s="17"/>
      <c r="P172" s="17"/>
      <c r="Q172" s="17"/>
      <c r="R172" s="18" t="s">
        <v>297</v>
      </c>
    </row>
    <row r="173" ht="20" hidden="1" customHeight="1" spans="1:18">
      <c r="A173" s="17"/>
      <c r="B173" s="18" t="s">
        <v>347</v>
      </c>
      <c r="C173" s="18" t="s">
        <v>24</v>
      </c>
      <c r="D173" s="18" t="s">
        <v>207</v>
      </c>
      <c r="E173" s="17"/>
      <c r="F173" s="17">
        <v>380.5</v>
      </c>
      <c r="G173" s="17"/>
      <c r="H173" s="17"/>
      <c r="I173" s="17"/>
      <c r="J173" s="17">
        <v>270</v>
      </c>
      <c r="K173" s="17"/>
      <c r="L173" s="17"/>
      <c r="M173" s="17">
        <v>180</v>
      </c>
      <c r="N173" s="17"/>
      <c r="O173" s="17"/>
      <c r="P173" s="17"/>
      <c r="Q173" s="17"/>
      <c r="R173" s="18" t="s">
        <v>297</v>
      </c>
    </row>
    <row r="174" ht="20" hidden="1" customHeight="1" spans="1:18">
      <c r="A174" s="17"/>
      <c r="B174" s="18" t="s">
        <v>347</v>
      </c>
      <c r="C174" s="5" t="s">
        <v>25</v>
      </c>
      <c r="D174" s="18" t="s">
        <v>207</v>
      </c>
      <c r="E174" s="17"/>
      <c r="F174" s="17">
        <v>380.5</v>
      </c>
      <c r="G174" s="17"/>
      <c r="H174" s="17"/>
      <c r="I174" s="17"/>
      <c r="J174" s="17">
        <v>160</v>
      </c>
      <c r="K174" s="17"/>
      <c r="L174" s="17"/>
      <c r="M174" s="17">
        <v>104</v>
      </c>
      <c r="N174" s="17"/>
      <c r="O174" s="17"/>
      <c r="P174" s="17"/>
      <c r="Q174" s="17"/>
      <c r="R174" s="18" t="s">
        <v>297</v>
      </c>
    </row>
    <row r="175" ht="20" hidden="1" customHeight="1" spans="1:18">
      <c r="A175" s="17"/>
      <c r="B175" s="18" t="s">
        <v>347</v>
      </c>
      <c r="C175" s="5" t="s">
        <v>22</v>
      </c>
      <c r="D175" s="18" t="s">
        <v>207</v>
      </c>
      <c r="E175" s="17"/>
      <c r="F175" s="17">
        <v>900</v>
      </c>
      <c r="G175" s="17"/>
      <c r="H175" s="17"/>
      <c r="I175" s="17"/>
      <c r="J175" s="17">
        <v>500</v>
      </c>
      <c r="K175" s="17"/>
      <c r="L175" s="17"/>
      <c r="M175" s="17">
        <v>395</v>
      </c>
      <c r="N175" s="17"/>
      <c r="O175" s="17"/>
      <c r="P175" s="17"/>
      <c r="Q175" s="17"/>
      <c r="R175" s="18" t="s">
        <v>297</v>
      </c>
    </row>
    <row r="176" ht="20" hidden="1" customHeight="1" spans="1:18">
      <c r="A176" s="17"/>
      <c r="B176" s="18" t="s">
        <v>347</v>
      </c>
      <c r="C176" s="18" t="s">
        <v>350</v>
      </c>
      <c r="D176" s="18" t="s">
        <v>207</v>
      </c>
      <c r="E176" s="18" t="s">
        <v>351</v>
      </c>
      <c r="F176" s="17">
        <v>380.5</v>
      </c>
      <c r="G176" s="17"/>
      <c r="H176" s="17"/>
      <c r="I176" s="17"/>
      <c r="J176" s="17">
        <v>30</v>
      </c>
      <c r="K176" s="17"/>
      <c r="L176" s="17"/>
      <c r="M176" s="17">
        <v>18</v>
      </c>
      <c r="N176" s="17"/>
      <c r="O176" s="17"/>
      <c r="P176" s="17"/>
      <c r="Q176" s="17"/>
      <c r="R176" s="18" t="s">
        <v>297</v>
      </c>
    </row>
    <row r="177" ht="20" hidden="1" customHeight="1" spans="1:18">
      <c r="A177" s="17">
        <v>43</v>
      </c>
      <c r="B177" s="17" t="s">
        <v>347</v>
      </c>
      <c r="C177" s="17" t="s">
        <v>22</v>
      </c>
      <c r="D177" s="17" t="s">
        <v>225</v>
      </c>
      <c r="E177" s="17"/>
      <c r="F177" s="17">
        <v>243.5</v>
      </c>
      <c r="G177" s="17"/>
      <c r="H177" s="17"/>
      <c r="I177" s="17"/>
      <c r="J177" s="17">
        <v>500</v>
      </c>
      <c r="K177" s="17"/>
      <c r="L177" s="17"/>
      <c r="M177" s="17">
        <v>498</v>
      </c>
      <c r="N177" s="17"/>
      <c r="O177" s="17"/>
      <c r="P177" s="17"/>
      <c r="Q177" s="17"/>
      <c r="R177" s="18" t="s">
        <v>297</v>
      </c>
    </row>
    <row r="178" ht="20" hidden="1" customHeight="1" spans="1:18">
      <c r="A178" s="17"/>
      <c r="B178" s="18" t="s">
        <v>347</v>
      </c>
      <c r="C178" s="18" t="s">
        <v>126</v>
      </c>
      <c r="D178" s="18" t="s">
        <v>225</v>
      </c>
      <c r="E178" s="17"/>
      <c r="F178" s="17">
        <v>243.5</v>
      </c>
      <c r="G178" s="17"/>
      <c r="H178" s="17"/>
      <c r="I178" s="17"/>
      <c r="J178" s="17">
        <v>60</v>
      </c>
      <c r="K178" s="17"/>
      <c r="L178" s="17"/>
      <c r="M178" s="17">
        <v>35</v>
      </c>
      <c r="N178" s="17"/>
      <c r="O178" s="17"/>
      <c r="P178" s="17"/>
      <c r="Q178" s="17"/>
      <c r="R178" s="18" t="s">
        <v>297</v>
      </c>
    </row>
    <row r="179" ht="20" hidden="1" customHeight="1" spans="1:18">
      <c r="A179" s="17"/>
      <c r="B179" s="18" t="s">
        <v>106</v>
      </c>
      <c r="C179" s="18" t="s">
        <v>33</v>
      </c>
      <c r="D179" s="18" t="s">
        <v>352</v>
      </c>
      <c r="E179" s="18" t="s">
        <v>353</v>
      </c>
      <c r="F179" s="17"/>
      <c r="G179" s="17"/>
      <c r="H179" s="17"/>
      <c r="I179" s="17"/>
      <c r="J179" s="17">
        <v>100</v>
      </c>
      <c r="K179" s="17"/>
      <c r="L179" s="17"/>
      <c r="M179" s="17">
        <v>34</v>
      </c>
      <c r="N179" s="17"/>
      <c r="O179" s="17"/>
      <c r="P179" s="17"/>
      <c r="Q179" s="17"/>
      <c r="R179" s="17"/>
    </row>
    <row r="180" ht="20" hidden="1" customHeight="1" spans="1:18">
      <c r="A180" s="17"/>
      <c r="B180" s="18" t="s">
        <v>106</v>
      </c>
      <c r="C180" s="18" t="s">
        <v>33</v>
      </c>
      <c r="D180" s="18" t="s">
        <v>34</v>
      </c>
      <c r="E180" s="18" t="s">
        <v>353</v>
      </c>
      <c r="F180" s="17"/>
      <c r="G180" s="17"/>
      <c r="H180" s="17"/>
      <c r="I180" s="17"/>
      <c r="J180" s="17">
        <v>100</v>
      </c>
      <c r="K180" s="17"/>
      <c r="L180" s="17"/>
      <c r="M180" s="17">
        <v>26</v>
      </c>
      <c r="N180" s="17"/>
      <c r="O180" s="17"/>
      <c r="P180" s="17"/>
      <c r="Q180" s="17"/>
      <c r="R180" s="17"/>
    </row>
    <row r="181" ht="20" hidden="1" customHeight="1" spans="1:18">
      <c r="A181" s="17"/>
      <c r="B181" s="18" t="s">
        <v>106</v>
      </c>
      <c r="C181" s="18" t="s">
        <v>126</v>
      </c>
      <c r="D181" s="18" t="s">
        <v>34</v>
      </c>
      <c r="E181" s="18" t="s">
        <v>353</v>
      </c>
      <c r="F181" s="17"/>
      <c r="G181" s="17"/>
      <c r="H181" s="17"/>
      <c r="I181" s="17"/>
      <c r="J181" s="17">
        <v>120</v>
      </c>
      <c r="K181" s="17"/>
      <c r="L181" s="17"/>
      <c r="M181" s="17">
        <v>43</v>
      </c>
      <c r="N181" s="17"/>
      <c r="O181" s="17"/>
      <c r="P181" s="17"/>
      <c r="Q181" s="17"/>
      <c r="R181" s="17"/>
    </row>
    <row r="182" ht="20" hidden="1" customHeight="1" spans="1:18">
      <c r="A182" s="17"/>
      <c r="B182" s="18" t="s">
        <v>106</v>
      </c>
      <c r="C182" s="18" t="s">
        <v>24</v>
      </c>
      <c r="D182" s="18" t="s">
        <v>217</v>
      </c>
      <c r="E182" s="17"/>
      <c r="F182" s="17">
        <v>350</v>
      </c>
      <c r="G182" s="17"/>
      <c r="H182" s="17"/>
      <c r="I182" s="17"/>
      <c r="J182" s="17">
        <v>210</v>
      </c>
      <c r="K182" s="17"/>
      <c r="L182" s="17"/>
      <c r="M182" s="17">
        <v>142</v>
      </c>
      <c r="N182" s="17"/>
      <c r="O182" s="17"/>
      <c r="P182" s="17"/>
      <c r="Q182" s="17"/>
      <c r="R182" s="17"/>
    </row>
    <row r="183" ht="20" hidden="1" customHeight="1" spans="1:18">
      <c r="A183" s="17"/>
      <c r="B183" s="18" t="s">
        <v>106</v>
      </c>
      <c r="C183" s="18" t="s">
        <v>25</v>
      </c>
      <c r="D183" s="18" t="s">
        <v>217</v>
      </c>
      <c r="E183" s="17"/>
      <c r="F183" s="17">
        <v>350</v>
      </c>
      <c r="G183" s="17"/>
      <c r="H183" s="17"/>
      <c r="I183" s="17"/>
      <c r="J183" s="17">
        <v>25</v>
      </c>
      <c r="K183" s="17"/>
      <c r="L183" s="17"/>
      <c r="M183" s="17">
        <v>176</v>
      </c>
      <c r="N183" s="17"/>
      <c r="O183" s="17"/>
      <c r="P183" s="17"/>
      <c r="Q183" s="17"/>
      <c r="R183" s="17"/>
    </row>
    <row r="184" ht="20" hidden="1" customHeight="1" spans="1:18">
      <c r="A184" s="17"/>
      <c r="B184" s="18" t="s">
        <v>106</v>
      </c>
      <c r="C184" s="18"/>
      <c r="D184" s="18" t="s">
        <v>217</v>
      </c>
      <c r="E184" s="17"/>
      <c r="F184" s="17">
        <v>350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</row>
    <row r="185" ht="20" hidden="1" customHeight="1" spans="1:18">
      <c r="A185" s="17"/>
      <c r="B185" s="18" t="s">
        <v>106</v>
      </c>
      <c r="C185" s="18"/>
      <c r="D185" s="18" t="s">
        <v>217</v>
      </c>
      <c r="E185" s="17"/>
      <c r="F185" s="17">
        <v>350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</row>
    <row r="186" ht="20" hidden="1" customHeight="1" spans="1:18">
      <c r="A186" s="17"/>
      <c r="B186" s="18" t="s">
        <v>106</v>
      </c>
      <c r="C186" s="18" t="s">
        <v>24</v>
      </c>
      <c r="D186" s="18" t="s">
        <v>219</v>
      </c>
      <c r="E186" s="17"/>
      <c r="F186" s="17">
        <v>400</v>
      </c>
      <c r="G186" s="17"/>
      <c r="H186" s="17"/>
      <c r="I186" s="17"/>
      <c r="J186" s="17">
        <v>260</v>
      </c>
      <c r="K186" s="17"/>
      <c r="L186" s="17"/>
      <c r="M186" s="17">
        <v>189</v>
      </c>
      <c r="N186" s="17"/>
      <c r="O186" s="17"/>
      <c r="P186" s="17"/>
      <c r="Q186" s="17"/>
      <c r="R186" s="17"/>
    </row>
    <row r="187" ht="20" hidden="1" customHeight="1" spans="1:18">
      <c r="A187" s="17"/>
      <c r="B187" s="18" t="s">
        <v>106</v>
      </c>
      <c r="C187" s="18"/>
      <c r="D187" s="18" t="s">
        <v>219</v>
      </c>
      <c r="E187" s="17"/>
      <c r="F187" s="17">
        <v>400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</row>
    <row r="188" ht="20" hidden="1" customHeight="1" spans="1:18">
      <c r="A188" s="17"/>
      <c r="B188" s="18" t="s">
        <v>106</v>
      </c>
      <c r="C188" s="18"/>
      <c r="D188" s="18" t="s">
        <v>219</v>
      </c>
      <c r="E188" s="17"/>
      <c r="F188" s="17">
        <v>400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</row>
    <row r="189" ht="20" hidden="1" customHeight="1" spans="1:18">
      <c r="A189" s="17"/>
      <c r="B189" s="18" t="s">
        <v>106</v>
      </c>
      <c r="C189" s="18"/>
      <c r="D189" s="18" t="s">
        <v>219</v>
      </c>
      <c r="E189" s="17"/>
      <c r="F189" s="17">
        <v>400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</row>
    <row r="190" ht="20" hidden="1" customHeight="1" spans="1:18">
      <c r="A190" s="17"/>
      <c r="B190" s="18" t="s">
        <v>106</v>
      </c>
      <c r="C190" s="18" t="s">
        <v>22</v>
      </c>
      <c r="D190" s="18" t="s">
        <v>354</v>
      </c>
      <c r="E190" s="17"/>
      <c r="F190" s="17"/>
      <c r="G190" s="17"/>
      <c r="H190" s="17"/>
      <c r="I190" s="17"/>
      <c r="J190" s="17"/>
      <c r="K190" s="17"/>
      <c r="L190" s="17"/>
      <c r="M190" s="17">
        <v>29</v>
      </c>
      <c r="N190" s="17"/>
      <c r="O190" s="17"/>
      <c r="P190" s="17"/>
      <c r="Q190" s="17"/>
      <c r="R190" s="17"/>
    </row>
    <row r="191" ht="20" hidden="1" customHeight="1" spans="1:18">
      <c r="A191" s="17"/>
      <c r="B191" s="17"/>
      <c r="C191" s="17" t="s">
        <v>22</v>
      </c>
      <c r="D191" s="18" t="s">
        <v>200</v>
      </c>
      <c r="E191" s="17"/>
      <c r="F191" s="17">
        <v>130</v>
      </c>
      <c r="G191" s="17"/>
      <c r="H191" s="17"/>
      <c r="I191" s="17"/>
      <c r="J191" s="17">
        <v>70</v>
      </c>
      <c r="K191" s="17"/>
      <c r="L191" s="17"/>
      <c r="M191" s="17">
        <v>43</v>
      </c>
      <c r="N191" s="17"/>
      <c r="O191" s="17"/>
      <c r="P191" s="17"/>
      <c r="Q191" s="17"/>
      <c r="R191" s="17"/>
    </row>
    <row r="192" ht="20" hidden="1" customHeight="1" spans="1:18">
      <c r="A192" s="17"/>
      <c r="B192" s="17"/>
      <c r="C192" s="18" t="s">
        <v>41</v>
      </c>
      <c r="D192" s="18" t="s">
        <v>200</v>
      </c>
      <c r="E192" s="17"/>
      <c r="F192" s="17">
        <v>130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r="193" ht="20" hidden="1" customHeight="1" spans="1:18">
      <c r="A193" s="17"/>
      <c r="B193" s="18" t="s">
        <v>106</v>
      </c>
      <c r="C193" s="18" t="s">
        <v>33</v>
      </c>
      <c r="D193" s="18" t="s">
        <v>32</v>
      </c>
      <c r="E193" s="18" t="s">
        <v>353</v>
      </c>
      <c r="F193" s="17"/>
      <c r="G193" s="17"/>
      <c r="H193" s="17"/>
      <c r="I193" s="17"/>
      <c r="J193" s="17">
        <v>100</v>
      </c>
      <c r="K193" s="17"/>
      <c r="L193" s="17"/>
      <c r="M193" s="17">
        <v>15</v>
      </c>
      <c r="N193" s="17"/>
      <c r="O193" s="17"/>
      <c r="P193" s="17"/>
      <c r="Q193" s="17"/>
      <c r="R193" s="17"/>
    </row>
    <row r="194" ht="20" hidden="1" customHeight="1" spans="1:18">
      <c r="A194" s="17"/>
      <c r="B194" s="17"/>
      <c r="C194" s="17" t="s">
        <v>22</v>
      </c>
      <c r="D194" s="18" t="s">
        <v>38</v>
      </c>
      <c r="E194" s="17"/>
      <c r="F194" s="17"/>
      <c r="G194" s="17"/>
      <c r="H194" s="17"/>
      <c r="I194" s="17"/>
      <c r="J194" s="17">
        <v>150</v>
      </c>
      <c r="K194" s="17"/>
      <c r="L194" s="17"/>
      <c r="M194" s="17">
        <v>100</v>
      </c>
      <c r="N194" s="17"/>
      <c r="O194" s="17"/>
      <c r="P194" s="17"/>
      <c r="Q194" s="17"/>
      <c r="R194" s="17"/>
    </row>
    <row r="195" ht="20" hidden="1" customHeight="1" spans="1:18">
      <c r="A195" s="17"/>
      <c r="B195" s="18" t="s">
        <v>106</v>
      </c>
      <c r="C195" s="17" t="s">
        <v>22</v>
      </c>
      <c r="D195" s="18" t="s">
        <v>216</v>
      </c>
      <c r="E195" s="18" t="s">
        <v>353</v>
      </c>
      <c r="F195" s="17"/>
      <c r="G195" s="17"/>
      <c r="H195" s="17"/>
      <c r="I195" s="17"/>
      <c r="J195" s="17">
        <v>100</v>
      </c>
      <c r="K195" s="17"/>
      <c r="L195" s="17"/>
      <c r="M195" s="17">
        <v>72</v>
      </c>
      <c r="N195" s="17"/>
      <c r="O195" s="17"/>
      <c r="P195" s="17"/>
      <c r="Q195" s="17"/>
      <c r="R195" s="17"/>
    </row>
    <row r="196" ht="20" hidden="1" customHeight="1" spans="1:18">
      <c r="A196" s="17"/>
      <c r="B196" s="17" t="s">
        <v>355</v>
      </c>
      <c r="C196" s="17" t="s">
        <v>44</v>
      </c>
      <c r="D196" s="18" t="s">
        <v>74</v>
      </c>
      <c r="E196" s="17"/>
      <c r="F196" s="17">
        <v>156</v>
      </c>
      <c r="G196" s="17"/>
      <c r="H196" s="17"/>
      <c r="I196" s="17"/>
      <c r="J196" s="17">
        <v>15</v>
      </c>
      <c r="K196" s="17"/>
      <c r="L196" s="17"/>
      <c r="M196" s="17"/>
      <c r="N196" s="17"/>
      <c r="O196" s="17"/>
      <c r="P196" s="17"/>
      <c r="Q196" s="17"/>
      <c r="R196" s="17"/>
    </row>
    <row r="197" ht="20" hidden="1" customHeight="1" spans="1:18">
      <c r="A197" s="17"/>
      <c r="B197" s="17" t="s">
        <v>355</v>
      </c>
      <c r="C197" s="17" t="s">
        <v>44</v>
      </c>
      <c r="D197" s="18" t="s">
        <v>46</v>
      </c>
      <c r="E197" s="18" t="s">
        <v>356</v>
      </c>
      <c r="F197" s="17">
        <v>156</v>
      </c>
      <c r="G197" s="17"/>
      <c r="H197" s="17"/>
      <c r="I197" s="17"/>
      <c r="J197" s="17">
        <v>15</v>
      </c>
      <c r="K197" s="17"/>
      <c r="L197" s="17"/>
      <c r="M197" s="17">
        <v>17</v>
      </c>
      <c r="N197" s="17"/>
      <c r="O197" s="17"/>
      <c r="P197" s="17"/>
      <c r="Q197" s="17"/>
      <c r="R197" s="17"/>
    </row>
    <row r="198" ht="20" hidden="1" customHeight="1" spans="1:18">
      <c r="A198" s="17"/>
      <c r="B198" s="18" t="s">
        <v>355</v>
      </c>
      <c r="C198" s="17" t="s">
        <v>22</v>
      </c>
      <c r="D198" s="17" t="s">
        <v>136</v>
      </c>
      <c r="E198" s="17"/>
      <c r="F198" s="17">
        <v>190</v>
      </c>
      <c r="G198" s="17"/>
      <c r="H198" s="17"/>
      <c r="I198" s="17"/>
      <c r="J198" s="17">
        <v>160</v>
      </c>
      <c r="K198" s="17"/>
      <c r="L198" s="17"/>
      <c r="M198" s="17">
        <v>130</v>
      </c>
      <c r="N198" s="17"/>
      <c r="O198" s="17"/>
      <c r="P198" s="17"/>
      <c r="Q198" s="17"/>
      <c r="R198" s="17"/>
    </row>
    <row r="199" ht="20" hidden="1" customHeight="1" spans="1:18">
      <c r="A199" s="17"/>
      <c r="B199" s="18" t="s">
        <v>355</v>
      </c>
      <c r="C199" s="17" t="s">
        <v>41</v>
      </c>
      <c r="D199" s="17" t="s">
        <v>136</v>
      </c>
      <c r="E199" s="17"/>
      <c r="F199" s="17">
        <v>190</v>
      </c>
      <c r="G199" s="17"/>
      <c r="H199" s="17"/>
      <c r="I199" s="17"/>
      <c r="J199" s="17"/>
      <c r="K199" s="17"/>
      <c r="L199" s="17"/>
      <c r="M199" s="17">
        <v>40</v>
      </c>
      <c r="N199" s="17"/>
      <c r="O199" s="17"/>
      <c r="P199" s="17"/>
      <c r="Q199" s="17"/>
      <c r="R199" s="17"/>
    </row>
    <row r="200" ht="20" hidden="1" customHeight="1" spans="1:18">
      <c r="A200" s="17"/>
      <c r="B200" s="17" t="s">
        <v>355</v>
      </c>
      <c r="C200" s="17" t="s">
        <v>41</v>
      </c>
      <c r="D200" s="17" t="s">
        <v>43</v>
      </c>
      <c r="E200" s="17"/>
      <c r="F200" s="17">
        <v>151.1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</row>
    <row r="201" ht="20" hidden="1" customHeight="1" spans="1:18">
      <c r="A201" s="17"/>
      <c r="B201" s="17" t="s">
        <v>355</v>
      </c>
      <c r="C201" s="17" t="s">
        <v>44</v>
      </c>
      <c r="D201" s="17" t="s">
        <v>43</v>
      </c>
      <c r="E201" s="18" t="s">
        <v>357</v>
      </c>
      <c r="F201" s="17">
        <v>151.1</v>
      </c>
      <c r="G201" s="17"/>
      <c r="H201" s="17"/>
      <c r="I201" s="17"/>
      <c r="J201" s="17">
        <v>20</v>
      </c>
      <c r="K201" s="17"/>
      <c r="L201" s="17"/>
      <c r="M201" s="17">
        <v>14</v>
      </c>
      <c r="N201" s="17"/>
      <c r="O201" s="17"/>
      <c r="P201" s="17"/>
      <c r="Q201" s="17"/>
      <c r="R201" s="17"/>
    </row>
    <row r="202" ht="20" hidden="1" customHeight="1" spans="1:18">
      <c r="A202" s="17"/>
      <c r="B202" s="17" t="s">
        <v>355</v>
      </c>
      <c r="C202" s="17" t="s">
        <v>44</v>
      </c>
      <c r="D202" s="17" t="s">
        <v>43</v>
      </c>
      <c r="E202" s="18" t="s">
        <v>358</v>
      </c>
      <c r="F202" s="17">
        <v>151.1</v>
      </c>
      <c r="G202" s="17"/>
      <c r="H202" s="17"/>
      <c r="I202" s="17"/>
      <c r="J202" s="17">
        <v>20</v>
      </c>
      <c r="K202" s="17"/>
      <c r="L202" s="17"/>
      <c r="M202" s="17">
        <v>17</v>
      </c>
      <c r="N202" s="17"/>
      <c r="O202" s="17"/>
      <c r="P202" s="17"/>
      <c r="Q202" s="17"/>
      <c r="R202" s="17"/>
    </row>
    <row r="203" ht="20" hidden="1" customHeight="1" spans="1:18">
      <c r="A203" s="6"/>
      <c r="B203" s="6" t="s">
        <v>355</v>
      </c>
      <c r="C203" s="6" t="s">
        <v>44</v>
      </c>
      <c r="D203" s="6" t="s">
        <v>43</v>
      </c>
      <c r="E203" s="5" t="s">
        <v>359</v>
      </c>
      <c r="F203" s="6">
        <v>151.1</v>
      </c>
      <c r="G203" s="6"/>
      <c r="H203" s="6"/>
      <c r="I203" s="6"/>
      <c r="J203" s="6">
        <v>20</v>
      </c>
      <c r="K203" s="6"/>
      <c r="L203" s="6"/>
      <c r="M203" s="6">
        <v>17</v>
      </c>
      <c r="N203" s="6"/>
      <c r="O203" s="6"/>
      <c r="P203" s="6"/>
      <c r="Q203" s="6"/>
      <c r="R203" s="6"/>
    </row>
    <row r="204" ht="20" hidden="1" customHeight="1" spans="1:18">
      <c r="A204" s="6"/>
      <c r="B204" s="6"/>
      <c r="C204" s="5" t="s">
        <v>188</v>
      </c>
      <c r="D204" s="5" t="s">
        <v>187</v>
      </c>
      <c r="E204" s="6"/>
      <c r="F204" s="6">
        <v>270</v>
      </c>
      <c r="G204" s="6"/>
      <c r="H204" s="6"/>
      <c r="I204" s="6"/>
      <c r="J204" s="6"/>
      <c r="K204" s="6"/>
      <c r="L204" s="6"/>
      <c r="M204" s="6">
        <v>10</v>
      </c>
      <c r="N204" s="6"/>
      <c r="O204" s="6"/>
      <c r="P204" s="6"/>
      <c r="Q204" s="6"/>
      <c r="R204" s="6"/>
    </row>
    <row r="205" ht="20" hidden="1" customHeight="1" spans="1:18">
      <c r="A205" s="6"/>
      <c r="B205" s="6"/>
      <c r="C205" s="5" t="s">
        <v>188</v>
      </c>
      <c r="D205" s="5" t="s">
        <v>187</v>
      </c>
      <c r="E205" s="6"/>
      <c r="F205" s="6">
        <v>137</v>
      </c>
      <c r="G205" s="6"/>
      <c r="H205" s="6"/>
      <c r="I205" s="6"/>
      <c r="J205" s="6">
        <v>25</v>
      </c>
      <c r="K205" s="6"/>
      <c r="L205" s="6"/>
      <c r="M205" s="6">
        <v>15</v>
      </c>
      <c r="N205" s="6"/>
      <c r="O205" s="6"/>
      <c r="P205" s="6"/>
      <c r="Q205" s="6"/>
      <c r="R205" s="6"/>
    </row>
    <row r="206" ht="20" hidden="1" customHeight="1" spans="1:18">
      <c r="A206" s="6"/>
      <c r="B206" s="6"/>
      <c r="C206" s="5" t="s">
        <v>181</v>
      </c>
      <c r="D206" s="5" t="s">
        <v>187</v>
      </c>
      <c r="E206" s="6"/>
      <c r="F206" s="6">
        <v>137</v>
      </c>
      <c r="G206" s="6"/>
      <c r="H206" s="6"/>
      <c r="I206" s="6"/>
      <c r="J206" s="6">
        <v>20</v>
      </c>
      <c r="K206" s="6"/>
      <c r="L206" s="6"/>
      <c r="M206" s="6">
        <v>15</v>
      </c>
      <c r="N206" s="6"/>
      <c r="O206" s="6"/>
      <c r="P206" s="6"/>
      <c r="Q206" s="6"/>
      <c r="R206" s="6"/>
    </row>
    <row r="207" ht="20" hidden="1" customHeight="1" spans="1:18">
      <c r="A207" s="6"/>
      <c r="B207" s="5" t="s">
        <v>360</v>
      </c>
      <c r="C207" s="6" t="s">
        <v>22</v>
      </c>
      <c r="D207" s="5" t="s">
        <v>21</v>
      </c>
      <c r="E207" s="6"/>
      <c r="F207" s="6"/>
      <c r="G207" s="6"/>
      <c r="H207" s="6"/>
      <c r="I207" s="6"/>
      <c r="J207" s="6">
        <v>300</v>
      </c>
      <c r="K207" s="6"/>
      <c r="L207" s="6"/>
      <c r="M207" s="6">
        <v>206</v>
      </c>
      <c r="N207" s="6"/>
      <c r="O207" s="6"/>
      <c r="P207" s="6"/>
      <c r="Q207" s="6"/>
      <c r="R207" s="6"/>
    </row>
    <row r="208" ht="20" hidden="1" customHeight="1" spans="1:18">
      <c r="A208" s="6"/>
      <c r="B208" s="18" t="s">
        <v>360</v>
      </c>
      <c r="C208" s="17" t="s">
        <v>22</v>
      </c>
      <c r="D208" s="5" t="s">
        <v>361</v>
      </c>
      <c r="E208" s="17"/>
      <c r="F208" s="17"/>
      <c r="G208" s="17"/>
      <c r="H208" s="17"/>
      <c r="I208" s="17"/>
      <c r="J208" s="17">
        <v>50</v>
      </c>
      <c r="K208" s="6"/>
      <c r="L208" s="6"/>
      <c r="M208" s="17">
        <v>45</v>
      </c>
      <c r="N208" s="6"/>
      <c r="O208" s="6"/>
      <c r="P208" s="6"/>
      <c r="Q208" s="6"/>
      <c r="R208" s="6"/>
    </row>
    <row r="209" ht="20" hidden="1" customHeight="1" spans="1:18">
      <c r="A209" s="6"/>
      <c r="B209" s="5" t="s">
        <v>106</v>
      </c>
      <c r="C209" s="5" t="s">
        <v>44</v>
      </c>
      <c r="D209" s="5" t="s">
        <v>220</v>
      </c>
      <c r="E209" s="5" t="s">
        <v>220</v>
      </c>
      <c r="F209" s="6"/>
      <c r="G209" s="6"/>
      <c r="H209" s="6"/>
      <c r="I209" s="6"/>
      <c r="J209" s="6">
        <v>30</v>
      </c>
      <c r="K209" s="6"/>
      <c r="L209" s="6"/>
      <c r="M209" s="6">
        <v>20</v>
      </c>
      <c r="N209" s="6"/>
      <c r="O209" s="6"/>
      <c r="P209" s="6"/>
      <c r="Q209" s="6"/>
      <c r="R209" s="6"/>
    </row>
    <row r="210" ht="20" hidden="1" customHeight="1" spans="1:18">
      <c r="A210" s="6"/>
      <c r="B210" s="5" t="s">
        <v>106</v>
      </c>
      <c r="C210" s="5" t="s">
        <v>39</v>
      </c>
      <c r="D210" s="5" t="s">
        <v>362</v>
      </c>
      <c r="E210" s="6"/>
      <c r="F210" s="6"/>
      <c r="G210" s="6"/>
      <c r="H210" s="6"/>
      <c r="I210" s="6"/>
      <c r="J210" s="6">
        <v>50</v>
      </c>
      <c r="K210" s="6"/>
      <c r="L210" s="6"/>
      <c r="M210" s="6">
        <v>30</v>
      </c>
      <c r="N210" s="6"/>
      <c r="O210" s="6"/>
      <c r="P210" s="6"/>
      <c r="Q210" s="6"/>
      <c r="R210" s="6"/>
    </row>
    <row r="211" ht="20" hidden="1" customHeight="1" spans="1:18">
      <c r="A211" s="6"/>
      <c r="B211" s="5" t="s">
        <v>106</v>
      </c>
      <c r="C211" s="5" t="s">
        <v>24</v>
      </c>
      <c r="D211" s="5" t="s">
        <v>23</v>
      </c>
      <c r="E211" s="6"/>
      <c r="F211" s="6"/>
      <c r="G211" s="6"/>
      <c r="H211" s="6"/>
      <c r="I211" s="6"/>
      <c r="J211" s="6">
        <v>450</v>
      </c>
      <c r="K211" s="6"/>
      <c r="L211" s="6"/>
      <c r="M211" s="6">
        <v>420</v>
      </c>
      <c r="N211" s="6"/>
      <c r="O211" s="6"/>
      <c r="P211" s="6"/>
      <c r="Q211" s="6"/>
      <c r="R211" s="6"/>
    </row>
    <row r="212" ht="20" hidden="1" customHeight="1" spans="1:18">
      <c r="A212" s="6"/>
      <c r="B212" s="5" t="s">
        <v>106</v>
      </c>
      <c r="C212" s="5" t="s">
        <v>25</v>
      </c>
      <c r="D212" s="5" t="s">
        <v>23</v>
      </c>
      <c r="E212" s="6"/>
      <c r="F212" s="6"/>
      <c r="G212" s="6"/>
      <c r="H212" s="6"/>
      <c r="I212" s="6"/>
      <c r="J212" s="6">
        <v>120</v>
      </c>
      <c r="K212" s="6"/>
      <c r="L212" s="6"/>
      <c r="M212" s="6">
        <v>90</v>
      </c>
      <c r="N212" s="6"/>
      <c r="O212" s="6"/>
      <c r="P212" s="6"/>
      <c r="Q212" s="6"/>
      <c r="R212" s="6"/>
    </row>
    <row r="213" ht="20" hidden="1" customHeight="1" spans="1:18">
      <c r="A213" s="6"/>
      <c r="B213" s="5" t="s">
        <v>106</v>
      </c>
      <c r="C213" s="5" t="s">
        <v>28</v>
      </c>
      <c r="D213" s="5" t="s">
        <v>23</v>
      </c>
      <c r="E213" s="6"/>
      <c r="F213" s="6"/>
      <c r="G213" s="6"/>
      <c r="H213" s="6"/>
      <c r="I213" s="6"/>
      <c r="J213" s="6">
        <v>120</v>
      </c>
      <c r="K213" s="6"/>
      <c r="L213" s="6"/>
      <c r="M213" s="6">
        <v>100</v>
      </c>
      <c r="N213" s="6"/>
      <c r="O213" s="6"/>
      <c r="P213" s="6"/>
      <c r="Q213" s="6"/>
      <c r="R213" s="6"/>
    </row>
    <row r="214" ht="20" hidden="1" customHeight="1" spans="1:18">
      <c r="A214" s="6"/>
      <c r="B214" s="18" t="s">
        <v>106</v>
      </c>
      <c r="C214" s="5" t="s">
        <v>363</v>
      </c>
      <c r="D214" s="18" t="s">
        <v>23</v>
      </c>
      <c r="E214" s="17"/>
      <c r="F214" s="17"/>
      <c r="G214" s="6"/>
      <c r="H214" s="6"/>
      <c r="I214" s="6"/>
      <c r="J214" s="6">
        <v>50</v>
      </c>
      <c r="K214" s="6"/>
      <c r="L214" s="6"/>
      <c r="M214" s="6">
        <v>30</v>
      </c>
      <c r="N214" s="6"/>
      <c r="O214" s="6"/>
      <c r="P214" s="6"/>
      <c r="Q214" s="6"/>
      <c r="R214" s="6"/>
    </row>
    <row r="215" ht="20" hidden="1" customHeight="1" spans="1:18">
      <c r="A215" s="6"/>
      <c r="B215" s="18" t="s">
        <v>106</v>
      </c>
      <c r="C215" s="18" t="s">
        <v>126</v>
      </c>
      <c r="D215" s="18" t="s">
        <v>218</v>
      </c>
      <c r="E215" s="17"/>
      <c r="F215" s="17"/>
      <c r="G215" s="17"/>
      <c r="H215" s="17"/>
      <c r="I215" s="17"/>
      <c r="J215" s="17">
        <v>45</v>
      </c>
      <c r="K215" s="6"/>
      <c r="L215" s="6"/>
      <c r="M215" s="6">
        <v>30</v>
      </c>
      <c r="N215" s="6"/>
      <c r="O215" s="6"/>
      <c r="P215" s="6"/>
      <c r="Q215" s="6"/>
      <c r="R215" s="6"/>
    </row>
    <row r="216" ht="20" hidden="1" customHeight="1" spans="1:18">
      <c r="A216" s="6"/>
      <c r="B216" s="5" t="s">
        <v>106</v>
      </c>
      <c r="C216" s="6" t="s">
        <v>22</v>
      </c>
      <c r="D216" s="5" t="s">
        <v>364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</sheetData>
  <autoFilter xmlns:etc="http://www.wps.cn/officeDocument/2017/etCustomData" ref="A2:R216" etc:filterBottomFollowUsedRange="0">
    <filterColumn colId="3">
      <customFilters>
        <customFilter operator="equal" val="196-114"/>
      </customFilters>
    </filterColumn>
    <sortState ref="A2:R216">
      <sortCondition ref="D2"/>
    </sortState>
    <extLst/>
  </autoFilter>
  <mergeCells count="1">
    <mergeCell ref="A1:R1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4" sqref="A3:E4"/>
    </sheetView>
  </sheetViews>
  <sheetFormatPr defaultColWidth="9" defaultRowHeight="13.5" outlineLevelCol="5"/>
  <cols>
    <col min="1" max="4" width="9" style="2"/>
    <col min="5" max="5" width="14" style="2" customWidth="1"/>
    <col min="6" max="16384" width="9" style="2"/>
  </cols>
  <sheetData>
    <row r="1" ht="20" customHeight="1" spans="1:6">
      <c r="A1" s="2" t="s">
        <v>0</v>
      </c>
      <c r="B1" s="2" t="s">
        <v>272</v>
      </c>
      <c r="C1" s="2" t="s">
        <v>274</v>
      </c>
      <c r="D1" s="2" t="s">
        <v>6</v>
      </c>
      <c r="E1" s="2" t="s">
        <v>365</v>
      </c>
      <c r="F1" s="3"/>
    </row>
    <row r="2" ht="20" customHeight="1" spans="1:6">
      <c r="A2" s="4"/>
      <c r="B2" s="3"/>
      <c r="D2" s="3"/>
      <c r="E2" s="3"/>
    </row>
    <row r="3" ht="20" customHeight="1" spans="1:6">
      <c r="A3" s="4"/>
      <c r="B3" s="3"/>
      <c r="D3" s="3"/>
      <c r="E3" s="3"/>
    </row>
    <row r="4" ht="20" customHeight="1" spans="1:6">
      <c r="A4" s="4"/>
      <c r="B4" s="5"/>
      <c r="C4" s="6"/>
      <c r="D4" s="5"/>
      <c r="E4" s="5"/>
    </row>
    <row r="5" ht="20" customHeight="1" spans="1:6">
      <c r="A5" s="4"/>
      <c r="B5" s="5"/>
      <c r="D5" s="3"/>
      <c r="E5" s="3"/>
    </row>
    <row r="6" ht="20" customHeight="1" spans="1:6">
      <c r="A6" s="4"/>
      <c r="B6" s="5"/>
      <c r="D6" s="3"/>
      <c r="E6" s="3"/>
    </row>
    <row r="7" ht="20" customHeight="1" spans="1:6">
      <c r="A7" s="4"/>
      <c r="B7" s="5"/>
      <c r="D7" s="3"/>
      <c r="E7" s="3"/>
    </row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sheetData>
    <row r="1" spans="1:2">
      <c r="A1" s="1">
        <v>0.005411255</v>
      </c>
      <c r="B1" s="1" t="s">
        <v>182</v>
      </c>
    </row>
    <row r="2" spans="1:2">
      <c r="A2" s="1">
        <v>0.007332643</v>
      </c>
      <c r="B2" s="1" t="s">
        <v>22</v>
      </c>
    </row>
    <row r="3" spans="1:2">
      <c r="A3" s="1">
        <v>0.006764069</v>
      </c>
      <c r="B3" s="1" t="s">
        <v>289</v>
      </c>
    </row>
    <row r="4" spans="1:2">
      <c r="A4" s="1">
        <v>0.006764069</v>
      </c>
      <c r="B4" s="1" t="s">
        <v>161</v>
      </c>
    </row>
    <row r="5" spans="1:2">
      <c r="A5" s="1">
        <v>0.006764069</v>
      </c>
      <c r="B5" s="1" t="s">
        <v>366</v>
      </c>
    </row>
    <row r="6" spans="1:2">
      <c r="A6" s="1">
        <v>0.007215007</v>
      </c>
      <c r="B6" s="1" t="s">
        <v>334</v>
      </c>
    </row>
    <row r="7" spans="1:2">
      <c r="A7" s="1">
        <v>0.006764069</v>
      </c>
      <c r="B7" s="1" t="s">
        <v>242</v>
      </c>
    </row>
    <row r="8" spans="1:2">
      <c r="A8" s="1"/>
      <c r="B8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曾庆伟</vt:lpstr>
      <vt:lpstr>王福雪</vt:lpstr>
      <vt:lpstr>向玲</vt:lpstr>
      <vt:lpstr>陆康</vt:lpstr>
      <vt:lpstr>曹林</vt:lpstr>
      <vt:lpstr>陈文香</vt:lpstr>
      <vt:lpstr>冯永惠</vt:lpstr>
      <vt:lpstr>张吉成</vt:lpstr>
      <vt:lpstr>徐小花</vt:lpstr>
      <vt:lpstr>黄玉春</vt:lpstr>
      <vt:lpstr>黄玉青</vt:lpstr>
      <vt:lpstr>杨永会</vt:lpstr>
      <vt:lpstr>瞿晓香</vt:lpstr>
      <vt:lpstr>徐皋</vt:lpstr>
      <vt:lpstr>沈龙杰</vt:lpstr>
      <vt:lpstr>杨艺博</vt:lpstr>
      <vt:lpstr>徐新妹</vt:lpstr>
      <vt:lpstr>尚能群</vt:lpstr>
      <vt:lpstr>谭术林</vt:lpstr>
      <vt:lpstr>张海蝶</vt:lpstr>
      <vt:lpstr>尚伦英</vt:lpstr>
      <vt:lpstr>尚红梅</vt:lpstr>
      <vt:lpstr>许彩旋</vt:lpstr>
      <vt:lpstr>熊龙华</vt:lpstr>
      <vt:lpstr>吴鹏飞</vt:lpstr>
      <vt:lpstr>宋小冬</vt:lpstr>
      <vt:lpstr>宋小春</vt:lpstr>
      <vt:lpstr>李雪</vt:lpstr>
      <vt:lpstr>黄浩东</vt:lpstr>
      <vt:lpstr>成本核算表</vt:lpstr>
      <vt:lpstr>需新增</vt:lpstr>
      <vt:lpstr>Sheet31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</cp:lastModifiedBy>
  <dcterms:created xsi:type="dcterms:W3CDTF">2016-04-21T08:32:00Z</dcterms:created>
  <dcterms:modified xsi:type="dcterms:W3CDTF">2026-04-01T04:55:36Z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5E1A5BD8622849ACA694C2D10DD5B495_13</vt:lpwstr>
  </property>
  <property fmtid="{D5CDD505-2E9C-101B-9397-08002B2CF9AE}" pid="5" name="CalculationRule">
    <vt:i4>0</vt:i4>
  </property>
</Properties>
</file>